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3124\Desktop\PLOS One Submission\"/>
    </mc:Choice>
  </mc:AlternateContent>
  <xr:revisionPtr revIDLastSave="0" documentId="13_ncr:1_{EE936818-72A6-4816-AC2A-F6ED935CC64E}" xr6:coauthVersionLast="45" xr6:coauthVersionMax="45" xr10:uidLastSave="{00000000-0000-0000-0000-000000000000}"/>
  <bookViews>
    <workbookView xWindow="-110" yWindow="-110" windowWidth="19420" windowHeight="10420" firstSheet="1" activeTab="4" xr2:uid="{00000000-000D-0000-FFFF-FFFF00000000}"/>
  </bookViews>
  <sheets>
    <sheet name="List of all parameters" sheetId="10" r:id="rId1"/>
    <sheet name="Markov model Inputs &amp; Results" sheetId="1" r:id="rId2"/>
    <sheet name="Base Case" sheetId="14" r:id="rId3"/>
    <sheet name="Intervention 90% Vax" sheetId="15" r:id="rId4"/>
    <sheet name="ICER" sheetId="16" r:id="rId5"/>
    <sheet name="1. Strategy Calcs" sheetId="2" r:id="rId6"/>
    <sheet name="2. Strategy Calcs" sheetId="3" r:id="rId7"/>
    <sheet name="State Trans Diag" sheetId="4" r:id="rId8"/>
    <sheet name="Input Tables" sheetId="5" r:id="rId9"/>
    <sheet name="Original Data &amp; Results" sheetId="6" r:id="rId10"/>
    <sheet name="Time Discounting" sheetId="7" r:id="rId11"/>
    <sheet name="TP Internal Formulas" sheetId="8" state="hidden" r:id="rId12"/>
  </sheets>
  <functionGroups builtInGroupCount="19"/>
  <definedNames>
    <definedName name="cAcute">'Markov model Inputs &amp; Results'!$C$28</definedName>
    <definedName name="cAcute_Node10">'Markov model Inputs &amp; Results'!$C$49</definedName>
    <definedName name="cAcute_Node10_original">'Original Data &amp; Results'!$C$39</definedName>
    <definedName name="cAcute_Node11">'Markov model Inputs &amp; Results'!$C$52</definedName>
    <definedName name="cAcute_Node11_original">'Original Data &amp; Results'!$C$42</definedName>
    <definedName name="cAcute_Node12">'Markov model Inputs &amp; Results'!$C$55</definedName>
    <definedName name="cAcute_Node12_original">'Original Data &amp; Results'!$C$45</definedName>
    <definedName name="cAcute_Node4">'Markov model Inputs &amp; Results'!$C$40</definedName>
    <definedName name="cAcute_Node4_original">'Original Data &amp; Results'!$C$30</definedName>
    <definedName name="cAcute_Node5">'Markov model Inputs &amp; Results'!$C$38</definedName>
    <definedName name="cAcute_Node5_original">'Original Data &amp; Results'!$C$28</definedName>
    <definedName name="cAcute_Node6">'Markov model Inputs &amp; Results'!$C$43</definedName>
    <definedName name="cAcute_Node6_original">'Original Data &amp; Results'!$C$33</definedName>
    <definedName name="cAcute_Node7">'Markov model Inputs &amp; Results'!$C$46</definedName>
    <definedName name="cAcute_Node7_original">'Original Data &amp; Results'!$C$36</definedName>
    <definedName name="cAcute_original">'Original Data &amp; Results'!$C$18</definedName>
    <definedName name="cDead">'Markov model Inputs &amp; Results'!$C$36</definedName>
    <definedName name="cDead_original">'Original Data &amp; Results'!$C$26</definedName>
    <definedName name="cHearingLoss">'Markov model Inputs &amp; Results'!$C$26</definedName>
    <definedName name="cHearingLoss_Node10">'Markov model Inputs &amp; Results'!$C$50</definedName>
    <definedName name="cHearingLoss_Node10_original">'Original Data &amp; Results'!$C$40</definedName>
    <definedName name="cHearingLoss_original">'Original Data &amp; Results'!$C$16</definedName>
    <definedName name="cMultipleAmp">'Markov model Inputs &amp; Results'!$C$37</definedName>
    <definedName name="cMultipleAmp_Node7">'Markov model Inputs &amp; Results'!$C$47</definedName>
    <definedName name="cMultipleAmp_Node7_original">'Original Data &amp; Results'!$C$37</definedName>
    <definedName name="cMultipleAmp_original">'Original Data &amp; Results'!$C$27</definedName>
    <definedName name="cNeuroDis">'Markov model Inputs &amp; Results'!$C$27</definedName>
    <definedName name="cNeuroDis_Node11">'Markov model Inputs &amp; Results'!$C$53</definedName>
    <definedName name="cNeuroDis_Node11_original">'Original Data &amp; Results'!$C$43</definedName>
    <definedName name="cNeuroDis_original">'Original Data &amp; Results'!$C$17</definedName>
    <definedName name="CohortStateProportions" localSheetId="5">'1. Strategy Calcs'!$D$8:$J$90</definedName>
    <definedName name="CohortStateProportions" localSheetId="6">'2. Strategy Calcs'!$D$8:$E$90</definedName>
    <definedName name="cSingleAmp">'Markov model Inputs &amp; Results'!$C$25</definedName>
    <definedName name="cSingleAmp_Node6">'Markov model Inputs &amp; Results'!$C$44</definedName>
    <definedName name="cSingleAmp_Node6_original">'Original Data &amp; Results'!$C$34</definedName>
    <definedName name="cSingleAmp_original">'Original Data &amp; Results'!$C$15</definedName>
    <definedName name="cSkinScarring">'Markov model Inputs &amp; Results'!$C$24</definedName>
    <definedName name="cSkinScarring_Node4">'Markov model Inputs &amp; Results'!$C$41</definedName>
    <definedName name="cSkinScarring_Node4_original">'Original Data &amp; Results'!$C$31</definedName>
    <definedName name="cSkinScarring_original">'Original Data &amp; Results'!$C$14</definedName>
    <definedName name="cycle" localSheetId="5">'1. Strategy Calcs'!$B$8:$B$90</definedName>
    <definedName name="cycle" localSheetId="6">'2. Strategy Calcs'!$B$8:$B$90</definedName>
    <definedName name="cycle" localSheetId="10">'Time Discounting'!$A$5:$A$87</definedName>
    <definedName name="discount_rate">'Markov model Inputs &amp; Results'!$C$17</definedName>
    <definedName name="discount_rate_original">'Original Data &amp; Results'!$C$7</definedName>
    <definedName name="InputVariablesValues">'Markov model Inputs &amp; Results'!$C$16:$C$56</definedName>
    <definedName name="OriginalInputVariablesValues">'Original Data &amp; Results'!$C$6:$C$46</definedName>
    <definedName name="OriginalModelResults">'Original Data &amp; Results'!$G$11:$I$12</definedName>
    <definedName name="pDead">'Markov model Inputs &amp; Results'!$C$34</definedName>
    <definedName name="pDead_original">'Original Data &amp; Results'!$C$24</definedName>
    <definedName name="pHearingLoss">'Markov model Inputs &amp; Results'!$C$32</definedName>
    <definedName name="pHearingLoss_original">'Original Data &amp; Results'!$C$22</definedName>
    <definedName name="pMultipleAmp">'Markov model Inputs &amp; Results'!$C$31</definedName>
    <definedName name="pMultipleAmp_original">'Original Data &amp; Results'!$C$21</definedName>
    <definedName name="pNeuroDis">'Markov model Inputs &amp; Results'!$C$33</definedName>
    <definedName name="pNeuroDis_original">'Original Data &amp; Results'!$C$23</definedName>
    <definedName name="pSingleAmp">'Markov model Inputs &amp; Results'!$C$30</definedName>
    <definedName name="pSingleAmp_original">'Original Data &amp; Results'!$C$20</definedName>
    <definedName name="pSkinScarring">'Markov model Inputs &amp; Results'!$C$29</definedName>
    <definedName name="pSkinScarring_original">'Original Data &amp; Results'!$C$19</definedName>
    <definedName name="tdead">'Input Tables'!$A$6:$B$86</definedName>
    <definedName name="tdead_inc">'Input Tables'!$D$6:$E$86</definedName>
    <definedName name="TotalSummaryTable_CE" localSheetId="1">'Markov model Inputs &amp; Results'!$F$17:$H$18</definedName>
    <definedName name="uAcute">'Markov model Inputs &amp; Results'!$C$35</definedName>
    <definedName name="uAcute_Node5">'Markov model Inputs &amp; Results'!$C$39</definedName>
    <definedName name="uAcute_Node5_original">'Original Data &amp; Results'!$C$29</definedName>
    <definedName name="uAcute_original">'Original Data &amp; Results'!$C$25</definedName>
    <definedName name="uAlive">'Markov model Inputs &amp; Results'!$C$22</definedName>
    <definedName name="uAlive_Node9">'Markov model Inputs &amp; Results'!$C$56</definedName>
    <definedName name="uAlive_Node9_original">'Original Data &amp; Results'!$C$46</definedName>
    <definedName name="uAlive_original">'Original Data &amp; Results'!$C$12</definedName>
    <definedName name="uHearingLoss">'Markov model Inputs &amp; Results'!$C$20</definedName>
    <definedName name="uHearingLoss_Node10">'Markov model Inputs &amp; Results'!$C$51</definedName>
    <definedName name="uHearingLoss_Node10_original">'Original Data &amp; Results'!$C$41</definedName>
    <definedName name="uHearingLoss_original">'Original Data &amp; Results'!$C$10</definedName>
    <definedName name="uMultipleAmp">'Markov model Inputs &amp; Results'!$C$19</definedName>
    <definedName name="uMultipleAmp_Node7">'Markov model Inputs &amp; Results'!$C$48</definedName>
    <definedName name="uMultipleAmp_Node7_original">'Original Data &amp; Results'!$C$38</definedName>
    <definedName name="uMultipleAmp_original">'Original Data &amp; Results'!$C$9</definedName>
    <definedName name="uNeuroDis">'Markov model Inputs &amp; Results'!$C$21</definedName>
    <definedName name="uNeuroDis_Node11">'Markov model Inputs &amp; Results'!$C$54</definedName>
    <definedName name="uNeuroDis_Node11_original">'Original Data &amp; Results'!$C$44</definedName>
    <definedName name="uNeuroDis_original">'Original Data &amp; Results'!$C$11</definedName>
    <definedName name="uSingleAmp">'Markov model Inputs &amp; Results'!$C$18</definedName>
    <definedName name="uSingleAmp_Node6">'Markov model Inputs &amp; Results'!$C$45</definedName>
    <definedName name="uSingleAmp_Node6_original">'Original Data &amp; Results'!$C$35</definedName>
    <definedName name="uSingleAmp_original">'Original Data &amp; Results'!$C$8</definedName>
    <definedName name="uSkinScarring">'Markov model Inputs &amp; Results'!$C$23</definedName>
    <definedName name="uSkinScarring_Node4">'Markov model Inputs &amp; Results'!$C$42</definedName>
    <definedName name="uSkinScarring_Node4_original">'Original Data &amp; Results'!$C$32</definedName>
    <definedName name="uSkinScarring_original">'Original Data &amp; Results'!$C$13</definedName>
    <definedName name="WTP" localSheetId="1">'Markov model Inputs &amp; Results'!$G$15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5" i="14" l="1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C55" i="1" l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1" i="1"/>
  <c r="C20" i="1"/>
  <c r="C19" i="1"/>
  <c r="C18" i="1"/>
  <c r="C17" i="1"/>
  <c r="H4" i="16" l="1"/>
  <c r="H2" i="16"/>
  <c r="H3" i="16" l="1"/>
  <c r="C4" i="15"/>
  <c r="G2" i="15" s="1"/>
  <c r="I60" i="15" s="1"/>
  <c r="H5" i="16"/>
  <c r="C5" i="15" s="1"/>
  <c r="F9" i="15"/>
  <c r="E11" i="15"/>
  <c r="F11" i="15"/>
  <c r="J11" i="15"/>
  <c r="C13" i="15"/>
  <c r="C14" i="15"/>
  <c r="H315" i="15" s="1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I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I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I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I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I933" i="15"/>
  <c r="H934" i="15"/>
  <c r="H935" i="15"/>
  <c r="H936" i="15"/>
  <c r="H937" i="15"/>
  <c r="H938" i="15"/>
  <c r="I938" i="15"/>
  <c r="H939" i="15"/>
  <c r="H940" i="15"/>
  <c r="H941" i="15"/>
  <c r="H942" i="15"/>
  <c r="I942" i="15"/>
  <c r="H943" i="15"/>
  <c r="H944" i="15"/>
  <c r="I944" i="15"/>
  <c r="H945" i="15"/>
  <c r="H946" i="15"/>
  <c r="H947" i="15"/>
  <c r="H948" i="15"/>
  <c r="H949" i="15"/>
  <c r="I949" i="15"/>
  <c r="H950" i="15"/>
  <c r="H951" i="15"/>
  <c r="H952" i="15"/>
  <c r="I952" i="15"/>
  <c r="H953" i="15"/>
  <c r="I953" i="15"/>
  <c r="H954" i="15"/>
  <c r="H955" i="15"/>
  <c r="H956" i="15"/>
  <c r="H957" i="15"/>
  <c r="H958" i="15"/>
  <c r="I958" i="15"/>
  <c r="H959" i="15"/>
  <c r="H960" i="15"/>
  <c r="H961" i="15"/>
  <c r="H962" i="15"/>
  <c r="I962" i="15"/>
  <c r="H963" i="15"/>
  <c r="H964" i="15"/>
  <c r="H965" i="15"/>
  <c r="H966" i="15"/>
  <c r="I966" i="15"/>
  <c r="H967" i="15"/>
  <c r="H968" i="15"/>
  <c r="H969" i="15"/>
  <c r="H970" i="15"/>
  <c r="I970" i="15"/>
  <c r="H971" i="15"/>
  <c r="H972" i="15"/>
  <c r="H973" i="15"/>
  <c r="H974" i="15"/>
  <c r="I974" i="15"/>
  <c r="H975" i="15"/>
  <c r="H976" i="15"/>
  <c r="H977" i="15"/>
  <c r="I977" i="15"/>
  <c r="H978" i="15"/>
  <c r="I978" i="15"/>
  <c r="H979" i="15"/>
  <c r="I979" i="15"/>
  <c r="H980" i="15"/>
  <c r="H981" i="15"/>
  <c r="I981" i="15"/>
  <c r="H982" i="15"/>
  <c r="I982" i="15"/>
  <c r="H983" i="15"/>
  <c r="I983" i="15"/>
  <c r="H984" i="15"/>
  <c r="H985" i="15"/>
  <c r="I985" i="15"/>
  <c r="H986" i="15"/>
  <c r="I986" i="15"/>
  <c r="H987" i="15"/>
  <c r="I987" i="15"/>
  <c r="H988" i="15"/>
  <c r="H989" i="15"/>
  <c r="I989" i="15"/>
  <c r="H990" i="15"/>
  <c r="I990" i="15"/>
  <c r="H991" i="15"/>
  <c r="I991" i="15"/>
  <c r="H992" i="15"/>
  <c r="H993" i="15"/>
  <c r="I993" i="15"/>
  <c r="H994" i="15"/>
  <c r="I994" i="15"/>
  <c r="H995" i="15"/>
  <c r="I995" i="15"/>
  <c r="H996" i="15"/>
  <c r="H997" i="15"/>
  <c r="I997" i="15"/>
  <c r="H998" i="15"/>
  <c r="I998" i="15"/>
  <c r="H999" i="15"/>
  <c r="I999" i="15"/>
  <c r="H1000" i="15"/>
  <c r="H1001" i="15"/>
  <c r="I1001" i="15"/>
  <c r="H1002" i="15"/>
  <c r="I1002" i="15"/>
  <c r="H1003" i="15"/>
  <c r="I1003" i="15"/>
  <c r="H1004" i="15"/>
  <c r="H1005" i="15"/>
  <c r="I1005" i="15"/>
  <c r="H1006" i="15"/>
  <c r="I1006" i="15"/>
  <c r="H1007" i="15"/>
  <c r="I1007" i="15"/>
  <c r="H1008" i="15"/>
  <c r="H1009" i="15"/>
  <c r="I1009" i="15"/>
  <c r="H1010" i="15"/>
  <c r="I1010" i="15"/>
  <c r="H1011" i="15"/>
  <c r="I1011" i="15"/>
  <c r="H1012" i="15"/>
  <c r="I1012" i="15"/>
  <c r="H1013" i="15"/>
  <c r="I1013" i="15"/>
  <c r="C3" i="14"/>
  <c r="C4" i="14"/>
  <c r="F8" i="14"/>
  <c r="E10" i="14"/>
  <c r="F10" i="14"/>
  <c r="S10" i="14"/>
  <c r="C12" i="14"/>
  <c r="C13" i="14"/>
  <c r="Q14" i="14" s="1"/>
  <c r="H13" i="14"/>
  <c r="I13" i="14"/>
  <c r="J13" i="14"/>
  <c r="H14" i="14"/>
  <c r="I14" i="14"/>
  <c r="J14" i="14"/>
  <c r="H15" i="14"/>
  <c r="I15" i="14"/>
  <c r="J15" i="14"/>
  <c r="H16" i="14"/>
  <c r="I16" i="14"/>
  <c r="J16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J23" i="14"/>
  <c r="H24" i="14"/>
  <c r="I24" i="14"/>
  <c r="J24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H38" i="14"/>
  <c r="I38" i="14"/>
  <c r="J38" i="14"/>
  <c r="H39" i="14"/>
  <c r="I39" i="14"/>
  <c r="J39" i="14"/>
  <c r="H40" i="14"/>
  <c r="I40" i="14"/>
  <c r="J40" i="14"/>
  <c r="H41" i="14"/>
  <c r="I41" i="14"/>
  <c r="J41" i="14"/>
  <c r="H42" i="14"/>
  <c r="I42" i="14"/>
  <c r="J42" i="14"/>
  <c r="H43" i="14"/>
  <c r="I43" i="14"/>
  <c r="J43" i="14"/>
  <c r="H44" i="14"/>
  <c r="I44" i="14"/>
  <c r="J44" i="14"/>
  <c r="H45" i="14"/>
  <c r="I45" i="14"/>
  <c r="J45" i="14"/>
  <c r="H46" i="14"/>
  <c r="I46" i="14"/>
  <c r="J46" i="14"/>
  <c r="H47" i="14"/>
  <c r="I47" i="14"/>
  <c r="J47" i="14"/>
  <c r="J48" i="14"/>
  <c r="H49" i="14"/>
  <c r="I49" i="14"/>
  <c r="J49" i="14"/>
  <c r="H50" i="14"/>
  <c r="I50" i="14"/>
  <c r="J50" i="14"/>
  <c r="H51" i="14"/>
  <c r="I51" i="14"/>
  <c r="J51" i="14"/>
  <c r="H52" i="14"/>
  <c r="I52" i="14"/>
  <c r="J52" i="14"/>
  <c r="J53" i="14"/>
  <c r="H54" i="14"/>
  <c r="I54" i="14"/>
  <c r="J54" i="14"/>
  <c r="H55" i="14"/>
  <c r="I55" i="14"/>
  <c r="J55" i="14"/>
  <c r="J56" i="14"/>
  <c r="H57" i="14"/>
  <c r="I57" i="14"/>
  <c r="J57" i="14"/>
  <c r="H58" i="14"/>
  <c r="I58" i="14"/>
  <c r="J58" i="14"/>
  <c r="J59" i="14"/>
  <c r="H60" i="14"/>
  <c r="I60" i="14"/>
  <c r="J60" i="14"/>
  <c r="H61" i="14"/>
  <c r="I61" i="14"/>
  <c r="J61" i="14"/>
  <c r="H62" i="14"/>
  <c r="I62" i="14"/>
  <c r="J62" i="14"/>
  <c r="H63" i="14"/>
  <c r="I63" i="14"/>
  <c r="J63" i="14"/>
  <c r="H64" i="14"/>
  <c r="I64" i="14"/>
  <c r="J64" i="14"/>
  <c r="H65" i="14"/>
  <c r="I65" i="14"/>
  <c r="J65" i="14"/>
  <c r="H66" i="14"/>
  <c r="I66" i="14"/>
  <c r="J66" i="14"/>
  <c r="H67" i="14"/>
  <c r="I67" i="14"/>
  <c r="J67" i="14"/>
  <c r="H68" i="14"/>
  <c r="I68" i="14"/>
  <c r="J68" i="14"/>
  <c r="H69" i="14"/>
  <c r="I69" i="14"/>
  <c r="J69" i="14"/>
  <c r="H70" i="14"/>
  <c r="I70" i="14"/>
  <c r="J70" i="14"/>
  <c r="H71" i="14"/>
  <c r="I71" i="14"/>
  <c r="J71" i="14"/>
  <c r="H72" i="14"/>
  <c r="I72" i="14"/>
  <c r="J72" i="14"/>
  <c r="H73" i="14"/>
  <c r="I73" i="14"/>
  <c r="J73" i="14"/>
  <c r="H74" i="14"/>
  <c r="I74" i="14"/>
  <c r="J74" i="14"/>
  <c r="H75" i="14"/>
  <c r="I75" i="14"/>
  <c r="J75" i="14"/>
  <c r="H76" i="14"/>
  <c r="I76" i="14"/>
  <c r="J76" i="14"/>
  <c r="H77" i="14"/>
  <c r="I77" i="14"/>
  <c r="J77" i="14"/>
  <c r="H78" i="14"/>
  <c r="I78" i="14"/>
  <c r="J78" i="14"/>
  <c r="H79" i="14"/>
  <c r="I79" i="14"/>
  <c r="J79" i="14"/>
  <c r="H80" i="14"/>
  <c r="I80" i="14"/>
  <c r="J80" i="14"/>
  <c r="H81" i="14"/>
  <c r="I81" i="14"/>
  <c r="J81" i="14"/>
  <c r="H82" i="14"/>
  <c r="I82" i="14"/>
  <c r="J82" i="14"/>
  <c r="H83" i="14"/>
  <c r="I83" i="14"/>
  <c r="J83" i="14"/>
  <c r="H84" i="14"/>
  <c r="I84" i="14"/>
  <c r="J84" i="14"/>
  <c r="H85" i="14"/>
  <c r="I85" i="14"/>
  <c r="J85" i="14"/>
  <c r="J86" i="14"/>
  <c r="H87" i="14"/>
  <c r="I87" i="14"/>
  <c r="J87" i="14"/>
  <c r="H88" i="14"/>
  <c r="I88" i="14"/>
  <c r="J88" i="14"/>
  <c r="J89" i="14"/>
  <c r="J90" i="14"/>
  <c r="J91" i="14"/>
  <c r="H92" i="14"/>
  <c r="I92" i="14"/>
  <c r="J92" i="14"/>
  <c r="H93" i="14"/>
  <c r="I93" i="14"/>
  <c r="J93" i="14"/>
  <c r="H94" i="14"/>
  <c r="I94" i="14"/>
  <c r="J94" i="14"/>
  <c r="H95" i="14"/>
  <c r="I95" i="14"/>
  <c r="J95" i="14"/>
  <c r="H96" i="14"/>
  <c r="I96" i="14"/>
  <c r="J96" i="14"/>
  <c r="H97" i="14"/>
  <c r="I97" i="14"/>
  <c r="J97" i="14"/>
  <c r="H98" i="14"/>
  <c r="I98" i="14"/>
  <c r="J98" i="14"/>
  <c r="H99" i="14"/>
  <c r="I99" i="14"/>
  <c r="J99" i="14"/>
  <c r="H100" i="14"/>
  <c r="I100" i="14"/>
  <c r="J100" i="14"/>
  <c r="J101" i="14"/>
  <c r="H102" i="14"/>
  <c r="I102" i="14"/>
  <c r="J102" i="14"/>
  <c r="H103" i="14"/>
  <c r="I103" i="14"/>
  <c r="J103" i="14"/>
  <c r="H104" i="14"/>
  <c r="I104" i="14"/>
  <c r="J104" i="14"/>
  <c r="H105" i="14"/>
  <c r="I105" i="14"/>
  <c r="J105" i="14"/>
  <c r="H106" i="14"/>
  <c r="I106" i="14"/>
  <c r="J106" i="14"/>
  <c r="H107" i="14"/>
  <c r="I107" i="14"/>
  <c r="J107" i="14"/>
  <c r="H108" i="14"/>
  <c r="I108" i="14"/>
  <c r="J108" i="14"/>
  <c r="H109" i="14"/>
  <c r="I109" i="14"/>
  <c r="J109" i="14"/>
  <c r="H110" i="14"/>
  <c r="I110" i="14"/>
  <c r="J110" i="14"/>
  <c r="H111" i="14"/>
  <c r="I111" i="14"/>
  <c r="J111" i="14"/>
  <c r="H112" i="14"/>
  <c r="I112" i="14"/>
  <c r="J112" i="14"/>
  <c r="H113" i="14"/>
  <c r="I113" i="14"/>
  <c r="J113" i="14"/>
  <c r="H114" i="14"/>
  <c r="I114" i="14"/>
  <c r="J114" i="14"/>
  <c r="H115" i="14"/>
  <c r="I115" i="14"/>
  <c r="J115" i="14"/>
  <c r="H116" i="14"/>
  <c r="I116" i="14"/>
  <c r="J116" i="14"/>
  <c r="H117" i="14"/>
  <c r="I117" i="14"/>
  <c r="J117" i="14"/>
  <c r="H118" i="14"/>
  <c r="I118" i="14"/>
  <c r="J118" i="14"/>
  <c r="H119" i="14"/>
  <c r="I119" i="14"/>
  <c r="J119" i="14"/>
  <c r="H120" i="14"/>
  <c r="I120" i="14"/>
  <c r="J120" i="14"/>
  <c r="J121" i="14"/>
  <c r="H122" i="14"/>
  <c r="I122" i="14"/>
  <c r="J122" i="14"/>
  <c r="H123" i="14"/>
  <c r="I123" i="14"/>
  <c r="J123" i="14"/>
  <c r="H124" i="14"/>
  <c r="I124" i="14"/>
  <c r="J124" i="14"/>
  <c r="H125" i="14"/>
  <c r="I125" i="14"/>
  <c r="J125" i="14"/>
  <c r="H126" i="14"/>
  <c r="I126" i="14"/>
  <c r="J126" i="14"/>
  <c r="H127" i="14"/>
  <c r="I127" i="14"/>
  <c r="J127" i="14"/>
  <c r="H128" i="14"/>
  <c r="I128" i="14"/>
  <c r="J128" i="14"/>
  <c r="J129" i="14"/>
  <c r="H130" i="14"/>
  <c r="I130" i="14"/>
  <c r="J130" i="14"/>
  <c r="H131" i="14"/>
  <c r="I131" i="14"/>
  <c r="J131" i="14"/>
  <c r="H132" i="14"/>
  <c r="I132" i="14"/>
  <c r="J132" i="14"/>
  <c r="J133" i="14"/>
  <c r="H134" i="14"/>
  <c r="I134" i="14"/>
  <c r="J134" i="14"/>
  <c r="H135" i="14"/>
  <c r="I135" i="14"/>
  <c r="J135" i="14"/>
  <c r="H136" i="14"/>
  <c r="I136" i="14"/>
  <c r="J136" i="14"/>
  <c r="H137" i="14"/>
  <c r="I137" i="14"/>
  <c r="J137" i="14"/>
  <c r="H138" i="14"/>
  <c r="I138" i="14"/>
  <c r="J138" i="14"/>
  <c r="H139" i="14"/>
  <c r="I139" i="14"/>
  <c r="J139" i="14"/>
  <c r="H140" i="14"/>
  <c r="I140" i="14"/>
  <c r="J140" i="14"/>
  <c r="H141" i="14"/>
  <c r="I141" i="14"/>
  <c r="J141" i="14"/>
  <c r="J142" i="14"/>
  <c r="H143" i="14"/>
  <c r="I143" i="14"/>
  <c r="J143" i="14"/>
  <c r="J144" i="14"/>
  <c r="H145" i="14"/>
  <c r="I145" i="14"/>
  <c r="J145" i="14"/>
  <c r="H146" i="14"/>
  <c r="I146" i="14"/>
  <c r="J146" i="14"/>
  <c r="H147" i="14"/>
  <c r="I147" i="14"/>
  <c r="J147" i="14"/>
  <c r="H148" i="14"/>
  <c r="I148" i="14"/>
  <c r="J148" i="14"/>
  <c r="H149" i="14"/>
  <c r="I149" i="14"/>
  <c r="J149" i="14"/>
  <c r="H150" i="14"/>
  <c r="I150" i="14"/>
  <c r="J150" i="14"/>
  <c r="H151" i="14"/>
  <c r="I151" i="14"/>
  <c r="J151" i="14"/>
  <c r="H152" i="14"/>
  <c r="I152" i="14"/>
  <c r="J152" i="14"/>
  <c r="H153" i="14"/>
  <c r="I153" i="14"/>
  <c r="J153" i="14"/>
  <c r="H154" i="14"/>
  <c r="I154" i="14"/>
  <c r="J154" i="14"/>
  <c r="H155" i="14"/>
  <c r="I155" i="14"/>
  <c r="J155" i="14"/>
  <c r="H156" i="14"/>
  <c r="I156" i="14"/>
  <c r="J156" i="14"/>
  <c r="H157" i="14"/>
  <c r="I157" i="14"/>
  <c r="J157" i="14"/>
  <c r="H158" i="14"/>
  <c r="I158" i="14"/>
  <c r="J158" i="14"/>
  <c r="H159" i="14"/>
  <c r="I159" i="14"/>
  <c r="J159" i="14"/>
  <c r="H160" i="14"/>
  <c r="I160" i="14"/>
  <c r="J160" i="14"/>
  <c r="J161" i="14"/>
  <c r="H162" i="14"/>
  <c r="I162" i="14"/>
  <c r="J162" i="14"/>
  <c r="H163" i="14"/>
  <c r="I163" i="14"/>
  <c r="J163" i="14"/>
  <c r="J164" i="14"/>
  <c r="H165" i="14"/>
  <c r="I165" i="14"/>
  <c r="J165" i="14"/>
  <c r="H166" i="14"/>
  <c r="I166" i="14"/>
  <c r="J166" i="14"/>
  <c r="H167" i="14"/>
  <c r="I167" i="14"/>
  <c r="J167" i="14"/>
  <c r="J168" i="14"/>
  <c r="J169" i="14"/>
  <c r="H170" i="14"/>
  <c r="I170" i="14"/>
  <c r="J170" i="14"/>
  <c r="H171" i="14"/>
  <c r="I171" i="14"/>
  <c r="J171" i="14"/>
  <c r="H172" i="14"/>
  <c r="I172" i="14"/>
  <c r="J172" i="14"/>
  <c r="H173" i="14"/>
  <c r="I173" i="14"/>
  <c r="J173" i="14"/>
  <c r="H174" i="14"/>
  <c r="I174" i="14"/>
  <c r="J174" i="14"/>
  <c r="H175" i="14"/>
  <c r="I175" i="14"/>
  <c r="J175" i="14"/>
  <c r="H176" i="14"/>
  <c r="I176" i="14"/>
  <c r="J176" i="14"/>
  <c r="H177" i="14"/>
  <c r="I177" i="14"/>
  <c r="J177" i="14"/>
  <c r="H178" i="14"/>
  <c r="I178" i="14"/>
  <c r="J178" i="14"/>
  <c r="H179" i="14"/>
  <c r="I179" i="14"/>
  <c r="J179" i="14"/>
  <c r="H180" i="14"/>
  <c r="I180" i="14"/>
  <c r="J180" i="14"/>
  <c r="J181" i="14"/>
  <c r="H182" i="14"/>
  <c r="I182" i="14"/>
  <c r="J182" i="14"/>
  <c r="H183" i="14"/>
  <c r="I183" i="14"/>
  <c r="J183" i="14"/>
  <c r="H184" i="14"/>
  <c r="I184" i="14"/>
  <c r="J184" i="14"/>
  <c r="H185" i="14"/>
  <c r="I185" i="14"/>
  <c r="J185" i="14"/>
  <c r="H186" i="14"/>
  <c r="I186" i="14"/>
  <c r="J186" i="14"/>
  <c r="H187" i="14"/>
  <c r="I187" i="14"/>
  <c r="J187" i="14"/>
  <c r="J188" i="14"/>
  <c r="H189" i="14"/>
  <c r="I189" i="14"/>
  <c r="J189" i="14"/>
  <c r="H190" i="14"/>
  <c r="I190" i="14"/>
  <c r="J190" i="14"/>
  <c r="H191" i="14"/>
  <c r="I191" i="14"/>
  <c r="J191" i="14"/>
  <c r="H192" i="14"/>
  <c r="I192" i="14"/>
  <c r="J192" i="14"/>
  <c r="H193" i="14"/>
  <c r="I193" i="14"/>
  <c r="J193" i="14"/>
  <c r="H194" i="14"/>
  <c r="I194" i="14"/>
  <c r="J194" i="14"/>
  <c r="H195" i="14"/>
  <c r="I195" i="14"/>
  <c r="J195" i="14"/>
  <c r="H196" i="14"/>
  <c r="I196" i="14"/>
  <c r="J196" i="14"/>
  <c r="H197" i="14"/>
  <c r="I197" i="14"/>
  <c r="J197" i="14"/>
  <c r="H198" i="14"/>
  <c r="I198" i="14"/>
  <c r="J198" i="14"/>
  <c r="H199" i="14"/>
  <c r="I199" i="14"/>
  <c r="J199" i="14"/>
  <c r="H200" i="14"/>
  <c r="I200" i="14"/>
  <c r="J200" i="14"/>
  <c r="H201" i="14"/>
  <c r="I201" i="14"/>
  <c r="J201" i="14"/>
  <c r="I202" i="14"/>
  <c r="J202" i="14"/>
  <c r="H203" i="14"/>
  <c r="I203" i="14"/>
  <c r="J203" i="14"/>
  <c r="H204" i="14"/>
  <c r="I204" i="14"/>
  <c r="J204" i="14"/>
  <c r="H205" i="14"/>
  <c r="I205" i="14"/>
  <c r="J205" i="14"/>
  <c r="J206" i="14"/>
  <c r="H207" i="14"/>
  <c r="I207" i="14"/>
  <c r="J207" i="14"/>
  <c r="H208" i="14"/>
  <c r="I208" i="14"/>
  <c r="J208" i="14"/>
  <c r="H209" i="14"/>
  <c r="I209" i="14"/>
  <c r="J209" i="14"/>
  <c r="H210" i="14"/>
  <c r="I210" i="14"/>
  <c r="J210" i="14"/>
  <c r="J211" i="14"/>
  <c r="H212" i="14"/>
  <c r="I212" i="14"/>
  <c r="J212" i="14"/>
  <c r="J213" i="14"/>
  <c r="H214" i="14"/>
  <c r="I214" i="14"/>
  <c r="J214" i="14"/>
  <c r="H215" i="14"/>
  <c r="I215" i="14"/>
  <c r="J215" i="14"/>
  <c r="H216" i="14"/>
  <c r="I216" i="14"/>
  <c r="J216" i="14"/>
  <c r="H217" i="14"/>
  <c r="I217" i="14"/>
  <c r="J217" i="14"/>
  <c r="H218" i="14"/>
  <c r="I218" i="14"/>
  <c r="J218" i="14"/>
  <c r="H219" i="14"/>
  <c r="I219" i="14"/>
  <c r="J219" i="14"/>
  <c r="H220" i="14"/>
  <c r="I220" i="14"/>
  <c r="J220" i="14"/>
  <c r="H221" i="14"/>
  <c r="I221" i="14"/>
  <c r="J221" i="14"/>
  <c r="H222" i="14"/>
  <c r="I222" i="14"/>
  <c r="J222" i="14"/>
  <c r="H223" i="14"/>
  <c r="I223" i="14"/>
  <c r="J223" i="14"/>
  <c r="H224" i="14"/>
  <c r="I224" i="14"/>
  <c r="J224" i="14"/>
  <c r="H225" i="14"/>
  <c r="I225" i="14"/>
  <c r="J225" i="14"/>
  <c r="H226" i="14"/>
  <c r="I226" i="14"/>
  <c r="J226" i="14"/>
  <c r="H227" i="14"/>
  <c r="I227" i="14"/>
  <c r="J227" i="14"/>
  <c r="H228" i="14"/>
  <c r="I228" i="14"/>
  <c r="J228" i="14"/>
  <c r="H229" i="14"/>
  <c r="I229" i="14"/>
  <c r="J229" i="14"/>
  <c r="H230" i="14"/>
  <c r="I230" i="14"/>
  <c r="J230" i="14"/>
  <c r="H231" i="14"/>
  <c r="I231" i="14"/>
  <c r="J231" i="14"/>
  <c r="H232" i="14"/>
  <c r="I232" i="14"/>
  <c r="J232" i="14"/>
  <c r="H233" i="14"/>
  <c r="I233" i="14"/>
  <c r="J233" i="14"/>
  <c r="H234" i="14"/>
  <c r="I234" i="14"/>
  <c r="J234" i="14"/>
  <c r="H235" i="14"/>
  <c r="I235" i="14"/>
  <c r="J235" i="14"/>
  <c r="H236" i="14"/>
  <c r="I236" i="14"/>
  <c r="J236" i="14"/>
  <c r="H237" i="14"/>
  <c r="I237" i="14"/>
  <c r="J237" i="14"/>
  <c r="H238" i="14"/>
  <c r="I238" i="14"/>
  <c r="J238" i="14"/>
  <c r="H239" i="14"/>
  <c r="I239" i="14"/>
  <c r="J239" i="14"/>
  <c r="H240" i="14"/>
  <c r="I240" i="14"/>
  <c r="J240" i="14"/>
  <c r="H241" i="14"/>
  <c r="I241" i="14"/>
  <c r="J241" i="14"/>
  <c r="H242" i="14"/>
  <c r="I242" i="14"/>
  <c r="J242" i="14"/>
  <c r="H243" i="14"/>
  <c r="I243" i="14"/>
  <c r="J243" i="14"/>
  <c r="H244" i="14"/>
  <c r="I244" i="14"/>
  <c r="J244" i="14"/>
  <c r="J245" i="14"/>
  <c r="H246" i="14"/>
  <c r="I246" i="14"/>
  <c r="J246" i="14"/>
  <c r="H247" i="14"/>
  <c r="I247" i="14"/>
  <c r="J247" i="14"/>
  <c r="H248" i="14"/>
  <c r="I248" i="14"/>
  <c r="J248" i="14"/>
  <c r="H249" i="14"/>
  <c r="I249" i="14"/>
  <c r="J249" i="14"/>
  <c r="H250" i="14"/>
  <c r="I250" i="14"/>
  <c r="J250" i="14"/>
  <c r="H251" i="14"/>
  <c r="I251" i="14"/>
  <c r="J251" i="14"/>
  <c r="H252" i="14"/>
  <c r="I252" i="14"/>
  <c r="J252" i="14"/>
  <c r="H253" i="14"/>
  <c r="I253" i="14"/>
  <c r="J253" i="14"/>
  <c r="H254" i="14"/>
  <c r="I254" i="14"/>
  <c r="J254" i="14"/>
  <c r="H255" i="14"/>
  <c r="I255" i="14"/>
  <c r="J255" i="14"/>
  <c r="H256" i="14"/>
  <c r="I256" i="14"/>
  <c r="J256" i="14"/>
  <c r="H257" i="14"/>
  <c r="I257" i="14"/>
  <c r="J257" i="14"/>
  <c r="H258" i="14"/>
  <c r="I258" i="14"/>
  <c r="J258" i="14"/>
  <c r="H259" i="14"/>
  <c r="I259" i="14"/>
  <c r="J259" i="14"/>
  <c r="H260" i="14"/>
  <c r="I260" i="14"/>
  <c r="J260" i="14"/>
  <c r="H261" i="14"/>
  <c r="I261" i="14"/>
  <c r="J261" i="14"/>
  <c r="H262" i="14"/>
  <c r="I262" i="14"/>
  <c r="J262" i="14"/>
  <c r="H263" i="14"/>
  <c r="I263" i="14"/>
  <c r="J263" i="14"/>
  <c r="J264" i="14"/>
  <c r="H265" i="14"/>
  <c r="I265" i="14"/>
  <c r="J265" i="14"/>
  <c r="H266" i="14"/>
  <c r="I266" i="14"/>
  <c r="J266" i="14"/>
  <c r="H267" i="14"/>
  <c r="I267" i="14"/>
  <c r="J267" i="14"/>
  <c r="H268" i="14"/>
  <c r="I268" i="14"/>
  <c r="J268" i="14"/>
  <c r="H269" i="14"/>
  <c r="I269" i="14"/>
  <c r="J269" i="14"/>
  <c r="H270" i="14"/>
  <c r="I270" i="14"/>
  <c r="J270" i="14"/>
  <c r="H271" i="14"/>
  <c r="I271" i="14"/>
  <c r="J271" i="14"/>
  <c r="H272" i="14"/>
  <c r="I272" i="14"/>
  <c r="J272" i="14"/>
  <c r="H273" i="14"/>
  <c r="I273" i="14"/>
  <c r="J273" i="14"/>
  <c r="H274" i="14"/>
  <c r="I274" i="14"/>
  <c r="J274" i="14"/>
  <c r="H275" i="14"/>
  <c r="I275" i="14"/>
  <c r="J275" i="14"/>
  <c r="H276" i="14"/>
  <c r="I276" i="14"/>
  <c r="J276" i="14"/>
  <c r="H277" i="14"/>
  <c r="I277" i="14"/>
  <c r="J277" i="14"/>
  <c r="H278" i="14"/>
  <c r="I278" i="14"/>
  <c r="J278" i="14"/>
  <c r="H279" i="14"/>
  <c r="I279" i="14"/>
  <c r="J279" i="14"/>
  <c r="H280" i="14"/>
  <c r="I280" i="14"/>
  <c r="J280" i="14"/>
  <c r="H281" i="14"/>
  <c r="I281" i="14"/>
  <c r="J281" i="14"/>
  <c r="H282" i="14"/>
  <c r="I282" i="14"/>
  <c r="J282" i="14"/>
  <c r="H283" i="14"/>
  <c r="I283" i="14"/>
  <c r="J283" i="14"/>
  <c r="H284" i="14"/>
  <c r="I284" i="14"/>
  <c r="J284" i="14"/>
  <c r="H285" i="14"/>
  <c r="I285" i="14"/>
  <c r="J285" i="14"/>
  <c r="H286" i="14"/>
  <c r="I286" i="14"/>
  <c r="J286" i="14"/>
  <c r="H287" i="14"/>
  <c r="I287" i="14"/>
  <c r="J287" i="14"/>
  <c r="H288" i="14"/>
  <c r="I288" i="14"/>
  <c r="J288" i="14"/>
  <c r="H289" i="14"/>
  <c r="I289" i="14"/>
  <c r="J289" i="14"/>
  <c r="H290" i="14"/>
  <c r="I290" i="14"/>
  <c r="J290" i="14"/>
  <c r="H291" i="14"/>
  <c r="I291" i="14"/>
  <c r="J291" i="14"/>
  <c r="H292" i="14"/>
  <c r="I292" i="14"/>
  <c r="J292" i="14"/>
  <c r="H293" i="14"/>
  <c r="I293" i="14"/>
  <c r="J293" i="14"/>
  <c r="H294" i="14"/>
  <c r="I294" i="14"/>
  <c r="J294" i="14"/>
  <c r="H295" i="14"/>
  <c r="I295" i="14"/>
  <c r="J295" i="14"/>
  <c r="H296" i="14"/>
  <c r="I296" i="14"/>
  <c r="J296" i="14"/>
  <c r="H297" i="14"/>
  <c r="I297" i="14"/>
  <c r="J297" i="14"/>
  <c r="H298" i="14"/>
  <c r="I298" i="14"/>
  <c r="J298" i="14"/>
  <c r="H299" i="14"/>
  <c r="I299" i="14"/>
  <c r="J299" i="14"/>
  <c r="H300" i="14"/>
  <c r="I300" i="14"/>
  <c r="J300" i="14"/>
  <c r="H301" i="14"/>
  <c r="I301" i="14"/>
  <c r="J301" i="14"/>
  <c r="H302" i="14"/>
  <c r="I302" i="14"/>
  <c r="J302" i="14"/>
  <c r="H303" i="14"/>
  <c r="I303" i="14"/>
  <c r="J303" i="14"/>
  <c r="H304" i="14"/>
  <c r="I304" i="14"/>
  <c r="J304" i="14"/>
  <c r="H305" i="14"/>
  <c r="I305" i="14"/>
  <c r="J305" i="14"/>
  <c r="H306" i="14"/>
  <c r="I306" i="14"/>
  <c r="J306" i="14"/>
  <c r="H307" i="14"/>
  <c r="I307" i="14"/>
  <c r="J307" i="14"/>
  <c r="H308" i="14"/>
  <c r="I308" i="14"/>
  <c r="J308" i="14"/>
  <c r="H309" i="14"/>
  <c r="I309" i="14"/>
  <c r="J309" i="14"/>
  <c r="H310" i="14"/>
  <c r="I310" i="14"/>
  <c r="J310" i="14"/>
  <c r="H311" i="14"/>
  <c r="I311" i="14"/>
  <c r="J311" i="14"/>
  <c r="H312" i="14"/>
  <c r="I312" i="14"/>
  <c r="J312" i="14"/>
  <c r="J313" i="14"/>
  <c r="H314" i="14"/>
  <c r="I314" i="14"/>
  <c r="J314" i="14"/>
  <c r="H315" i="14"/>
  <c r="I315" i="14"/>
  <c r="J315" i="14"/>
  <c r="H316" i="14"/>
  <c r="I316" i="14"/>
  <c r="J316" i="14"/>
  <c r="H317" i="14"/>
  <c r="I317" i="14"/>
  <c r="J317" i="14"/>
  <c r="H318" i="14"/>
  <c r="I318" i="14"/>
  <c r="J318" i="14"/>
  <c r="H319" i="14"/>
  <c r="I319" i="14"/>
  <c r="J319" i="14"/>
  <c r="H320" i="14"/>
  <c r="I320" i="14"/>
  <c r="J320" i="14"/>
  <c r="H321" i="14"/>
  <c r="I321" i="14"/>
  <c r="J321" i="14"/>
  <c r="H322" i="14"/>
  <c r="I322" i="14"/>
  <c r="J322" i="14"/>
  <c r="H323" i="14"/>
  <c r="I323" i="14"/>
  <c r="J323" i="14"/>
  <c r="J324" i="14"/>
  <c r="H325" i="14"/>
  <c r="I325" i="14"/>
  <c r="J325" i="14"/>
  <c r="H326" i="14"/>
  <c r="I326" i="14"/>
  <c r="J326" i="14"/>
  <c r="H327" i="14"/>
  <c r="I327" i="14"/>
  <c r="J327" i="14"/>
  <c r="H328" i="14"/>
  <c r="I328" i="14"/>
  <c r="J328" i="14"/>
  <c r="H329" i="14"/>
  <c r="I329" i="14"/>
  <c r="J329" i="14"/>
  <c r="J330" i="14"/>
  <c r="H331" i="14"/>
  <c r="I331" i="14"/>
  <c r="J331" i="14"/>
  <c r="H332" i="14"/>
  <c r="I332" i="14"/>
  <c r="J332" i="14"/>
  <c r="H333" i="14"/>
  <c r="I333" i="14"/>
  <c r="J333" i="14"/>
  <c r="H334" i="14"/>
  <c r="I334" i="14"/>
  <c r="J334" i="14"/>
  <c r="H335" i="14"/>
  <c r="I335" i="14"/>
  <c r="J335" i="14"/>
  <c r="H336" i="14"/>
  <c r="I336" i="14"/>
  <c r="J336" i="14"/>
  <c r="J337" i="14"/>
  <c r="H338" i="14"/>
  <c r="I338" i="14"/>
  <c r="J338" i="14"/>
  <c r="H339" i="14"/>
  <c r="I339" i="14"/>
  <c r="J339" i="14"/>
  <c r="H340" i="14"/>
  <c r="I340" i="14"/>
  <c r="J340" i="14"/>
  <c r="J341" i="14"/>
  <c r="H342" i="14"/>
  <c r="I342" i="14"/>
  <c r="J342" i="14"/>
  <c r="H343" i="14"/>
  <c r="I343" i="14"/>
  <c r="J343" i="14"/>
  <c r="H344" i="14"/>
  <c r="I344" i="14"/>
  <c r="J344" i="14"/>
  <c r="J345" i="14"/>
  <c r="H346" i="14"/>
  <c r="I346" i="14"/>
  <c r="J346" i="14"/>
  <c r="H347" i="14"/>
  <c r="I347" i="14"/>
  <c r="J347" i="14"/>
  <c r="H348" i="14"/>
  <c r="I348" i="14"/>
  <c r="J348" i="14"/>
  <c r="H349" i="14"/>
  <c r="I349" i="14"/>
  <c r="J349" i="14"/>
  <c r="H350" i="14"/>
  <c r="I350" i="14"/>
  <c r="J350" i="14"/>
  <c r="H351" i="14"/>
  <c r="I351" i="14"/>
  <c r="J351" i="14"/>
  <c r="J352" i="14"/>
  <c r="H353" i="14"/>
  <c r="I353" i="14"/>
  <c r="J353" i="14"/>
  <c r="H354" i="14"/>
  <c r="I354" i="14"/>
  <c r="J354" i="14"/>
  <c r="H355" i="14"/>
  <c r="I355" i="14"/>
  <c r="J355" i="14"/>
  <c r="H356" i="14"/>
  <c r="I356" i="14"/>
  <c r="J356" i="14"/>
  <c r="H357" i="14"/>
  <c r="I357" i="14"/>
  <c r="J357" i="14"/>
  <c r="J358" i="14"/>
  <c r="H359" i="14"/>
  <c r="I359" i="14"/>
  <c r="J359" i="14"/>
  <c r="H360" i="14"/>
  <c r="I360" i="14"/>
  <c r="J360" i="14"/>
  <c r="H361" i="14"/>
  <c r="I361" i="14"/>
  <c r="J361" i="14"/>
  <c r="H362" i="14"/>
  <c r="I362" i="14"/>
  <c r="J362" i="14"/>
  <c r="H363" i="14"/>
  <c r="I363" i="14"/>
  <c r="J363" i="14"/>
  <c r="H364" i="14"/>
  <c r="I364" i="14"/>
  <c r="J364" i="14"/>
  <c r="H365" i="14"/>
  <c r="I365" i="14"/>
  <c r="J365" i="14"/>
  <c r="H366" i="14"/>
  <c r="I366" i="14"/>
  <c r="J366" i="14"/>
  <c r="J367" i="14"/>
  <c r="H368" i="14"/>
  <c r="I368" i="14"/>
  <c r="J368" i="14"/>
  <c r="H369" i="14"/>
  <c r="I369" i="14"/>
  <c r="J369" i="14"/>
  <c r="H370" i="14"/>
  <c r="I370" i="14"/>
  <c r="J370" i="14"/>
  <c r="H371" i="14"/>
  <c r="I371" i="14"/>
  <c r="J371" i="14"/>
  <c r="H372" i="14"/>
  <c r="I372" i="14"/>
  <c r="J372" i="14"/>
  <c r="H373" i="14"/>
  <c r="I373" i="14"/>
  <c r="J373" i="14"/>
  <c r="H374" i="14"/>
  <c r="I374" i="14"/>
  <c r="J374" i="14"/>
  <c r="H375" i="14"/>
  <c r="I375" i="14"/>
  <c r="J375" i="14"/>
  <c r="J376" i="14"/>
  <c r="H377" i="14"/>
  <c r="I377" i="14"/>
  <c r="J377" i="14"/>
  <c r="H378" i="14"/>
  <c r="I378" i="14"/>
  <c r="J378" i="14"/>
  <c r="H379" i="14"/>
  <c r="I379" i="14"/>
  <c r="J379" i="14"/>
  <c r="H380" i="14"/>
  <c r="I380" i="14"/>
  <c r="J380" i="14"/>
  <c r="H381" i="14"/>
  <c r="I381" i="14"/>
  <c r="J381" i="14"/>
  <c r="H382" i="14"/>
  <c r="I382" i="14"/>
  <c r="J382" i="14"/>
  <c r="H383" i="14"/>
  <c r="I383" i="14"/>
  <c r="J383" i="14"/>
  <c r="H384" i="14"/>
  <c r="I384" i="14"/>
  <c r="J384" i="14"/>
  <c r="H385" i="14"/>
  <c r="I385" i="14"/>
  <c r="J385" i="14"/>
  <c r="H386" i="14"/>
  <c r="I386" i="14"/>
  <c r="J386" i="14"/>
  <c r="H387" i="14"/>
  <c r="I387" i="14"/>
  <c r="J387" i="14"/>
  <c r="H388" i="14"/>
  <c r="I388" i="14"/>
  <c r="J388" i="14"/>
  <c r="H389" i="14"/>
  <c r="I389" i="14"/>
  <c r="J389" i="14"/>
  <c r="H390" i="14"/>
  <c r="I390" i="14"/>
  <c r="J390" i="14"/>
  <c r="H391" i="14"/>
  <c r="I391" i="14"/>
  <c r="J391" i="14"/>
  <c r="H392" i="14"/>
  <c r="I392" i="14"/>
  <c r="J392" i="14"/>
  <c r="H393" i="14"/>
  <c r="I393" i="14"/>
  <c r="J393" i="14"/>
  <c r="H394" i="14"/>
  <c r="I394" i="14"/>
  <c r="J394" i="14"/>
  <c r="H395" i="14"/>
  <c r="I395" i="14"/>
  <c r="J395" i="14"/>
  <c r="J396" i="14"/>
  <c r="H397" i="14"/>
  <c r="I397" i="14"/>
  <c r="J397" i="14"/>
  <c r="H398" i="14"/>
  <c r="I398" i="14"/>
  <c r="J398" i="14"/>
  <c r="H399" i="14"/>
  <c r="I399" i="14"/>
  <c r="J399" i="14"/>
  <c r="J400" i="14"/>
  <c r="H401" i="14"/>
  <c r="I401" i="14"/>
  <c r="J401" i="14"/>
  <c r="J402" i="14"/>
  <c r="H403" i="14"/>
  <c r="I403" i="14"/>
  <c r="J403" i="14"/>
  <c r="H404" i="14"/>
  <c r="I404" i="14"/>
  <c r="J404" i="14"/>
  <c r="J405" i="14"/>
  <c r="H406" i="14"/>
  <c r="I406" i="14"/>
  <c r="J406" i="14"/>
  <c r="H407" i="14"/>
  <c r="I407" i="14"/>
  <c r="J407" i="14"/>
  <c r="H408" i="14"/>
  <c r="I408" i="14"/>
  <c r="J408" i="14"/>
  <c r="H409" i="14"/>
  <c r="I409" i="14"/>
  <c r="J409" i="14"/>
  <c r="H410" i="14"/>
  <c r="I410" i="14"/>
  <c r="J410" i="14"/>
  <c r="H411" i="14"/>
  <c r="I411" i="14"/>
  <c r="J411" i="14"/>
  <c r="H412" i="14"/>
  <c r="I412" i="14"/>
  <c r="J412" i="14"/>
  <c r="H413" i="14"/>
  <c r="I413" i="14"/>
  <c r="J413" i="14"/>
  <c r="H414" i="14"/>
  <c r="I414" i="14"/>
  <c r="J414" i="14"/>
  <c r="H415" i="14"/>
  <c r="I415" i="14"/>
  <c r="J415" i="14"/>
  <c r="H416" i="14"/>
  <c r="I416" i="14"/>
  <c r="J416" i="14"/>
  <c r="J417" i="14"/>
  <c r="H418" i="14"/>
  <c r="I418" i="14"/>
  <c r="J418" i="14"/>
  <c r="H419" i="14"/>
  <c r="I419" i="14"/>
  <c r="J419" i="14"/>
  <c r="H420" i="14"/>
  <c r="I420" i="14"/>
  <c r="J420" i="14"/>
  <c r="H421" i="14"/>
  <c r="I421" i="14"/>
  <c r="J421" i="14"/>
  <c r="H422" i="14"/>
  <c r="I422" i="14"/>
  <c r="J422" i="14"/>
  <c r="H423" i="14"/>
  <c r="I423" i="14"/>
  <c r="J423" i="14"/>
  <c r="H424" i="14"/>
  <c r="I424" i="14"/>
  <c r="J424" i="14"/>
  <c r="H425" i="14"/>
  <c r="I425" i="14"/>
  <c r="J425" i="14"/>
  <c r="H426" i="14"/>
  <c r="I426" i="14"/>
  <c r="J426" i="14"/>
  <c r="H427" i="14"/>
  <c r="I427" i="14"/>
  <c r="J427" i="14"/>
  <c r="H428" i="14"/>
  <c r="I428" i="14"/>
  <c r="J428" i="14"/>
  <c r="H429" i="14"/>
  <c r="I429" i="14"/>
  <c r="J429" i="14"/>
  <c r="H430" i="14"/>
  <c r="I430" i="14"/>
  <c r="J430" i="14"/>
  <c r="I431" i="14"/>
  <c r="J431" i="14"/>
  <c r="H432" i="14"/>
  <c r="I432" i="14"/>
  <c r="J432" i="14"/>
  <c r="H433" i="14"/>
  <c r="I433" i="14"/>
  <c r="J433" i="14"/>
  <c r="H434" i="14"/>
  <c r="I434" i="14"/>
  <c r="J434" i="14"/>
  <c r="H435" i="14"/>
  <c r="I435" i="14"/>
  <c r="J435" i="14"/>
  <c r="H436" i="14"/>
  <c r="I436" i="14"/>
  <c r="J436" i="14"/>
  <c r="H437" i="14"/>
  <c r="I437" i="14"/>
  <c r="J437" i="14"/>
  <c r="H438" i="14"/>
  <c r="I438" i="14"/>
  <c r="J438" i="14"/>
  <c r="H439" i="14"/>
  <c r="I439" i="14"/>
  <c r="J439" i="14"/>
  <c r="H440" i="14"/>
  <c r="I440" i="14"/>
  <c r="J440" i="14"/>
  <c r="J441" i="14"/>
  <c r="H442" i="14"/>
  <c r="I442" i="14"/>
  <c r="J442" i="14"/>
  <c r="H443" i="14"/>
  <c r="I443" i="14"/>
  <c r="J443" i="14"/>
  <c r="H444" i="14"/>
  <c r="I444" i="14"/>
  <c r="J444" i="14"/>
  <c r="H445" i="14"/>
  <c r="I445" i="14"/>
  <c r="J445" i="14"/>
  <c r="H446" i="14"/>
  <c r="I446" i="14"/>
  <c r="J446" i="14"/>
  <c r="H447" i="14"/>
  <c r="I447" i="14"/>
  <c r="J447" i="14"/>
  <c r="H448" i="14"/>
  <c r="I448" i="14"/>
  <c r="J448" i="14"/>
  <c r="H449" i="14"/>
  <c r="I449" i="14"/>
  <c r="J449" i="14"/>
  <c r="H450" i="14"/>
  <c r="I450" i="14"/>
  <c r="J450" i="14"/>
  <c r="H451" i="14"/>
  <c r="I451" i="14"/>
  <c r="J451" i="14"/>
  <c r="H452" i="14"/>
  <c r="I452" i="14"/>
  <c r="J452" i="14"/>
  <c r="H453" i="14"/>
  <c r="I453" i="14"/>
  <c r="J453" i="14"/>
  <c r="H454" i="14"/>
  <c r="I454" i="14"/>
  <c r="J454" i="14"/>
  <c r="J455" i="14"/>
  <c r="H456" i="14"/>
  <c r="I456" i="14"/>
  <c r="J456" i="14"/>
  <c r="H457" i="14"/>
  <c r="I457" i="14"/>
  <c r="J457" i="14"/>
  <c r="H458" i="14"/>
  <c r="I458" i="14"/>
  <c r="J458" i="14"/>
  <c r="J459" i="14"/>
  <c r="J460" i="14"/>
  <c r="H461" i="14"/>
  <c r="I461" i="14"/>
  <c r="J461" i="14"/>
  <c r="H462" i="14"/>
  <c r="I462" i="14"/>
  <c r="J462" i="14"/>
  <c r="H463" i="14"/>
  <c r="I463" i="14"/>
  <c r="J463" i="14"/>
  <c r="H464" i="14"/>
  <c r="I464" i="14"/>
  <c r="J464" i="14"/>
  <c r="H465" i="14"/>
  <c r="I465" i="14"/>
  <c r="J465" i="14"/>
  <c r="H466" i="14"/>
  <c r="I466" i="14"/>
  <c r="J466" i="14"/>
  <c r="H467" i="14"/>
  <c r="I467" i="14"/>
  <c r="J467" i="14"/>
  <c r="H468" i="14"/>
  <c r="I468" i="14"/>
  <c r="J468" i="14"/>
  <c r="H469" i="14"/>
  <c r="I469" i="14"/>
  <c r="J469" i="14"/>
  <c r="H470" i="14"/>
  <c r="I470" i="14"/>
  <c r="J470" i="14"/>
  <c r="J471" i="14"/>
  <c r="H472" i="14"/>
  <c r="I472" i="14"/>
  <c r="J472" i="14"/>
  <c r="H473" i="14"/>
  <c r="I473" i="14"/>
  <c r="J473" i="14"/>
  <c r="H474" i="14"/>
  <c r="I474" i="14"/>
  <c r="J474" i="14"/>
  <c r="H475" i="14"/>
  <c r="I475" i="14"/>
  <c r="J475" i="14"/>
  <c r="H476" i="14"/>
  <c r="I476" i="14"/>
  <c r="J476" i="14"/>
  <c r="H477" i="14"/>
  <c r="I477" i="14"/>
  <c r="J477" i="14"/>
  <c r="H478" i="14"/>
  <c r="I478" i="14"/>
  <c r="J478" i="14"/>
  <c r="H479" i="14"/>
  <c r="I479" i="14"/>
  <c r="J479" i="14"/>
  <c r="H480" i="14"/>
  <c r="I480" i="14"/>
  <c r="J480" i="14"/>
  <c r="H481" i="14"/>
  <c r="I481" i="14"/>
  <c r="J481" i="14"/>
  <c r="H482" i="14"/>
  <c r="I482" i="14"/>
  <c r="J482" i="14"/>
  <c r="H483" i="14"/>
  <c r="I483" i="14"/>
  <c r="J483" i="14"/>
  <c r="H484" i="14"/>
  <c r="I484" i="14"/>
  <c r="J484" i="14"/>
  <c r="H485" i="14"/>
  <c r="I485" i="14"/>
  <c r="J485" i="14"/>
  <c r="H486" i="14"/>
  <c r="I486" i="14"/>
  <c r="J486" i="14"/>
  <c r="H487" i="14"/>
  <c r="I487" i="14"/>
  <c r="J487" i="14"/>
  <c r="H488" i="14"/>
  <c r="I488" i="14"/>
  <c r="J488" i="14"/>
  <c r="H489" i="14"/>
  <c r="I489" i="14"/>
  <c r="J489" i="14"/>
  <c r="H490" i="14"/>
  <c r="I490" i="14"/>
  <c r="J490" i="14"/>
  <c r="J491" i="14"/>
  <c r="H492" i="14"/>
  <c r="I492" i="14"/>
  <c r="J492" i="14"/>
  <c r="H493" i="14"/>
  <c r="I493" i="14"/>
  <c r="J493" i="14"/>
  <c r="H494" i="14"/>
  <c r="I494" i="14"/>
  <c r="J494" i="14"/>
  <c r="H495" i="14"/>
  <c r="I495" i="14"/>
  <c r="J495" i="14"/>
  <c r="H496" i="14"/>
  <c r="I496" i="14"/>
  <c r="J496" i="14"/>
  <c r="H497" i="14"/>
  <c r="I497" i="14"/>
  <c r="J497" i="14"/>
  <c r="H498" i="14"/>
  <c r="I498" i="14"/>
  <c r="J498" i="14"/>
  <c r="H499" i="14"/>
  <c r="I499" i="14"/>
  <c r="J499" i="14"/>
  <c r="H500" i="14"/>
  <c r="I500" i="14"/>
  <c r="J500" i="14"/>
  <c r="H501" i="14"/>
  <c r="I501" i="14"/>
  <c r="J501" i="14"/>
  <c r="H502" i="14"/>
  <c r="I502" i="14"/>
  <c r="J502" i="14"/>
  <c r="H503" i="14"/>
  <c r="I503" i="14"/>
  <c r="J503" i="14"/>
  <c r="J504" i="14"/>
  <c r="H505" i="14"/>
  <c r="I505" i="14"/>
  <c r="J505" i="14"/>
  <c r="H506" i="14"/>
  <c r="I506" i="14"/>
  <c r="J506" i="14"/>
  <c r="I507" i="14"/>
  <c r="J507" i="14"/>
  <c r="H508" i="14"/>
  <c r="I508" i="14"/>
  <c r="J508" i="14"/>
  <c r="H509" i="14"/>
  <c r="I509" i="14"/>
  <c r="J509" i="14"/>
  <c r="H510" i="14"/>
  <c r="I510" i="14"/>
  <c r="J510" i="14"/>
  <c r="H511" i="14"/>
  <c r="I511" i="14"/>
  <c r="J511" i="14"/>
  <c r="H512" i="14"/>
  <c r="I512" i="14"/>
  <c r="J512" i="14"/>
  <c r="H513" i="14"/>
  <c r="I513" i="14"/>
  <c r="J513" i="14"/>
  <c r="H514" i="14"/>
  <c r="I514" i="14"/>
  <c r="J514" i="14"/>
  <c r="H515" i="14"/>
  <c r="I515" i="14"/>
  <c r="J515" i="14"/>
  <c r="H516" i="14"/>
  <c r="I516" i="14"/>
  <c r="J516" i="14"/>
  <c r="J517" i="14"/>
  <c r="H518" i="14"/>
  <c r="I518" i="14"/>
  <c r="J518" i="14"/>
  <c r="J519" i="14"/>
  <c r="H520" i="14"/>
  <c r="I520" i="14"/>
  <c r="J520" i="14"/>
  <c r="H521" i="14"/>
  <c r="I521" i="14"/>
  <c r="J521" i="14"/>
  <c r="H522" i="14"/>
  <c r="I522" i="14"/>
  <c r="J522" i="14"/>
  <c r="H523" i="14"/>
  <c r="I523" i="14"/>
  <c r="J523" i="14"/>
  <c r="H524" i="14"/>
  <c r="I524" i="14"/>
  <c r="J524" i="14"/>
  <c r="H525" i="14"/>
  <c r="I525" i="14"/>
  <c r="J525" i="14"/>
  <c r="H526" i="14"/>
  <c r="I526" i="14"/>
  <c r="J526" i="14"/>
  <c r="H527" i="14"/>
  <c r="I527" i="14"/>
  <c r="J527" i="14"/>
  <c r="J528" i="14"/>
  <c r="H529" i="14"/>
  <c r="I529" i="14"/>
  <c r="J529" i="14"/>
  <c r="H530" i="14"/>
  <c r="I530" i="14"/>
  <c r="J530" i="14"/>
  <c r="H531" i="14"/>
  <c r="I531" i="14"/>
  <c r="J531" i="14"/>
  <c r="H532" i="14"/>
  <c r="I532" i="14"/>
  <c r="J532" i="14"/>
  <c r="H533" i="14"/>
  <c r="I533" i="14"/>
  <c r="J533" i="14"/>
  <c r="H534" i="14"/>
  <c r="I534" i="14"/>
  <c r="J534" i="14"/>
  <c r="H535" i="14"/>
  <c r="I535" i="14"/>
  <c r="J535" i="14"/>
  <c r="H536" i="14"/>
  <c r="I536" i="14"/>
  <c r="J536" i="14"/>
  <c r="H537" i="14"/>
  <c r="I537" i="14"/>
  <c r="J537" i="14"/>
  <c r="H538" i="14"/>
  <c r="I538" i="14"/>
  <c r="J538" i="14"/>
  <c r="H539" i="14"/>
  <c r="I539" i="14"/>
  <c r="J539" i="14"/>
  <c r="H540" i="14"/>
  <c r="I540" i="14"/>
  <c r="J540" i="14"/>
  <c r="H541" i="14"/>
  <c r="I541" i="14"/>
  <c r="J541" i="14"/>
  <c r="H542" i="14"/>
  <c r="I542" i="14"/>
  <c r="J542" i="14"/>
  <c r="H543" i="14"/>
  <c r="I543" i="14"/>
  <c r="J543" i="14"/>
  <c r="H544" i="14"/>
  <c r="I544" i="14"/>
  <c r="J544" i="14"/>
  <c r="H545" i="14"/>
  <c r="I545" i="14"/>
  <c r="J545" i="14"/>
  <c r="H546" i="14"/>
  <c r="I546" i="14"/>
  <c r="J546" i="14"/>
  <c r="H547" i="14"/>
  <c r="I547" i="14"/>
  <c r="J547" i="14"/>
  <c r="H548" i="14"/>
  <c r="I548" i="14"/>
  <c r="J548" i="14"/>
  <c r="H549" i="14"/>
  <c r="I549" i="14"/>
  <c r="J549" i="14"/>
  <c r="H550" i="14"/>
  <c r="I550" i="14"/>
  <c r="J550" i="14"/>
  <c r="H551" i="14"/>
  <c r="I551" i="14"/>
  <c r="J551" i="14"/>
  <c r="H552" i="14"/>
  <c r="I552" i="14"/>
  <c r="J552" i="14"/>
  <c r="H553" i="14"/>
  <c r="I553" i="14"/>
  <c r="J553" i="14"/>
  <c r="H554" i="14"/>
  <c r="I554" i="14"/>
  <c r="J554" i="14"/>
  <c r="H555" i="14"/>
  <c r="I555" i="14"/>
  <c r="J555" i="14"/>
  <c r="H556" i="14"/>
  <c r="I556" i="14"/>
  <c r="J556" i="14"/>
  <c r="H557" i="14"/>
  <c r="I557" i="14"/>
  <c r="J557" i="14"/>
  <c r="H558" i="14"/>
  <c r="I558" i="14"/>
  <c r="J558" i="14"/>
  <c r="H559" i="14"/>
  <c r="I559" i="14"/>
  <c r="J559" i="14"/>
  <c r="H560" i="14"/>
  <c r="I560" i="14"/>
  <c r="J560" i="14"/>
  <c r="H561" i="14"/>
  <c r="I561" i="14"/>
  <c r="J561" i="14"/>
  <c r="J562" i="14"/>
  <c r="H563" i="14"/>
  <c r="I563" i="14"/>
  <c r="J563" i="14"/>
  <c r="H564" i="14"/>
  <c r="I564" i="14"/>
  <c r="J564" i="14"/>
  <c r="H565" i="14"/>
  <c r="I565" i="14"/>
  <c r="J565" i="14"/>
  <c r="H566" i="14"/>
  <c r="I566" i="14"/>
  <c r="J566" i="14"/>
  <c r="H567" i="14"/>
  <c r="I567" i="14"/>
  <c r="J567" i="14"/>
  <c r="H568" i="14"/>
  <c r="I568" i="14"/>
  <c r="J568" i="14"/>
  <c r="H569" i="14"/>
  <c r="I569" i="14"/>
  <c r="J569" i="14"/>
  <c r="H570" i="14"/>
  <c r="I570" i="14"/>
  <c r="J570" i="14"/>
  <c r="H571" i="14"/>
  <c r="I571" i="14"/>
  <c r="J571" i="14"/>
  <c r="H572" i="14"/>
  <c r="I572" i="14"/>
  <c r="J572" i="14"/>
  <c r="H573" i="14"/>
  <c r="I573" i="14"/>
  <c r="J573" i="14"/>
  <c r="H574" i="14"/>
  <c r="I574" i="14"/>
  <c r="J574" i="14"/>
  <c r="H575" i="14"/>
  <c r="I575" i="14"/>
  <c r="J575" i="14"/>
  <c r="H576" i="14"/>
  <c r="I576" i="14"/>
  <c r="J576" i="14"/>
  <c r="H577" i="14"/>
  <c r="I577" i="14"/>
  <c r="J577" i="14"/>
  <c r="H578" i="14"/>
  <c r="I578" i="14"/>
  <c r="J578" i="14"/>
  <c r="H579" i="14"/>
  <c r="I579" i="14"/>
  <c r="J579" i="14"/>
  <c r="H580" i="14"/>
  <c r="I580" i="14"/>
  <c r="J580" i="14"/>
  <c r="H581" i="14"/>
  <c r="I581" i="14"/>
  <c r="J581" i="14"/>
  <c r="H582" i="14"/>
  <c r="I582" i="14"/>
  <c r="J582" i="14"/>
  <c r="H583" i="14"/>
  <c r="I583" i="14"/>
  <c r="J583" i="14"/>
  <c r="J584" i="14"/>
  <c r="H585" i="14"/>
  <c r="I585" i="14"/>
  <c r="J585" i="14"/>
  <c r="H586" i="14"/>
  <c r="I586" i="14"/>
  <c r="J586" i="14"/>
  <c r="H587" i="14"/>
  <c r="I587" i="14"/>
  <c r="J587" i="14"/>
  <c r="H588" i="14"/>
  <c r="I588" i="14"/>
  <c r="J588" i="14"/>
  <c r="J589" i="14"/>
  <c r="H590" i="14"/>
  <c r="I590" i="14"/>
  <c r="J590" i="14"/>
  <c r="I591" i="14"/>
  <c r="J591" i="14"/>
  <c r="H592" i="14"/>
  <c r="I592" i="14"/>
  <c r="J592" i="14"/>
  <c r="H593" i="14"/>
  <c r="I593" i="14"/>
  <c r="J593" i="14"/>
  <c r="H594" i="14"/>
  <c r="I594" i="14"/>
  <c r="J594" i="14"/>
  <c r="H595" i="14"/>
  <c r="I595" i="14"/>
  <c r="J595" i="14"/>
  <c r="H596" i="14"/>
  <c r="I596" i="14"/>
  <c r="J596" i="14"/>
  <c r="H597" i="14"/>
  <c r="I597" i="14"/>
  <c r="J597" i="14"/>
  <c r="H598" i="14"/>
  <c r="I598" i="14"/>
  <c r="J598" i="14"/>
  <c r="J599" i="14"/>
  <c r="I600" i="14"/>
  <c r="J600" i="14"/>
  <c r="H601" i="14"/>
  <c r="I601" i="14"/>
  <c r="J601" i="14"/>
  <c r="H602" i="14"/>
  <c r="I602" i="14"/>
  <c r="J602" i="14"/>
  <c r="H603" i="14"/>
  <c r="I603" i="14"/>
  <c r="J603" i="14"/>
  <c r="H604" i="14"/>
  <c r="I604" i="14"/>
  <c r="J604" i="14"/>
  <c r="H605" i="14"/>
  <c r="I605" i="14"/>
  <c r="J605" i="14"/>
  <c r="H606" i="14"/>
  <c r="I606" i="14"/>
  <c r="J606" i="14"/>
  <c r="H607" i="14"/>
  <c r="I607" i="14"/>
  <c r="J607" i="14"/>
  <c r="H608" i="14"/>
  <c r="I608" i="14"/>
  <c r="J608" i="14"/>
  <c r="H609" i="14"/>
  <c r="I609" i="14"/>
  <c r="J609" i="14"/>
  <c r="H610" i="14"/>
  <c r="I610" i="14"/>
  <c r="J610" i="14"/>
  <c r="H611" i="14"/>
  <c r="I611" i="14"/>
  <c r="J611" i="14"/>
  <c r="H612" i="14"/>
  <c r="I612" i="14"/>
  <c r="J612" i="14"/>
  <c r="H613" i="14"/>
  <c r="I613" i="14"/>
  <c r="J613" i="14"/>
  <c r="H614" i="14"/>
  <c r="I614" i="14"/>
  <c r="J614" i="14"/>
  <c r="H615" i="14"/>
  <c r="I615" i="14"/>
  <c r="J615" i="14"/>
  <c r="H616" i="14"/>
  <c r="I616" i="14"/>
  <c r="J616" i="14"/>
  <c r="H617" i="14"/>
  <c r="I617" i="14"/>
  <c r="J617" i="14"/>
  <c r="H618" i="14"/>
  <c r="I618" i="14"/>
  <c r="J618" i="14"/>
  <c r="H619" i="14"/>
  <c r="I619" i="14"/>
  <c r="J619" i="14"/>
  <c r="H620" i="14"/>
  <c r="I620" i="14"/>
  <c r="J620" i="14"/>
  <c r="H621" i="14"/>
  <c r="I621" i="14"/>
  <c r="J621" i="14"/>
  <c r="H622" i="14"/>
  <c r="I622" i="14"/>
  <c r="J622" i="14"/>
  <c r="H623" i="14"/>
  <c r="I623" i="14"/>
  <c r="J623" i="14"/>
  <c r="H624" i="14"/>
  <c r="I624" i="14"/>
  <c r="J624" i="14"/>
  <c r="H625" i="14"/>
  <c r="I625" i="14"/>
  <c r="J625" i="14"/>
  <c r="H626" i="14"/>
  <c r="I626" i="14"/>
  <c r="J626" i="14"/>
  <c r="H627" i="14"/>
  <c r="I627" i="14"/>
  <c r="J627" i="14"/>
  <c r="H628" i="14"/>
  <c r="I628" i="14"/>
  <c r="J628" i="14"/>
  <c r="H629" i="14"/>
  <c r="I629" i="14"/>
  <c r="J629" i="14"/>
  <c r="H630" i="14"/>
  <c r="I630" i="14"/>
  <c r="J630" i="14"/>
  <c r="H631" i="14"/>
  <c r="I631" i="14"/>
  <c r="J631" i="14"/>
  <c r="H632" i="14"/>
  <c r="I632" i="14"/>
  <c r="J632" i="14"/>
  <c r="I633" i="14"/>
  <c r="J633" i="14"/>
  <c r="H634" i="14"/>
  <c r="I634" i="14"/>
  <c r="J634" i="14"/>
  <c r="H635" i="14"/>
  <c r="I635" i="14"/>
  <c r="J635" i="14"/>
  <c r="H636" i="14"/>
  <c r="I636" i="14"/>
  <c r="J636" i="14"/>
  <c r="H637" i="14"/>
  <c r="I637" i="14"/>
  <c r="J637" i="14"/>
  <c r="H638" i="14"/>
  <c r="I638" i="14"/>
  <c r="J638" i="14"/>
  <c r="H639" i="14"/>
  <c r="I639" i="14"/>
  <c r="J639" i="14"/>
  <c r="H640" i="14"/>
  <c r="I640" i="14"/>
  <c r="J640" i="14"/>
  <c r="H641" i="14"/>
  <c r="I641" i="14"/>
  <c r="J641" i="14"/>
  <c r="H642" i="14"/>
  <c r="I642" i="14"/>
  <c r="J642" i="14"/>
  <c r="H643" i="14"/>
  <c r="I643" i="14"/>
  <c r="J643" i="14"/>
  <c r="H644" i="14"/>
  <c r="I644" i="14"/>
  <c r="J644" i="14"/>
  <c r="H645" i="14"/>
  <c r="I645" i="14"/>
  <c r="J645" i="14"/>
  <c r="H646" i="14"/>
  <c r="I646" i="14"/>
  <c r="J646" i="14"/>
  <c r="J647" i="14"/>
  <c r="H648" i="14"/>
  <c r="I648" i="14"/>
  <c r="J648" i="14"/>
  <c r="H649" i="14"/>
  <c r="I649" i="14"/>
  <c r="J649" i="14"/>
  <c r="H650" i="14"/>
  <c r="I650" i="14"/>
  <c r="J650" i="14"/>
  <c r="H651" i="14"/>
  <c r="I651" i="14"/>
  <c r="J651" i="14"/>
  <c r="H652" i="14"/>
  <c r="I652" i="14"/>
  <c r="J652" i="14"/>
  <c r="J653" i="14"/>
  <c r="H654" i="14"/>
  <c r="I654" i="14"/>
  <c r="J654" i="14"/>
  <c r="H655" i="14"/>
  <c r="I655" i="14"/>
  <c r="J655" i="14"/>
  <c r="H656" i="14"/>
  <c r="I656" i="14"/>
  <c r="J656" i="14"/>
  <c r="H657" i="14"/>
  <c r="I657" i="14"/>
  <c r="J657" i="14"/>
  <c r="H658" i="14"/>
  <c r="I658" i="14"/>
  <c r="J658" i="14"/>
  <c r="H659" i="14"/>
  <c r="I659" i="14"/>
  <c r="J659" i="14"/>
  <c r="H660" i="14"/>
  <c r="I660" i="14"/>
  <c r="J660" i="14"/>
  <c r="H661" i="14"/>
  <c r="I661" i="14"/>
  <c r="J661" i="14"/>
  <c r="H662" i="14"/>
  <c r="I662" i="14"/>
  <c r="J662" i="14"/>
  <c r="H663" i="14"/>
  <c r="I663" i="14"/>
  <c r="J663" i="14"/>
  <c r="H664" i="14"/>
  <c r="I664" i="14"/>
  <c r="J664" i="14"/>
  <c r="H665" i="14"/>
  <c r="I665" i="14"/>
  <c r="J665" i="14"/>
  <c r="H666" i="14"/>
  <c r="I666" i="14"/>
  <c r="J666" i="14"/>
  <c r="H667" i="14"/>
  <c r="I667" i="14"/>
  <c r="J667" i="14"/>
  <c r="H668" i="14"/>
  <c r="I668" i="14"/>
  <c r="J668" i="14"/>
  <c r="H669" i="14"/>
  <c r="I669" i="14"/>
  <c r="J669" i="14"/>
  <c r="H670" i="14"/>
  <c r="I670" i="14"/>
  <c r="J670" i="14"/>
  <c r="H671" i="14"/>
  <c r="I671" i="14"/>
  <c r="J671" i="14"/>
  <c r="H672" i="14"/>
  <c r="I672" i="14"/>
  <c r="J672" i="14"/>
  <c r="H673" i="14"/>
  <c r="I673" i="14"/>
  <c r="J673" i="14"/>
  <c r="H674" i="14"/>
  <c r="I674" i="14"/>
  <c r="J674" i="14"/>
  <c r="H675" i="14"/>
  <c r="I675" i="14"/>
  <c r="J675" i="14"/>
  <c r="H676" i="14"/>
  <c r="I676" i="14"/>
  <c r="J676" i="14"/>
  <c r="J677" i="14"/>
  <c r="J678" i="14"/>
  <c r="H679" i="14"/>
  <c r="I679" i="14"/>
  <c r="J679" i="14"/>
  <c r="H680" i="14"/>
  <c r="I680" i="14"/>
  <c r="J680" i="14"/>
  <c r="H681" i="14"/>
  <c r="I681" i="14"/>
  <c r="J681" i="14"/>
  <c r="H682" i="14"/>
  <c r="I682" i="14"/>
  <c r="J682" i="14"/>
  <c r="H683" i="14"/>
  <c r="I683" i="14"/>
  <c r="J683" i="14"/>
  <c r="H684" i="14"/>
  <c r="I684" i="14"/>
  <c r="J684" i="14"/>
  <c r="I685" i="14"/>
  <c r="J685" i="14"/>
  <c r="H686" i="14"/>
  <c r="I686" i="14"/>
  <c r="J686" i="14"/>
  <c r="H687" i="14"/>
  <c r="I687" i="14"/>
  <c r="J687" i="14"/>
  <c r="H688" i="14"/>
  <c r="I688" i="14"/>
  <c r="J688" i="14"/>
  <c r="H689" i="14"/>
  <c r="I689" i="14"/>
  <c r="J689" i="14"/>
  <c r="H690" i="14"/>
  <c r="I690" i="14"/>
  <c r="J690" i="14"/>
  <c r="H691" i="14"/>
  <c r="I691" i="14"/>
  <c r="J691" i="14"/>
  <c r="H692" i="14"/>
  <c r="I692" i="14"/>
  <c r="J692" i="14"/>
  <c r="H693" i="14"/>
  <c r="I693" i="14"/>
  <c r="J693" i="14"/>
  <c r="H694" i="14"/>
  <c r="I694" i="14"/>
  <c r="J694" i="14"/>
  <c r="H695" i="14"/>
  <c r="I695" i="14"/>
  <c r="J695" i="14"/>
  <c r="H696" i="14"/>
  <c r="I696" i="14"/>
  <c r="J696" i="14"/>
  <c r="H697" i="14"/>
  <c r="I697" i="14"/>
  <c r="J697" i="14"/>
  <c r="H698" i="14"/>
  <c r="I698" i="14"/>
  <c r="J698" i="14"/>
  <c r="H699" i="14"/>
  <c r="I699" i="14"/>
  <c r="J699" i="14"/>
  <c r="H700" i="14"/>
  <c r="I700" i="14"/>
  <c r="J700" i="14"/>
  <c r="H701" i="14"/>
  <c r="I701" i="14"/>
  <c r="J701" i="14"/>
  <c r="H702" i="14"/>
  <c r="I702" i="14"/>
  <c r="J702" i="14"/>
  <c r="H703" i="14"/>
  <c r="I703" i="14"/>
  <c r="J703" i="14"/>
  <c r="H704" i="14"/>
  <c r="I704" i="14"/>
  <c r="J704" i="14"/>
  <c r="H705" i="14"/>
  <c r="I705" i="14"/>
  <c r="J705" i="14"/>
  <c r="H706" i="14"/>
  <c r="I706" i="14"/>
  <c r="J706" i="14"/>
  <c r="H707" i="14"/>
  <c r="I707" i="14"/>
  <c r="J707" i="14"/>
  <c r="H708" i="14"/>
  <c r="I708" i="14"/>
  <c r="J708" i="14"/>
  <c r="H709" i="14"/>
  <c r="I709" i="14"/>
  <c r="J709" i="14"/>
  <c r="H710" i="14"/>
  <c r="I710" i="14"/>
  <c r="J710" i="14"/>
  <c r="H711" i="14"/>
  <c r="I711" i="14"/>
  <c r="J711" i="14"/>
  <c r="H712" i="14"/>
  <c r="I712" i="14"/>
  <c r="J712" i="14"/>
  <c r="H713" i="14"/>
  <c r="I713" i="14"/>
  <c r="J713" i="14"/>
  <c r="H714" i="14"/>
  <c r="I714" i="14"/>
  <c r="J714" i="14"/>
  <c r="H715" i="14"/>
  <c r="I715" i="14"/>
  <c r="J715" i="14"/>
  <c r="H716" i="14"/>
  <c r="I716" i="14"/>
  <c r="J716" i="14"/>
  <c r="H717" i="14"/>
  <c r="I717" i="14"/>
  <c r="J717" i="14"/>
  <c r="H718" i="14"/>
  <c r="I718" i="14"/>
  <c r="J718" i="14"/>
  <c r="H719" i="14"/>
  <c r="I719" i="14"/>
  <c r="J719" i="14"/>
  <c r="H720" i="14"/>
  <c r="I720" i="14"/>
  <c r="J720" i="14"/>
  <c r="H721" i="14"/>
  <c r="I721" i="14"/>
  <c r="J721" i="14"/>
  <c r="H722" i="14"/>
  <c r="I722" i="14"/>
  <c r="J722" i="14"/>
  <c r="H723" i="14"/>
  <c r="I723" i="14"/>
  <c r="J723" i="14"/>
  <c r="H724" i="14"/>
  <c r="I724" i="14"/>
  <c r="J724" i="14"/>
  <c r="H725" i="14"/>
  <c r="I725" i="14"/>
  <c r="J725" i="14"/>
  <c r="H726" i="14"/>
  <c r="I726" i="14"/>
  <c r="J726" i="14"/>
  <c r="H727" i="14"/>
  <c r="I727" i="14"/>
  <c r="J727" i="14"/>
  <c r="H728" i="14"/>
  <c r="I728" i="14"/>
  <c r="J728" i="14"/>
  <c r="H729" i="14"/>
  <c r="I729" i="14"/>
  <c r="J729" i="14"/>
  <c r="H730" i="14"/>
  <c r="I730" i="14"/>
  <c r="J730" i="14"/>
  <c r="H731" i="14"/>
  <c r="I731" i="14"/>
  <c r="J731" i="14"/>
  <c r="H732" i="14"/>
  <c r="I732" i="14"/>
  <c r="J732" i="14"/>
  <c r="H733" i="14"/>
  <c r="I733" i="14"/>
  <c r="J733" i="14"/>
  <c r="H734" i="14"/>
  <c r="I734" i="14"/>
  <c r="J734" i="14"/>
  <c r="H735" i="14"/>
  <c r="I735" i="14"/>
  <c r="J735" i="14"/>
  <c r="H736" i="14"/>
  <c r="I736" i="14"/>
  <c r="J736" i="14"/>
  <c r="H737" i="14"/>
  <c r="I737" i="14"/>
  <c r="J737" i="14"/>
  <c r="H738" i="14"/>
  <c r="I738" i="14"/>
  <c r="J738" i="14"/>
  <c r="H739" i="14"/>
  <c r="I739" i="14"/>
  <c r="J739" i="14"/>
  <c r="H740" i="14"/>
  <c r="I740" i="14"/>
  <c r="J740" i="14"/>
  <c r="H741" i="14"/>
  <c r="I741" i="14"/>
  <c r="J741" i="14"/>
  <c r="H742" i="14"/>
  <c r="I742" i="14"/>
  <c r="J742" i="14"/>
  <c r="H743" i="14"/>
  <c r="I743" i="14"/>
  <c r="J743" i="14"/>
  <c r="H744" i="14"/>
  <c r="I744" i="14"/>
  <c r="J744" i="14"/>
  <c r="H745" i="14"/>
  <c r="I745" i="14"/>
  <c r="J745" i="14"/>
  <c r="H746" i="14"/>
  <c r="I746" i="14"/>
  <c r="J746" i="14"/>
  <c r="H747" i="14"/>
  <c r="I747" i="14"/>
  <c r="J747" i="14"/>
  <c r="H748" i="14"/>
  <c r="I748" i="14"/>
  <c r="J748" i="14"/>
  <c r="H749" i="14"/>
  <c r="I749" i="14"/>
  <c r="J749" i="14"/>
  <c r="H750" i="14"/>
  <c r="I750" i="14"/>
  <c r="J750" i="14"/>
  <c r="H751" i="14"/>
  <c r="I751" i="14"/>
  <c r="J751" i="14"/>
  <c r="H752" i="14"/>
  <c r="I752" i="14"/>
  <c r="J752" i="14"/>
  <c r="H753" i="14"/>
  <c r="I753" i="14"/>
  <c r="J753" i="14"/>
  <c r="H754" i="14"/>
  <c r="I754" i="14"/>
  <c r="J754" i="14"/>
  <c r="H755" i="14"/>
  <c r="I755" i="14"/>
  <c r="J755" i="14"/>
  <c r="H756" i="14"/>
  <c r="I756" i="14"/>
  <c r="J756" i="14"/>
  <c r="H757" i="14"/>
  <c r="I757" i="14"/>
  <c r="J757" i="14"/>
  <c r="H758" i="14"/>
  <c r="I758" i="14"/>
  <c r="J758" i="14"/>
  <c r="H759" i="14"/>
  <c r="I759" i="14"/>
  <c r="J759" i="14"/>
  <c r="H760" i="14"/>
  <c r="I760" i="14"/>
  <c r="J760" i="14"/>
  <c r="H761" i="14"/>
  <c r="I761" i="14"/>
  <c r="J761" i="14"/>
  <c r="H762" i="14"/>
  <c r="I762" i="14"/>
  <c r="J762" i="14"/>
  <c r="H763" i="14"/>
  <c r="I763" i="14"/>
  <c r="J763" i="14"/>
  <c r="H764" i="14"/>
  <c r="I764" i="14"/>
  <c r="J764" i="14"/>
  <c r="H765" i="14"/>
  <c r="I765" i="14"/>
  <c r="J765" i="14"/>
  <c r="H766" i="14"/>
  <c r="I766" i="14"/>
  <c r="J766" i="14"/>
  <c r="H767" i="14"/>
  <c r="I767" i="14"/>
  <c r="J767" i="14"/>
  <c r="H768" i="14"/>
  <c r="I768" i="14"/>
  <c r="J768" i="14"/>
  <c r="J769" i="14"/>
  <c r="H770" i="14"/>
  <c r="I770" i="14"/>
  <c r="J770" i="14"/>
  <c r="I771" i="14"/>
  <c r="J771" i="14"/>
  <c r="H772" i="14"/>
  <c r="I772" i="14"/>
  <c r="J772" i="14"/>
  <c r="H773" i="14"/>
  <c r="I773" i="14"/>
  <c r="J773" i="14"/>
  <c r="H774" i="14"/>
  <c r="I774" i="14"/>
  <c r="J774" i="14"/>
  <c r="H775" i="14"/>
  <c r="I775" i="14"/>
  <c r="J775" i="14"/>
  <c r="H776" i="14"/>
  <c r="I776" i="14"/>
  <c r="J776" i="14"/>
  <c r="H777" i="14"/>
  <c r="I777" i="14"/>
  <c r="J777" i="14"/>
  <c r="H778" i="14"/>
  <c r="I778" i="14"/>
  <c r="J778" i="14"/>
  <c r="J779" i="14"/>
  <c r="H780" i="14"/>
  <c r="I780" i="14"/>
  <c r="J780" i="14"/>
  <c r="H781" i="14"/>
  <c r="I781" i="14"/>
  <c r="J781" i="14"/>
  <c r="H782" i="14"/>
  <c r="I782" i="14"/>
  <c r="J782" i="14"/>
  <c r="H783" i="14"/>
  <c r="I783" i="14"/>
  <c r="J783" i="14"/>
  <c r="H784" i="14"/>
  <c r="I784" i="14"/>
  <c r="J784" i="14"/>
  <c r="H785" i="14"/>
  <c r="I785" i="14"/>
  <c r="J785" i="14"/>
  <c r="H786" i="14"/>
  <c r="I786" i="14"/>
  <c r="J786" i="14"/>
  <c r="H787" i="14"/>
  <c r="I787" i="14"/>
  <c r="J787" i="14"/>
  <c r="H788" i="14"/>
  <c r="I788" i="14"/>
  <c r="J788" i="14"/>
  <c r="H789" i="14"/>
  <c r="I789" i="14"/>
  <c r="J789" i="14"/>
  <c r="H790" i="14"/>
  <c r="I790" i="14"/>
  <c r="J790" i="14"/>
  <c r="H791" i="14"/>
  <c r="I791" i="14"/>
  <c r="J791" i="14"/>
  <c r="H792" i="14"/>
  <c r="I792" i="14"/>
  <c r="J792" i="14"/>
  <c r="H793" i="14"/>
  <c r="I793" i="14"/>
  <c r="J793" i="14"/>
  <c r="J794" i="14"/>
  <c r="J795" i="14"/>
  <c r="H796" i="14"/>
  <c r="I796" i="14"/>
  <c r="J796" i="14"/>
  <c r="H797" i="14"/>
  <c r="I797" i="14"/>
  <c r="J797" i="14"/>
  <c r="H798" i="14"/>
  <c r="I798" i="14"/>
  <c r="J798" i="14"/>
  <c r="I799" i="14"/>
  <c r="J799" i="14"/>
  <c r="H800" i="14"/>
  <c r="I800" i="14"/>
  <c r="J800" i="14"/>
  <c r="H801" i="14"/>
  <c r="I801" i="14"/>
  <c r="J801" i="14"/>
  <c r="I802" i="14"/>
  <c r="J802" i="14"/>
  <c r="H803" i="14"/>
  <c r="I803" i="14"/>
  <c r="J803" i="14"/>
  <c r="H804" i="14"/>
  <c r="I804" i="14"/>
  <c r="J804" i="14"/>
  <c r="H805" i="14"/>
  <c r="I805" i="14"/>
  <c r="J805" i="14"/>
  <c r="H806" i="14"/>
  <c r="I806" i="14"/>
  <c r="J806" i="14"/>
  <c r="H807" i="14"/>
  <c r="I807" i="14"/>
  <c r="J807" i="14"/>
  <c r="H808" i="14"/>
  <c r="I808" i="14"/>
  <c r="J808" i="14"/>
  <c r="H809" i="14"/>
  <c r="I809" i="14"/>
  <c r="J809" i="14"/>
  <c r="H810" i="14"/>
  <c r="I810" i="14"/>
  <c r="J810" i="14"/>
  <c r="H811" i="14"/>
  <c r="I811" i="14"/>
  <c r="J811" i="14"/>
  <c r="H812" i="14"/>
  <c r="I812" i="14"/>
  <c r="J812" i="14"/>
  <c r="H813" i="14"/>
  <c r="I813" i="14"/>
  <c r="J813" i="14"/>
  <c r="H814" i="14"/>
  <c r="I814" i="14"/>
  <c r="J814" i="14"/>
  <c r="H815" i="14"/>
  <c r="I815" i="14"/>
  <c r="J815" i="14"/>
  <c r="H816" i="14"/>
  <c r="I816" i="14"/>
  <c r="J816" i="14"/>
  <c r="H817" i="14"/>
  <c r="I817" i="14"/>
  <c r="J817" i="14"/>
  <c r="H818" i="14"/>
  <c r="I818" i="14"/>
  <c r="J818" i="14"/>
  <c r="H819" i="14"/>
  <c r="I819" i="14"/>
  <c r="J819" i="14"/>
  <c r="H820" i="14"/>
  <c r="I820" i="14"/>
  <c r="J820" i="14"/>
  <c r="H821" i="14"/>
  <c r="I821" i="14"/>
  <c r="J821" i="14"/>
  <c r="H822" i="14"/>
  <c r="I822" i="14"/>
  <c r="J822" i="14"/>
  <c r="H823" i="14"/>
  <c r="I823" i="14"/>
  <c r="J823" i="14"/>
  <c r="H824" i="14"/>
  <c r="I824" i="14"/>
  <c r="J824" i="14"/>
  <c r="H825" i="14"/>
  <c r="I825" i="14"/>
  <c r="J825" i="14"/>
  <c r="H826" i="14"/>
  <c r="I826" i="14"/>
  <c r="J826" i="14"/>
  <c r="H827" i="14"/>
  <c r="I827" i="14"/>
  <c r="J827" i="14"/>
  <c r="H828" i="14"/>
  <c r="I828" i="14"/>
  <c r="J828" i="14"/>
  <c r="H829" i="14"/>
  <c r="I829" i="14"/>
  <c r="J829" i="14"/>
  <c r="J830" i="14"/>
  <c r="H831" i="14"/>
  <c r="I831" i="14"/>
  <c r="J831" i="14"/>
  <c r="H832" i="14"/>
  <c r="I832" i="14"/>
  <c r="J832" i="14"/>
  <c r="H833" i="14"/>
  <c r="I833" i="14"/>
  <c r="J833" i="14"/>
  <c r="H834" i="14"/>
  <c r="I834" i="14"/>
  <c r="J834" i="14"/>
  <c r="H835" i="14"/>
  <c r="I835" i="14"/>
  <c r="J835" i="14"/>
  <c r="H836" i="14"/>
  <c r="I836" i="14"/>
  <c r="J836" i="14"/>
  <c r="H837" i="14"/>
  <c r="I837" i="14"/>
  <c r="J837" i="14"/>
  <c r="H838" i="14"/>
  <c r="I838" i="14"/>
  <c r="J838" i="14"/>
  <c r="H839" i="14"/>
  <c r="I839" i="14"/>
  <c r="J839" i="14"/>
  <c r="H840" i="14"/>
  <c r="I840" i="14"/>
  <c r="J840" i="14"/>
  <c r="H841" i="14"/>
  <c r="I841" i="14"/>
  <c r="J841" i="14"/>
  <c r="H842" i="14"/>
  <c r="I842" i="14"/>
  <c r="J842" i="14"/>
  <c r="H843" i="14"/>
  <c r="I843" i="14"/>
  <c r="J843" i="14"/>
  <c r="H844" i="14"/>
  <c r="I844" i="14"/>
  <c r="J844" i="14"/>
  <c r="H845" i="14"/>
  <c r="I845" i="14"/>
  <c r="J845" i="14"/>
  <c r="H846" i="14"/>
  <c r="I846" i="14"/>
  <c r="J846" i="14"/>
  <c r="H847" i="14"/>
  <c r="I847" i="14"/>
  <c r="J847" i="14"/>
  <c r="H848" i="14"/>
  <c r="I848" i="14"/>
  <c r="J848" i="14"/>
  <c r="H849" i="14"/>
  <c r="I849" i="14"/>
  <c r="J849" i="14"/>
  <c r="H850" i="14"/>
  <c r="I850" i="14"/>
  <c r="J850" i="14"/>
  <c r="I851" i="14"/>
  <c r="J851" i="14"/>
  <c r="H852" i="14"/>
  <c r="I852" i="14"/>
  <c r="J852" i="14"/>
  <c r="H853" i="14"/>
  <c r="I853" i="14"/>
  <c r="J853" i="14"/>
  <c r="H854" i="14"/>
  <c r="I854" i="14"/>
  <c r="J854" i="14"/>
  <c r="H855" i="14"/>
  <c r="I855" i="14"/>
  <c r="J855" i="14"/>
  <c r="H856" i="14"/>
  <c r="I856" i="14"/>
  <c r="J856" i="14"/>
  <c r="H857" i="14"/>
  <c r="I857" i="14"/>
  <c r="J857" i="14"/>
  <c r="J858" i="14"/>
  <c r="H859" i="14"/>
  <c r="I859" i="14"/>
  <c r="J859" i="14"/>
  <c r="J860" i="14"/>
  <c r="H861" i="14"/>
  <c r="I861" i="14"/>
  <c r="J861" i="14"/>
  <c r="H862" i="14"/>
  <c r="I862" i="14"/>
  <c r="J862" i="14"/>
  <c r="H863" i="14"/>
  <c r="I863" i="14"/>
  <c r="J863" i="14"/>
  <c r="H864" i="14"/>
  <c r="I864" i="14"/>
  <c r="J864" i="14"/>
  <c r="H865" i="14"/>
  <c r="I865" i="14"/>
  <c r="J865" i="14"/>
  <c r="H866" i="14"/>
  <c r="I866" i="14"/>
  <c r="J866" i="14"/>
  <c r="H867" i="14"/>
  <c r="I867" i="14"/>
  <c r="J867" i="14"/>
  <c r="H868" i="14"/>
  <c r="I868" i="14"/>
  <c r="J868" i="14"/>
  <c r="H869" i="14"/>
  <c r="I869" i="14"/>
  <c r="J869" i="14"/>
  <c r="H870" i="14"/>
  <c r="I870" i="14"/>
  <c r="J870" i="14"/>
  <c r="H871" i="14"/>
  <c r="I871" i="14"/>
  <c r="J871" i="14"/>
  <c r="H872" i="14"/>
  <c r="I872" i="14"/>
  <c r="J872" i="14"/>
  <c r="H873" i="14"/>
  <c r="I873" i="14"/>
  <c r="J873" i="14"/>
  <c r="H874" i="14"/>
  <c r="I874" i="14"/>
  <c r="J874" i="14"/>
  <c r="H875" i="14"/>
  <c r="I875" i="14"/>
  <c r="J875" i="14"/>
  <c r="H876" i="14"/>
  <c r="I876" i="14"/>
  <c r="J876" i="14"/>
  <c r="H877" i="14"/>
  <c r="I877" i="14"/>
  <c r="J877" i="14"/>
  <c r="H878" i="14"/>
  <c r="I878" i="14"/>
  <c r="J878" i="14"/>
  <c r="H879" i="14"/>
  <c r="I879" i="14"/>
  <c r="J879" i="14"/>
  <c r="H880" i="14"/>
  <c r="I880" i="14"/>
  <c r="J880" i="14"/>
  <c r="H881" i="14"/>
  <c r="I881" i="14"/>
  <c r="J881" i="14"/>
  <c r="H882" i="14"/>
  <c r="I882" i="14"/>
  <c r="J882" i="14"/>
  <c r="H883" i="14"/>
  <c r="I883" i="14"/>
  <c r="J883" i="14"/>
  <c r="J884" i="14"/>
  <c r="H885" i="14"/>
  <c r="I885" i="14"/>
  <c r="J885" i="14"/>
  <c r="H886" i="14"/>
  <c r="I886" i="14"/>
  <c r="J886" i="14"/>
  <c r="H887" i="14"/>
  <c r="I887" i="14"/>
  <c r="J887" i="14"/>
  <c r="H888" i="14"/>
  <c r="I888" i="14"/>
  <c r="J888" i="14"/>
  <c r="J889" i="14"/>
  <c r="H890" i="14"/>
  <c r="I890" i="14"/>
  <c r="J890" i="14"/>
  <c r="H891" i="14"/>
  <c r="I891" i="14"/>
  <c r="J891" i="14"/>
  <c r="H892" i="14"/>
  <c r="I892" i="14"/>
  <c r="J892" i="14"/>
  <c r="H893" i="14"/>
  <c r="I893" i="14"/>
  <c r="J893" i="14"/>
  <c r="H894" i="14"/>
  <c r="I894" i="14"/>
  <c r="J894" i="14"/>
  <c r="I895" i="14"/>
  <c r="J895" i="14"/>
  <c r="H896" i="14"/>
  <c r="I896" i="14"/>
  <c r="J896" i="14"/>
  <c r="H897" i="14"/>
  <c r="I897" i="14"/>
  <c r="J897" i="14"/>
  <c r="H898" i="14"/>
  <c r="I898" i="14"/>
  <c r="J898" i="14"/>
  <c r="H899" i="14"/>
  <c r="I899" i="14"/>
  <c r="J899" i="14"/>
  <c r="H900" i="14"/>
  <c r="I900" i="14"/>
  <c r="J900" i="14"/>
  <c r="H901" i="14"/>
  <c r="I901" i="14"/>
  <c r="J901" i="14"/>
  <c r="H902" i="14"/>
  <c r="I902" i="14"/>
  <c r="J902" i="14"/>
  <c r="H903" i="14"/>
  <c r="I903" i="14"/>
  <c r="J903" i="14"/>
  <c r="H904" i="14"/>
  <c r="I904" i="14"/>
  <c r="J904" i="14"/>
  <c r="J905" i="14"/>
  <c r="H906" i="14"/>
  <c r="I906" i="14"/>
  <c r="J906" i="14"/>
  <c r="H907" i="14"/>
  <c r="I907" i="14"/>
  <c r="J907" i="14"/>
  <c r="H908" i="14"/>
  <c r="I908" i="14"/>
  <c r="J908" i="14"/>
  <c r="H909" i="14"/>
  <c r="I909" i="14"/>
  <c r="J909" i="14"/>
  <c r="J910" i="14"/>
  <c r="H911" i="14"/>
  <c r="I911" i="14"/>
  <c r="J911" i="14"/>
  <c r="H912" i="14"/>
  <c r="I912" i="14"/>
  <c r="J912" i="14"/>
  <c r="H913" i="14"/>
  <c r="I913" i="14"/>
  <c r="J913" i="14"/>
  <c r="H914" i="14"/>
  <c r="I914" i="14"/>
  <c r="J914" i="14"/>
  <c r="H915" i="14"/>
  <c r="I915" i="14"/>
  <c r="J915" i="14"/>
  <c r="H916" i="14"/>
  <c r="I916" i="14"/>
  <c r="J916" i="14"/>
  <c r="H917" i="14"/>
  <c r="I917" i="14"/>
  <c r="J917" i="14"/>
  <c r="H918" i="14"/>
  <c r="I918" i="14"/>
  <c r="J918" i="14"/>
  <c r="H919" i="14"/>
  <c r="I919" i="14"/>
  <c r="J919" i="14"/>
  <c r="H920" i="14"/>
  <c r="I920" i="14"/>
  <c r="J920" i="14"/>
  <c r="H921" i="14"/>
  <c r="I921" i="14"/>
  <c r="J921" i="14"/>
  <c r="H922" i="14"/>
  <c r="I922" i="14"/>
  <c r="J922" i="14"/>
  <c r="H923" i="14"/>
  <c r="I923" i="14"/>
  <c r="J923" i="14"/>
  <c r="H924" i="14"/>
  <c r="I924" i="14"/>
  <c r="J924" i="14"/>
  <c r="H925" i="14"/>
  <c r="I925" i="14"/>
  <c r="J925" i="14"/>
  <c r="H926" i="14"/>
  <c r="I926" i="14"/>
  <c r="J926" i="14"/>
  <c r="H927" i="14"/>
  <c r="I927" i="14"/>
  <c r="J927" i="14"/>
  <c r="H928" i="14"/>
  <c r="I928" i="14"/>
  <c r="J928" i="14"/>
  <c r="H929" i="14"/>
  <c r="I929" i="14"/>
  <c r="J929" i="14"/>
  <c r="H930" i="14"/>
  <c r="I930" i="14"/>
  <c r="J930" i="14"/>
  <c r="H931" i="14"/>
  <c r="I931" i="14"/>
  <c r="J931" i="14"/>
  <c r="H932" i="14"/>
  <c r="I932" i="14"/>
  <c r="J932" i="14"/>
  <c r="H933" i="14"/>
  <c r="I933" i="14"/>
  <c r="J933" i="14"/>
  <c r="H934" i="14"/>
  <c r="I934" i="14"/>
  <c r="J934" i="14"/>
  <c r="H935" i="14"/>
  <c r="I935" i="14"/>
  <c r="J935" i="14"/>
  <c r="H936" i="14"/>
  <c r="I936" i="14"/>
  <c r="J936" i="14"/>
  <c r="H937" i="14"/>
  <c r="I937" i="14"/>
  <c r="J937" i="14"/>
  <c r="H938" i="14"/>
  <c r="I938" i="14"/>
  <c r="J938" i="14"/>
  <c r="J939" i="14"/>
  <c r="H940" i="14"/>
  <c r="I940" i="14"/>
  <c r="J940" i="14"/>
  <c r="H941" i="14"/>
  <c r="I941" i="14"/>
  <c r="J941" i="14"/>
  <c r="H942" i="14"/>
  <c r="I942" i="14"/>
  <c r="J942" i="14"/>
  <c r="H943" i="14"/>
  <c r="I943" i="14"/>
  <c r="J943" i="14"/>
  <c r="J944" i="14"/>
  <c r="H945" i="14"/>
  <c r="I945" i="14"/>
  <c r="J945" i="14"/>
  <c r="I946" i="14"/>
  <c r="J946" i="14"/>
  <c r="H947" i="14"/>
  <c r="I947" i="14"/>
  <c r="J947" i="14"/>
  <c r="H948" i="14"/>
  <c r="I948" i="14"/>
  <c r="J948" i="14"/>
  <c r="H949" i="14"/>
  <c r="I949" i="14"/>
  <c r="J949" i="14"/>
  <c r="H950" i="14"/>
  <c r="I950" i="14"/>
  <c r="J950" i="14"/>
  <c r="H951" i="14"/>
  <c r="I951" i="14"/>
  <c r="J951" i="14"/>
  <c r="H952" i="14"/>
  <c r="I952" i="14"/>
  <c r="J952" i="14"/>
  <c r="H953" i="14"/>
  <c r="I953" i="14"/>
  <c r="J953" i="14"/>
  <c r="I954" i="14"/>
  <c r="J954" i="14"/>
  <c r="H955" i="14"/>
  <c r="I955" i="14"/>
  <c r="J955" i="14"/>
  <c r="H956" i="14"/>
  <c r="I956" i="14"/>
  <c r="J956" i="14"/>
  <c r="H957" i="14"/>
  <c r="I957" i="14"/>
  <c r="J957" i="14"/>
  <c r="H958" i="14"/>
  <c r="I958" i="14"/>
  <c r="J958" i="14"/>
  <c r="H959" i="14"/>
  <c r="I959" i="14"/>
  <c r="J959" i="14"/>
  <c r="H960" i="14"/>
  <c r="I960" i="14"/>
  <c r="J960" i="14"/>
  <c r="H961" i="14"/>
  <c r="I961" i="14"/>
  <c r="J961" i="14"/>
  <c r="H962" i="14"/>
  <c r="I962" i="14"/>
  <c r="J962" i="14"/>
  <c r="H963" i="14"/>
  <c r="I963" i="14"/>
  <c r="J963" i="14"/>
  <c r="H964" i="14"/>
  <c r="I964" i="14"/>
  <c r="J964" i="14"/>
  <c r="H965" i="14"/>
  <c r="I965" i="14"/>
  <c r="J965" i="14"/>
  <c r="H966" i="14"/>
  <c r="I966" i="14"/>
  <c r="J966" i="14"/>
  <c r="H967" i="14"/>
  <c r="I967" i="14"/>
  <c r="J967" i="14"/>
  <c r="H968" i="14"/>
  <c r="I968" i="14"/>
  <c r="J968" i="14"/>
  <c r="H969" i="14"/>
  <c r="I969" i="14"/>
  <c r="J969" i="14"/>
  <c r="H970" i="14"/>
  <c r="I970" i="14"/>
  <c r="J970" i="14"/>
  <c r="H971" i="14"/>
  <c r="I971" i="14"/>
  <c r="J971" i="14"/>
  <c r="H972" i="14"/>
  <c r="I972" i="14"/>
  <c r="J972" i="14"/>
  <c r="H973" i="14"/>
  <c r="I973" i="14"/>
  <c r="J973" i="14"/>
  <c r="H974" i="14"/>
  <c r="I974" i="14"/>
  <c r="J974" i="14"/>
  <c r="H975" i="14"/>
  <c r="I975" i="14"/>
  <c r="J975" i="14"/>
  <c r="H976" i="14"/>
  <c r="I976" i="14"/>
  <c r="J976" i="14"/>
  <c r="I977" i="14"/>
  <c r="J977" i="14"/>
  <c r="H978" i="14"/>
  <c r="I978" i="14"/>
  <c r="J978" i="14"/>
  <c r="H979" i="14"/>
  <c r="I979" i="14"/>
  <c r="J979" i="14"/>
  <c r="H980" i="14"/>
  <c r="I980" i="14"/>
  <c r="J980" i="14"/>
  <c r="H981" i="14"/>
  <c r="I981" i="14"/>
  <c r="J981" i="14"/>
  <c r="H982" i="14"/>
  <c r="I982" i="14"/>
  <c r="J982" i="14"/>
  <c r="H983" i="14"/>
  <c r="I983" i="14"/>
  <c r="J983" i="14"/>
  <c r="H984" i="14"/>
  <c r="I984" i="14"/>
  <c r="J984" i="14"/>
  <c r="H985" i="14"/>
  <c r="I985" i="14"/>
  <c r="J985" i="14"/>
  <c r="H986" i="14"/>
  <c r="I986" i="14"/>
  <c r="J986" i="14"/>
  <c r="I987" i="14"/>
  <c r="J987" i="14"/>
  <c r="H988" i="14"/>
  <c r="I988" i="14"/>
  <c r="J988" i="14"/>
  <c r="H989" i="14"/>
  <c r="I989" i="14"/>
  <c r="J989" i="14"/>
  <c r="H990" i="14"/>
  <c r="I990" i="14"/>
  <c r="J990" i="14"/>
  <c r="H991" i="14"/>
  <c r="I991" i="14"/>
  <c r="J991" i="14"/>
  <c r="H992" i="14"/>
  <c r="I992" i="14"/>
  <c r="J992" i="14"/>
  <c r="J993" i="14"/>
  <c r="H994" i="14"/>
  <c r="I994" i="14"/>
  <c r="J994" i="14"/>
  <c r="H995" i="14"/>
  <c r="I995" i="14"/>
  <c r="J995" i="14"/>
  <c r="H996" i="14"/>
  <c r="I996" i="14"/>
  <c r="J996" i="14"/>
  <c r="H997" i="14"/>
  <c r="I997" i="14"/>
  <c r="J997" i="14"/>
  <c r="H998" i="14"/>
  <c r="I998" i="14"/>
  <c r="J998" i="14"/>
  <c r="H999" i="14"/>
  <c r="I999" i="14"/>
  <c r="J999" i="14"/>
  <c r="H1000" i="14"/>
  <c r="I1000" i="14"/>
  <c r="J1000" i="14"/>
  <c r="H1001" i="14"/>
  <c r="I1001" i="14"/>
  <c r="J1001" i="14"/>
  <c r="H1002" i="14"/>
  <c r="I1002" i="14"/>
  <c r="J1002" i="14"/>
  <c r="H1003" i="14"/>
  <c r="I1003" i="14"/>
  <c r="J1003" i="14"/>
  <c r="H1004" i="14"/>
  <c r="I1004" i="14"/>
  <c r="J1004" i="14"/>
  <c r="I1005" i="14"/>
  <c r="J1005" i="14"/>
  <c r="H1006" i="14"/>
  <c r="I1006" i="14"/>
  <c r="J1006" i="14"/>
  <c r="H1007" i="14"/>
  <c r="I1007" i="14"/>
  <c r="J1007" i="14"/>
  <c r="H1008" i="14"/>
  <c r="I1008" i="14"/>
  <c r="J1008" i="14"/>
  <c r="H1009" i="14"/>
  <c r="I1009" i="14"/>
  <c r="J1009" i="14"/>
  <c r="H1010" i="14"/>
  <c r="I1010" i="14"/>
  <c r="J1010" i="14"/>
  <c r="H1011" i="14"/>
  <c r="I1011" i="14"/>
  <c r="J1011" i="14"/>
  <c r="H1012" i="14"/>
  <c r="I1012" i="14"/>
  <c r="J1012" i="14"/>
  <c r="I28" i="15" l="1"/>
  <c r="R14" i="14"/>
  <c r="R15" i="14"/>
  <c r="R23" i="14"/>
  <c r="R31" i="14"/>
  <c r="R39" i="14"/>
  <c r="R47" i="14"/>
  <c r="R55" i="14"/>
  <c r="R63" i="14"/>
  <c r="R71" i="14"/>
  <c r="R62" i="14"/>
  <c r="R16" i="14"/>
  <c r="R24" i="14"/>
  <c r="R32" i="14"/>
  <c r="R40" i="14"/>
  <c r="R48" i="14"/>
  <c r="R56" i="14"/>
  <c r="R64" i="14"/>
  <c r="R72" i="14"/>
  <c r="R67" i="14"/>
  <c r="R20" i="14"/>
  <c r="R70" i="14"/>
  <c r="R17" i="14"/>
  <c r="R25" i="14"/>
  <c r="R33" i="14"/>
  <c r="R41" i="14"/>
  <c r="R49" i="14"/>
  <c r="R57" i="14"/>
  <c r="R65" i="14"/>
  <c r="R73" i="14"/>
  <c r="R51" i="14"/>
  <c r="R28" i="14"/>
  <c r="R60" i="14"/>
  <c r="R18" i="14"/>
  <c r="R26" i="14"/>
  <c r="R34" i="14"/>
  <c r="R42" i="14"/>
  <c r="R50" i="14"/>
  <c r="R58" i="14"/>
  <c r="R66" i="14"/>
  <c r="R74" i="14"/>
  <c r="R43" i="14"/>
  <c r="R75" i="14"/>
  <c r="R36" i="14"/>
  <c r="R52" i="14"/>
  <c r="R19" i="14"/>
  <c r="R27" i="14"/>
  <c r="R35" i="14"/>
  <c r="R59" i="14"/>
  <c r="R44" i="14"/>
  <c r="R68" i="14"/>
  <c r="R21" i="14"/>
  <c r="R29" i="14"/>
  <c r="R37" i="14"/>
  <c r="R45" i="14"/>
  <c r="R53" i="14"/>
  <c r="R61" i="14"/>
  <c r="R69" i="14"/>
  <c r="R22" i="14"/>
  <c r="R30" i="14"/>
  <c r="R38" i="14"/>
  <c r="R46" i="14"/>
  <c r="R54" i="14"/>
  <c r="I944" i="14"/>
  <c r="I889" i="14"/>
  <c r="I779" i="14"/>
  <c r="I517" i="14"/>
  <c r="I400" i="14"/>
  <c r="I352" i="14"/>
  <c r="I188" i="14"/>
  <c r="I168" i="14"/>
  <c r="I142" i="14"/>
  <c r="I993" i="14"/>
  <c r="I905" i="14"/>
  <c r="I858" i="14"/>
  <c r="I795" i="14"/>
  <c r="I599" i="14"/>
  <c r="I528" i="14"/>
  <c r="I455" i="14"/>
  <c r="I121" i="14"/>
  <c r="I678" i="14"/>
  <c r="I491" i="14"/>
  <c r="I441" i="14"/>
  <c r="I405" i="14"/>
  <c r="I402" i="14"/>
  <c r="I396" i="14"/>
  <c r="I213" i="14"/>
  <c r="I164" i="14"/>
  <c r="I23" i="14"/>
  <c r="I910" i="14"/>
  <c r="I830" i="14"/>
  <c r="I794" i="14"/>
  <c r="I769" i="14"/>
  <c r="I653" i="14"/>
  <c r="I584" i="14"/>
  <c r="I345" i="14"/>
  <c r="I330" i="14"/>
  <c r="I181" i="14"/>
  <c r="I860" i="14"/>
  <c r="I677" i="14"/>
  <c r="I647" i="14"/>
  <c r="I562" i="14"/>
  <c r="I504" i="14"/>
  <c r="I324" i="14"/>
  <c r="I939" i="14"/>
  <c r="I884" i="14"/>
  <c r="I589" i="14"/>
  <c r="I471" i="14"/>
  <c r="I460" i="14"/>
  <c r="H252" i="15"/>
  <c r="I442" i="15"/>
  <c r="H34" i="15"/>
  <c r="I101" i="14"/>
  <c r="H802" i="14"/>
  <c r="H441" i="14"/>
  <c r="H188" i="14"/>
  <c r="I17" i="14"/>
  <c r="H471" i="14"/>
  <c r="I53" i="14"/>
  <c r="H330" i="14"/>
  <c r="I90" i="14"/>
  <c r="I59" i="14"/>
  <c r="I25" i="14"/>
  <c r="H528" i="14"/>
  <c r="H584" i="14"/>
  <c r="H400" i="14"/>
  <c r="H858" i="14"/>
  <c r="H769" i="14"/>
  <c r="H678" i="14"/>
  <c r="H589" i="14"/>
  <c r="H460" i="14"/>
  <c r="H405" i="14"/>
  <c r="H213" i="14"/>
  <c r="H993" i="14"/>
  <c r="H562" i="14"/>
  <c r="H402" i="14"/>
  <c r="H352" i="14"/>
  <c r="H324" i="14"/>
  <c r="H168" i="14"/>
  <c r="H90" i="14"/>
  <c r="H25" i="14"/>
  <c r="H17" i="14"/>
  <c r="H884" i="14"/>
  <c r="H860" i="14"/>
  <c r="H101" i="14"/>
  <c r="H889" i="14"/>
  <c r="H830" i="14"/>
  <c r="H795" i="14"/>
  <c r="H779" i="14"/>
  <c r="H677" i="14"/>
  <c r="H653" i="14"/>
  <c r="H599" i="14"/>
  <c r="H491" i="14"/>
  <c r="H396" i="14"/>
  <c r="H142" i="14"/>
  <c r="H59" i="14"/>
  <c r="H905" i="14"/>
  <c r="H504" i="14"/>
  <c r="H181" i="14"/>
  <c r="H53" i="14"/>
  <c r="H910" i="14"/>
  <c r="H647" i="14"/>
  <c r="H455" i="14"/>
  <c r="H202" i="14"/>
  <c r="H164" i="14"/>
  <c r="H23" i="14"/>
  <c r="H939" i="14"/>
  <c r="H794" i="14"/>
  <c r="H517" i="14"/>
  <c r="H345" i="14"/>
  <c r="H121" i="14"/>
  <c r="I851" i="15"/>
  <c r="I504" i="15"/>
  <c r="I643" i="15"/>
  <c r="I798" i="15"/>
  <c r="I688" i="15"/>
  <c r="I542" i="15"/>
  <c r="I377" i="15"/>
  <c r="I289" i="15"/>
  <c r="I904" i="15"/>
  <c r="I876" i="15"/>
  <c r="I869" i="15"/>
  <c r="I862" i="15"/>
  <c r="I855" i="15"/>
  <c r="I811" i="15"/>
  <c r="I656" i="15"/>
  <c r="I548" i="15"/>
  <c r="I881" i="15"/>
  <c r="I840" i="15"/>
  <c r="I577" i="15"/>
  <c r="I846" i="15"/>
  <c r="I893" i="15"/>
  <c r="I606" i="15"/>
  <c r="I1008" i="15"/>
  <c r="I1004" i="15"/>
  <c r="I1000" i="15"/>
  <c r="I996" i="15"/>
  <c r="I992" i="15"/>
  <c r="I988" i="15"/>
  <c r="I984" i="15"/>
  <c r="I980" i="15"/>
  <c r="I976" i="15"/>
  <c r="I972" i="15"/>
  <c r="I968" i="15"/>
  <c r="I964" i="15"/>
  <c r="I960" i="15"/>
  <c r="I956" i="15"/>
  <c r="I925" i="15"/>
  <c r="I913" i="15"/>
  <c r="I908" i="15"/>
  <c r="I896" i="15"/>
  <c r="I860" i="15"/>
  <c r="I787" i="15"/>
  <c r="I743" i="15"/>
  <c r="I648" i="15"/>
  <c r="I636" i="15"/>
  <c r="I941" i="15"/>
  <c r="I930" i="15"/>
  <c r="I901" i="15"/>
  <c r="I872" i="15"/>
  <c r="I848" i="15"/>
  <c r="I842" i="15"/>
  <c r="I822" i="15"/>
  <c r="I764" i="15"/>
  <c r="I735" i="15"/>
  <c r="I484" i="15"/>
  <c r="I430" i="15"/>
  <c r="I975" i="15"/>
  <c r="I971" i="15"/>
  <c r="I967" i="15"/>
  <c r="I963" i="15"/>
  <c r="I959" i="15"/>
  <c r="I950" i="15"/>
  <c r="I945" i="15"/>
  <c r="I934" i="15"/>
  <c r="I924" i="15"/>
  <c r="I912" i="15"/>
  <c r="I877" i="15"/>
  <c r="I859" i="15"/>
  <c r="I828" i="15"/>
  <c r="I720" i="15"/>
  <c r="I683" i="15"/>
  <c r="I660" i="15"/>
  <c r="I647" i="15"/>
  <c r="I565" i="15"/>
  <c r="I954" i="15"/>
  <c r="I929" i="15"/>
  <c r="I917" i="15"/>
  <c r="I888" i="15"/>
  <c r="I557" i="15"/>
  <c r="I528" i="15"/>
  <c r="I973" i="15"/>
  <c r="I969" i="15"/>
  <c r="I965" i="15"/>
  <c r="I961" i="15"/>
  <c r="I957" i="15"/>
  <c r="I948" i="15"/>
  <c r="I932" i="15"/>
  <c r="I909" i="15"/>
  <c r="I897" i="15"/>
  <c r="I892" i="15"/>
  <c r="I880" i="15"/>
  <c r="I850" i="15"/>
  <c r="I839" i="15"/>
  <c r="I803" i="15"/>
  <c r="I723" i="15"/>
  <c r="I701" i="15"/>
  <c r="I637" i="15"/>
  <c r="I946" i="15"/>
  <c r="I937" i="15"/>
  <c r="I928" i="15"/>
  <c r="I864" i="15"/>
  <c r="I854" i="15"/>
  <c r="I831" i="15"/>
  <c r="I826" i="15"/>
  <c r="I820" i="15"/>
  <c r="I808" i="15"/>
  <c r="I802" i="15"/>
  <c r="I775" i="15"/>
  <c r="I761" i="15"/>
  <c r="I748" i="15"/>
  <c r="I707" i="15"/>
  <c r="I693" i="15"/>
  <c r="I665" i="15"/>
  <c r="I659" i="15"/>
  <c r="I614" i="15"/>
  <c r="I490" i="15"/>
  <c r="I469" i="15"/>
  <c r="I936" i="15"/>
  <c r="I863" i="15"/>
  <c r="I830" i="15"/>
  <c r="I819" i="15"/>
  <c r="I812" i="15"/>
  <c r="I780" i="15"/>
  <c r="I712" i="15"/>
  <c r="I692" i="15"/>
  <c r="I645" i="15"/>
  <c r="I639" i="15"/>
  <c r="I627" i="15"/>
  <c r="I546" i="15"/>
  <c r="I510" i="15"/>
  <c r="I940" i="15"/>
  <c r="I926" i="15"/>
  <c r="I921" i="15"/>
  <c r="I916" i="15"/>
  <c r="I905" i="15"/>
  <c r="I900" i="15"/>
  <c r="I889" i="15"/>
  <c r="I884" i="15"/>
  <c r="I873" i="15"/>
  <c r="I868" i="15"/>
  <c r="I835" i="15"/>
  <c r="I752" i="15"/>
  <c r="I724" i="15"/>
  <c r="I633" i="15"/>
  <c r="I516" i="15"/>
  <c r="I481" i="15"/>
  <c r="I955" i="15"/>
  <c r="I951" i="15"/>
  <c r="I947" i="15"/>
  <c r="I943" i="15"/>
  <c r="I939" i="15"/>
  <c r="I935" i="15"/>
  <c r="I931" i="15"/>
  <c r="I927" i="15"/>
  <c r="I923" i="15"/>
  <c r="I919" i="15"/>
  <c r="I915" i="15"/>
  <c r="I911" i="15"/>
  <c r="I907" i="15"/>
  <c r="I903" i="15"/>
  <c r="I899" i="15"/>
  <c r="I895" i="15"/>
  <c r="I891" i="15"/>
  <c r="I887" i="15"/>
  <c r="I883" i="15"/>
  <c r="I879" i="15"/>
  <c r="I875" i="15"/>
  <c r="I871" i="15"/>
  <c r="I867" i="15"/>
  <c r="I858" i="15"/>
  <c r="I844" i="15"/>
  <c r="I834" i="15"/>
  <c r="I807" i="15"/>
  <c r="I796" i="15"/>
  <c r="I790" i="15"/>
  <c r="I779" i="15"/>
  <c r="I747" i="15"/>
  <c r="I741" i="15"/>
  <c r="I625" i="15"/>
  <c r="I597" i="15"/>
  <c r="I522" i="15"/>
  <c r="I453" i="15"/>
  <c r="I922" i="15"/>
  <c r="I918" i="15"/>
  <c r="I914" i="15"/>
  <c r="I910" i="15"/>
  <c r="I906" i="15"/>
  <c r="I902" i="15"/>
  <c r="I898" i="15"/>
  <c r="I894" i="15"/>
  <c r="I890" i="15"/>
  <c r="I886" i="15"/>
  <c r="I882" i="15"/>
  <c r="I878" i="15"/>
  <c r="I874" i="15"/>
  <c r="I870" i="15"/>
  <c r="I866" i="15"/>
  <c r="I852" i="15"/>
  <c r="I843" i="15"/>
  <c r="I816" i="15"/>
  <c r="I757" i="15"/>
  <c r="I721" i="15"/>
  <c r="I715" i="15"/>
  <c r="I709" i="15"/>
  <c r="I703" i="15"/>
  <c r="I697" i="15"/>
  <c r="I671" i="15"/>
  <c r="I652" i="15"/>
  <c r="I609" i="15"/>
  <c r="I596" i="15"/>
  <c r="I566" i="15"/>
  <c r="I560" i="15"/>
  <c r="I554" i="15"/>
  <c r="I492" i="15"/>
  <c r="I486" i="15"/>
  <c r="I473" i="15"/>
  <c r="I856" i="15"/>
  <c r="I847" i="15"/>
  <c r="I810" i="15"/>
  <c r="I799" i="15"/>
  <c r="I794" i="15"/>
  <c r="I788" i="15"/>
  <c r="I732" i="15"/>
  <c r="I725" i="15"/>
  <c r="I677" i="15"/>
  <c r="I628" i="15"/>
  <c r="I541" i="15"/>
  <c r="I838" i="15"/>
  <c r="I824" i="15"/>
  <c r="I815" i="15"/>
  <c r="I806" i="15"/>
  <c r="I792" i="15"/>
  <c r="I783" i="15"/>
  <c r="I773" i="15"/>
  <c r="I767" i="15"/>
  <c r="I756" i="15"/>
  <c r="I729" i="15"/>
  <c r="I691" i="15"/>
  <c r="I680" i="15"/>
  <c r="I675" i="15"/>
  <c r="I669" i="15"/>
  <c r="I620" i="15"/>
  <c r="I588" i="15"/>
  <c r="I582" i="15"/>
  <c r="I569" i="15"/>
  <c r="I533" i="15"/>
  <c r="I501" i="15"/>
  <c r="I478" i="15"/>
  <c r="I422" i="15"/>
  <c r="I832" i="15"/>
  <c r="I823" i="15"/>
  <c r="I814" i="15"/>
  <c r="I800" i="15"/>
  <c r="I791" i="15"/>
  <c r="I782" i="15"/>
  <c r="I755" i="15"/>
  <c r="I744" i="15"/>
  <c r="I739" i="15"/>
  <c r="I733" i="15"/>
  <c r="I684" i="15"/>
  <c r="I679" i="15"/>
  <c r="I668" i="15"/>
  <c r="I657" i="15"/>
  <c r="I629" i="15"/>
  <c r="I598" i="15"/>
  <c r="I568" i="15"/>
  <c r="I532" i="15"/>
  <c r="I505" i="15"/>
  <c r="I500" i="15"/>
  <c r="I493" i="15"/>
  <c r="I482" i="15"/>
  <c r="I477" i="15"/>
  <c r="I389" i="15"/>
  <c r="I836" i="15"/>
  <c r="I827" i="15"/>
  <c r="I818" i="15"/>
  <c r="I804" i="15"/>
  <c r="I795" i="15"/>
  <c r="I786" i="15"/>
  <c r="I776" i="15"/>
  <c r="I771" i="15"/>
  <c r="I765" i="15"/>
  <c r="I716" i="15"/>
  <c r="I711" i="15"/>
  <c r="I700" i="15"/>
  <c r="I689" i="15"/>
  <c r="I661" i="15"/>
  <c r="I651" i="15"/>
  <c r="I624" i="15"/>
  <c r="I592" i="15"/>
  <c r="I586" i="15"/>
  <c r="I580" i="15"/>
  <c r="I537" i="15"/>
  <c r="I441" i="15"/>
  <c r="I769" i="15"/>
  <c r="I760" i="15"/>
  <c r="I751" i="15"/>
  <c r="I737" i="15"/>
  <c r="I728" i="15"/>
  <c r="I719" i="15"/>
  <c r="I705" i="15"/>
  <c r="I696" i="15"/>
  <c r="I687" i="15"/>
  <c r="I673" i="15"/>
  <c r="I664" i="15"/>
  <c r="I655" i="15"/>
  <c r="I641" i="15"/>
  <c r="I632" i="15"/>
  <c r="I623" i="15"/>
  <c r="I618" i="15"/>
  <c r="I612" i="15"/>
  <c r="I601" i="15"/>
  <c r="I574" i="15"/>
  <c r="I564" i="15"/>
  <c r="I536" i="15"/>
  <c r="I525" i="15"/>
  <c r="I514" i="15"/>
  <c r="I509" i="15"/>
  <c r="I464" i="15"/>
  <c r="I445" i="15"/>
  <c r="I433" i="15"/>
  <c r="I397" i="15"/>
  <c r="I777" i="15"/>
  <c r="I768" i="15"/>
  <c r="I759" i="15"/>
  <c r="I745" i="15"/>
  <c r="I736" i="15"/>
  <c r="I727" i="15"/>
  <c r="I713" i="15"/>
  <c r="I704" i="15"/>
  <c r="I695" i="15"/>
  <c r="I681" i="15"/>
  <c r="I672" i="15"/>
  <c r="I663" i="15"/>
  <c r="I649" i="15"/>
  <c r="I640" i="15"/>
  <c r="I631" i="15"/>
  <c r="I600" i="15"/>
  <c r="I589" i="15"/>
  <c r="I578" i="15"/>
  <c r="I573" i="15"/>
  <c r="I524" i="15"/>
  <c r="I518" i="15"/>
  <c r="I513" i="15"/>
  <c r="I502" i="15"/>
  <c r="I456" i="15"/>
  <c r="I450" i="15"/>
  <c r="I444" i="15"/>
  <c r="I865" i="15"/>
  <c r="I861" i="15"/>
  <c r="I857" i="15"/>
  <c r="I853" i="15"/>
  <c r="I849" i="15"/>
  <c r="I845" i="15"/>
  <c r="I841" i="15"/>
  <c r="I837" i="15"/>
  <c r="I833" i="15"/>
  <c r="I829" i="15"/>
  <c r="I825" i="15"/>
  <c r="I821" i="15"/>
  <c r="I817" i="15"/>
  <c r="I813" i="15"/>
  <c r="I809" i="15"/>
  <c r="I805" i="15"/>
  <c r="I801" i="15"/>
  <c r="I797" i="15"/>
  <c r="I793" i="15"/>
  <c r="I789" i="15"/>
  <c r="I785" i="15"/>
  <c r="I781" i="15"/>
  <c r="I772" i="15"/>
  <c r="I763" i="15"/>
  <c r="I749" i="15"/>
  <c r="I740" i="15"/>
  <c r="I731" i="15"/>
  <c r="I717" i="15"/>
  <c r="I708" i="15"/>
  <c r="I699" i="15"/>
  <c r="I685" i="15"/>
  <c r="I676" i="15"/>
  <c r="I667" i="15"/>
  <c r="I653" i="15"/>
  <c r="I644" i="15"/>
  <c r="I635" i="15"/>
  <c r="I621" i="15"/>
  <c r="I610" i="15"/>
  <c r="I605" i="15"/>
  <c r="I556" i="15"/>
  <c r="I550" i="15"/>
  <c r="I545" i="15"/>
  <c r="I534" i="15"/>
  <c r="I496" i="15"/>
  <c r="I468" i="15"/>
  <c r="I462" i="15"/>
  <c r="I417" i="15"/>
  <c r="I365" i="15"/>
  <c r="I317" i="15"/>
  <c r="I301" i="15"/>
  <c r="I189" i="15"/>
  <c r="I150" i="15"/>
  <c r="I778" i="15"/>
  <c r="I774" i="15"/>
  <c r="I770" i="15"/>
  <c r="I766" i="15"/>
  <c r="I762" i="15"/>
  <c r="I758" i="15"/>
  <c r="I754" i="15"/>
  <c r="I750" i="15"/>
  <c r="I746" i="15"/>
  <c r="I742" i="15"/>
  <c r="I738" i="15"/>
  <c r="I734" i="15"/>
  <c r="I730" i="15"/>
  <c r="I726" i="15"/>
  <c r="I722" i="15"/>
  <c r="I718" i="15"/>
  <c r="I714" i="15"/>
  <c r="I710" i="15"/>
  <c r="I706" i="15"/>
  <c r="I702" i="15"/>
  <c r="I698" i="15"/>
  <c r="I694" i="15"/>
  <c r="I690" i="15"/>
  <c r="I686" i="15"/>
  <c r="I682" i="15"/>
  <c r="I678" i="15"/>
  <c r="I674" i="15"/>
  <c r="I670" i="15"/>
  <c r="I666" i="15"/>
  <c r="I662" i="15"/>
  <c r="I658" i="15"/>
  <c r="I654" i="15"/>
  <c r="I650" i="15"/>
  <c r="I646" i="15"/>
  <c r="I642" i="15"/>
  <c r="I638" i="15"/>
  <c r="I634" i="15"/>
  <c r="I630" i="15"/>
  <c r="I626" i="15"/>
  <c r="I622" i="15"/>
  <c r="I613" i="15"/>
  <c r="I604" i="15"/>
  <c r="I590" i="15"/>
  <c r="I581" i="15"/>
  <c r="I572" i="15"/>
  <c r="I558" i="15"/>
  <c r="I549" i="15"/>
  <c r="I540" i="15"/>
  <c r="I526" i="15"/>
  <c r="I517" i="15"/>
  <c r="I508" i="15"/>
  <c r="I494" i="15"/>
  <c r="I485" i="15"/>
  <c r="I476" i="15"/>
  <c r="I465" i="15"/>
  <c r="I460" i="15"/>
  <c r="I454" i="15"/>
  <c r="I409" i="15"/>
  <c r="I381" i="15"/>
  <c r="I345" i="15"/>
  <c r="I253" i="15"/>
  <c r="I617" i="15"/>
  <c r="I608" i="15"/>
  <c r="I594" i="15"/>
  <c r="I585" i="15"/>
  <c r="I576" i="15"/>
  <c r="I562" i="15"/>
  <c r="I553" i="15"/>
  <c r="I544" i="15"/>
  <c r="I530" i="15"/>
  <c r="I521" i="15"/>
  <c r="I512" i="15"/>
  <c r="I498" i="15"/>
  <c r="I489" i="15"/>
  <c r="I480" i="15"/>
  <c r="I437" i="15"/>
  <c r="I432" i="15"/>
  <c r="I426" i="15"/>
  <c r="I421" i="15"/>
  <c r="I237" i="15"/>
  <c r="I616" i="15"/>
  <c r="I602" i="15"/>
  <c r="I593" i="15"/>
  <c r="I584" i="15"/>
  <c r="I570" i="15"/>
  <c r="I561" i="15"/>
  <c r="I552" i="15"/>
  <c r="I538" i="15"/>
  <c r="I529" i="15"/>
  <c r="I520" i="15"/>
  <c r="I506" i="15"/>
  <c r="I497" i="15"/>
  <c r="I488" i="15"/>
  <c r="I474" i="15"/>
  <c r="I446" i="15"/>
  <c r="I436" i="15"/>
  <c r="I425" i="15"/>
  <c r="I413" i="15"/>
  <c r="I385" i="15"/>
  <c r="I357" i="15"/>
  <c r="I281" i="15"/>
  <c r="I261" i="15"/>
  <c r="I106" i="15"/>
  <c r="I349" i="15"/>
  <c r="I321" i="15"/>
  <c r="I293" i="15"/>
  <c r="I197" i="15"/>
  <c r="I333" i="15"/>
  <c r="I313" i="15"/>
  <c r="I285" i="15"/>
  <c r="I353" i="15"/>
  <c r="I325" i="15"/>
  <c r="I217" i="15"/>
  <c r="I472" i="15"/>
  <c r="I458" i="15"/>
  <c r="I449" i="15"/>
  <c r="I440" i="15"/>
  <c r="I401" i="15"/>
  <c r="I369" i="15"/>
  <c r="I337" i="15"/>
  <c r="I305" i="15"/>
  <c r="I229" i="15"/>
  <c r="I164" i="15"/>
  <c r="I135" i="15"/>
  <c r="I221" i="15"/>
  <c r="I466" i="15"/>
  <c r="I457" i="15"/>
  <c r="I448" i="15"/>
  <c r="I434" i="15"/>
  <c r="I393" i="15"/>
  <c r="I361" i="15"/>
  <c r="I329" i="15"/>
  <c r="I297" i="15"/>
  <c r="I249" i="15"/>
  <c r="I185" i="15"/>
  <c r="I140" i="15"/>
  <c r="I619" i="15"/>
  <c r="I615" i="15"/>
  <c r="I611" i="15"/>
  <c r="I607" i="15"/>
  <c r="I603" i="15"/>
  <c r="I599" i="15"/>
  <c r="I595" i="15"/>
  <c r="I591" i="15"/>
  <c r="I587" i="15"/>
  <c r="I583" i="15"/>
  <c r="I579" i="15"/>
  <c r="I575" i="15"/>
  <c r="I571" i="15"/>
  <c r="I567" i="15"/>
  <c r="I563" i="15"/>
  <c r="I559" i="15"/>
  <c r="I555" i="15"/>
  <c r="I551" i="15"/>
  <c r="I547" i="15"/>
  <c r="I543" i="15"/>
  <c r="I539" i="15"/>
  <c r="I535" i="15"/>
  <c r="I531" i="15"/>
  <c r="I527" i="15"/>
  <c r="I523" i="15"/>
  <c r="I519" i="15"/>
  <c r="I515" i="15"/>
  <c r="I511" i="15"/>
  <c r="I507" i="15"/>
  <c r="I503" i="15"/>
  <c r="I499" i="15"/>
  <c r="I495" i="15"/>
  <c r="I491" i="15"/>
  <c r="I487" i="15"/>
  <c r="I483" i="15"/>
  <c r="I479" i="15"/>
  <c r="I470" i="15"/>
  <c r="I461" i="15"/>
  <c r="I452" i="15"/>
  <c r="I438" i="15"/>
  <c r="I429" i="15"/>
  <c r="I405" i="15"/>
  <c r="I373" i="15"/>
  <c r="I341" i="15"/>
  <c r="I309" i="15"/>
  <c r="I269" i="15"/>
  <c r="I205" i="15"/>
  <c r="I206" i="14"/>
  <c r="I211" i="14"/>
  <c r="I273" i="15"/>
  <c r="I241" i="15"/>
  <c r="I209" i="15"/>
  <c r="I177" i="15"/>
  <c r="I155" i="15"/>
  <c r="I265" i="15"/>
  <c r="I233" i="15"/>
  <c r="I201" i="15"/>
  <c r="I277" i="15"/>
  <c r="I245" i="15"/>
  <c r="I213" i="15"/>
  <c r="I181" i="15"/>
  <c r="I257" i="15"/>
  <c r="I225" i="15"/>
  <c r="I193" i="15"/>
  <c r="I417" i="14"/>
  <c r="I341" i="14"/>
  <c r="I89" i="14"/>
  <c r="I519" i="14"/>
  <c r="I376" i="14"/>
  <c r="I313" i="14"/>
  <c r="I337" i="14"/>
  <c r="I169" i="14"/>
  <c r="I459" i="14"/>
  <c r="I367" i="14"/>
  <c r="I129" i="14"/>
  <c r="I358" i="14"/>
  <c r="I91" i="14"/>
  <c r="I264" i="14"/>
  <c r="I245" i="14"/>
  <c r="I161" i="14"/>
  <c r="I48" i="14"/>
  <c r="I144" i="14"/>
  <c r="I133" i="14"/>
  <c r="I56" i="14"/>
  <c r="H977" i="14"/>
  <c r="H633" i="14"/>
  <c r="H417" i="14"/>
  <c r="H337" i="14"/>
  <c r="H313" i="14"/>
  <c r="H169" i="14"/>
  <c r="H161" i="14"/>
  <c r="H129" i="14"/>
  <c r="H89" i="14"/>
  <c r="I86" i="14"/>
  <c r="H987" i="14"/>
  <c r="H851" i="14"/>
  <c r="H771" i="14"/>
  <c r="H507" i="14"/>
  <c r="H459" i="14"/>
  <c r="H211" i="14"/>
  <c r="H91" i="14"/>
  <c r="R13" i="14"/>
  <c r="H206" i="14"/>
  <c r="H86" i="14"/>
  <c r="H944" i="14"/>
  <c r="H600" i="14"/>
  <c r="H376" i="14"/>
  <c r="H264" i="14"/>
  <c r="H144" i="14"/>
  <c r="H56" i="14"/>
  <c r="H48" i="14"/>
  <c r="Q13" i="14"/>
  <c r="H358" i="14"/>
  <c r="H1005" i="14"/>
  <c r="H685" i="14"/>
  <c r="H341" i="14"/>
  <c r="H245" i="14"/>
  <c r="H133" i="14"/>
  <c r="I342" i="15"/>
  <c r="I123" i="15"/>
  <c r="I315" i="15"/>
  <c r="I383" i="15"/>
  <c r="I272" i="15"/>
  <c r="H954" i="14"/>
  <c r="H946" i="14"/>
  <c r="I42" i="15"/>
  <c r="I74" i="15"/>
  <c r="I86" i="15"/>
  <c r="I111" i="15"/>
  <c r="I116" i="15"/>
  <c r="I126" i="15"/>
  <c r="I131" i="15"/>
  <c r="I146" i="15"/>
  <c r="I160" i="15"/>
  <c r="I169" i="15"/>
  <c r="I36" i="15"/>
  <c r="I68" i="15"/>
  <c r="I92" i="15"/>
  <c r="I102" i="15"/>
  <c r="I107" i="15"/>
  <c r="I122" i="15"/>
  <c r="I151" i="15"/>
  <c r="I156" i="15"/>
  <c r="I174" i="15"/>
  <c r="I178" i="15"/>
  <c r="I182" i="15"/>
  <c r="I186" i="15"/>
  <c r="I190" i="15"/>
  <c r="I194" i="15"/>
  <c r="I198" i="15"/>
  <c r="I202" i="15"/>
  <c r="I206" i="15"/>
  <c r="I210" i="15"/>
  <c r="I214" i="15"/>
  <c r="I218" i="15"/>
  <c r="I222" i="15"/>
  <c r="I226" i="15"/>
  <c r="I230" i="15"/>
  <c r="I234" i="15"/>
  <c r="I238" i="15"/>
  <c r="I242" i="15"/>
  <c r="I246" i="15"/>
  <c r="I250" i="15"/>
  <c r="I254" i="15"/>
  <c r="I258" i="15"/>
  <c r="I262" i="15"/>
  <c r="I266" i="15"/>
  <c r="I270" i="15"/>
  <c r="I274" i="15"/>
  <c r="I278" i="15"/>
  <c r="I282" i="15"/>
  <c r="I286" i="15"/>
  <c r="I290" i="15"/>
  <c r="I294" i="15"/>
  <c r="I298" i="15"/>
  <c r="I302" i="15"/>
  <c r="I306" i="15"/>
  <c r="I310" i="15"/>
  <c r="I314" i="15"/>
  <c r="I318" i="15"/>
  <c r="I322" i="15"/>
  <c r="I326" i="15"/>
  <c r="I330" i="15"/>
  <c r="I334" i="15"/>
  <c r="I338" i="15"/>
  <c r="I346" i="15"/>
  <c r="I350" i="15"/>
  <c r="I354" i="15"/>
  <c r="I358" i="15"/>
  <c r="I362" i="15"/>
  <c r="I366" i="15"/>
  <c r="I370" i="15"/>
  <c r="I374" i="15"/>
  <c r="I378" i="15"/>
  <c r="I382" i="15"/>
  <c r="I386" i="15"/>
  <c r="I390" i="15"/>
  <c r="I394" i="15"/>
  <c r="I398" i="15"/>
  <c r="I402" i="15"/>
  <c r="I406" i="15"/>
  <c r="I410" i="15"/>
  <c r="I414" i="15"/>
  <c r="I418" i="15"/>
  <c r="I18" i="15"/>
  <c r="I50" i="15"/>
  <c r="I82" i="15"/>
  <c r="I87" i="15"/>
  <c r="I98" i="15"/>
  <c r="I127" i="15"/>
  <c r="I132" i="15"/>
  <c r="I142" i="15"/>
  <c r="I147" i="15"/>
  <c r="I166" i="15"/>
  <c r="I170" i="15"/>
  <c r="I44" i="15"/>
  <c r="I76" i="15"/>
  <c r="I103" i="15"/>
  <c r="I108" i="15"/>
  <c r="I118" i="15"/>
  <c r="I138" i="15"/>
  <c r="I162" i="15"/>
  <c r="I175" i="15"/>
  <c r="I179" i="15"/>
  <c r="I183" i="15"/>
  <c r="I187" i="15"/>
  <c r="I191" i="15"/>
  <c r="I195" i="15"/>
  <c r="I199" i="15"/>
  <c r="I203" i="15"/>
  <c r="I207" i="15"/>
  <c r="I211" i="15"/>
  <c r="I215" i="15"/>
  <c r="I219" i="15"/>
  <c r="I223" i="15"/>
  <c r="I227" i="15"/>
  <c r="I231" i="15"/>
  <c r="I235" i="15"/>
  <c r="I239" i="15"/>
  <c r="I243" i="15"/>
  <c r="I247" i="15"/>
  <c r="I251" i="15"/>
  <c r="I255" i="15"/>
  <c r="I259" i="15"/>
  <c r="I263" i="15"/>
  <c r="I267" i="15"/>
  <c r="I271" i="15"/>
  <c r="I275" i="15"/>
  <c r="I279" i="15"/>
  <c r="I283" i="15"/>
  <c r="I287" i="15"/>
  <c r="I291" i="15"/>
  <c r="I295" i="15"/>
  <c r="I299" i="15"/>
  <c r="I303" i="15"/>
  <c r="I307" i="15"/>
  <c r="I311" i="15"/>
  <c r="I319" i="15"/>
  <c r="I323" i="15"/>
  <c r="I327" i="15"/>
  <c r="I331" i="15"/>
  <c r="I335" i="15"/>
  <c r="I339" i="15"/>
  <c r="I343" i="15"/>
  <c r="I347" i="15"/>
  <c r="I351" i="15"/>
  <c r="I355" i="15"/>
  <c r="I359" i="15"/>
  <c r="I363" i="15"/>
  <c r="I367" i="15"/>
  <c r="I371" i="15"/>
  <c r="I375" i="15"/>
  <c r="I379" i="15"/>
  <c r="I387" i="15"/>
  <c r="I391" i="15"/>
  <c r="I395" i="15"/>
  <c r="I399" i="15"/>
  <c r="I403" i="15"/>
  <c r="I407" i="15"/>
  <c r="I411" i="15"/>
  <c r="I415" i="15"/>
  <c r="I419" i="15"/>
  <c r="I423" i="15"/>
  <c r="I427" i="15"/>
  <c r="I431" i="15"/>
  <c r="I435" i="15"/>
  <c r="I439" i="15"/>
  <c r="I443" i="15"/>
  <c r="I447" i="15"/>
  <c r="I451" i="15"/>
  <c r="I455" i="15"/>
  <c r="I459" i="15"/>
  <c r="I463" i="15"/>
  <c r="I467" i="15"/>
  <c r="I471" i="15"/>
  <c r="I475" i="15"/>
  <c r="I26" i="15"/>
  <c r="I58" i="15"/>
  <c r="I94" i="15"/>
  <c r="I99" i="15"/>
  <c r="I114" i="15"/>
  <c r="I143" i="15"/>
  <c r="I148" i="15"/>
  <c r="I158" i="15"/>
  <c r="I167" i="15"/>
  <c r="I171" i="15"/>
  <c r="I20" i="15"/>
  <c r="I52" i="15"/>
  <c r="I84" i="15"/>
  <c r="I119" i="15"/>
  <c r="I124" i="15"/>
  <c r="I134" i="15"/>
  <c r="I139" i="15"/>
  <c r="I154" i="15"/>
  <c r="I163" i="15"/>
  <c r="I176" i="15"/>
  <c r="I180" i="15"/>
  <c r="I184" i="15"/>
  <c r="I188" i="15"/>
  <c r="I192" i="15"/>
  <c r="I196" i="15"/>
  <c r="I200" i="15"/>
  <c r="I204" i="15"/>
  <c r="I208" i="15"/>
  <c r="I212" i="15"/>
  <c r="I216" i="15"/>
  <c r="I220" i="15"/>
  <c r="I224" i="15"/>
  <c r="I228" i="15"/>
  <c r="I232" i="15"/>
  <c r="I236" i="15"/>
  <c r="I240" i="15"/>
  <c r="I244" i="15"/>
  <c r="I248" i="15"/>
  <c r="I252" i="15"/>
  <c r="I256" i="15"/>
  <c r="I260" i="15"/>
  <c r="I264" i="15"/>
  <c r="I268" i="15"/>
  <c r="I276" i="15"/>
  <c r="I280" i="15"/>
  <c r="I284" i="15"/>
  <c r="I288" i="15"/>
  <c r="I292" i="15"/>
  <c r="I296" i="15"/>
  <c r="I300" i="15"/>
  <c r="I304" i="15"/>
  <c r="I308" i="15"/>
  <c r="I312" i="15"/>
  <c r="I316" i="15"/>
  <c r="I320" i="15"/>
  <c r="I324" i="15"/>
  <c r="I328" i="15"/>
  <c r="I332" i="15"/>
  <c r="I336" i="15"/>
  <c r="I340" i="15"/>
  <c r="I344" i="15"/>
  <c r="I348" i="15"/>
  <c r="I352" i="15"/>
  <c r="I356" i="15"/>
  <c r="I360" i="15"/>
  <c r="I364" i="15"/>
  <c r="I368" i="15"/>
  <c r="I372" i="15"/>
  <c r="I376" i="15"/>
  <c r="I380" i="15"/>
  <c r="I384" i="15"/>
  <c r="I388" i="15"/>
  <c r="I392" i="15"/>
  <c r="I396" i="15"/>
  <c r="I400" i="15"/>
  <c r="I404" i="15"/>
  <c r="I408" i="15"/>
  <c r="I412" i="15"/>
  <c r="I416" i="15"/>
  <c r="I420" i="15"/>
  <c r="I424" i="15"/>
  <c r="I428" i="15"/>
  <c r="I34" i="15"/>
  <c r="I66" i="15"/>
  <c r="I90" i="15"/>
  <c r="I95" i="15"/>
  <c r="I100" i="15"/>
  <c r="I110" i="15"/>
  <c r="I115" i="15"/>
  <c r="I130" i="15"/>
  <c r="I159" i="15"/>
  <c r="I168" i="15"/>
  <c r="I172" i="15"/>
  <c r="H895" i="14"/>
  <c r="H799" i="14"/>
  <c r="H591" i="14"/>
  <c r="H519" i="14"/>
  <c r="H431" i="14"/>
  <c r="H367" i="14"/>
  <c r="J10" i="14"/>
  <c r="I17" i="15"/>
  <c r="I25" i="15"/>
  <c r="I33" i="15"/>
  <c r="I41" i="15"/>
  <c r="I49" i="15"/>
  <c r="I57" i="15"/>
  <c r="I65" i="15"/>
  <c r="I73" i="15"/>
  <c r="I81" i="15"/>
  <c r="I89" i="15"/>
  <c r="I97" i="15"/>
  <c r="I105" i="15"/>
  <c r="I113" i="15"/>
  <c r="I121" i="15"/>
  <c r="I129" i="15"/>
  <c r="I137" i="15"/>
  <c r="I145" i="15"/>
  <c r="I153" i="15"/>
  <c r="I161" i="15"/>
  <c r="I14" i="15"/>
  <c r="I22" i="15"/>
  <c r="I30" i="15"/>
  <c r="I38" i="15"/>
  <c r="I46" i="15"/>
  <c r="I54" i="15"/>
  <c r="I62" i="15"/>
  <c r="I70" i="15"/>
  <c r="I78" i="15"/>
  <c r="I19" i="15"/>
  <c r="I27" i="15"/>
  <c r="I35" i="15"/>
  <c r="I43" i="15"/>
  <c r="I51" i="15"/>
  <c r="I59" i="15"/>
  <c r="I67" i="15"/>
  <c r="I75" i="15"/>
  <c r="I83" i="15"/>
  <c r="I91" i="15"/>
  <c r="I16" i="15"/>
  <c r="I24" i="15"/>
  <c r="I32" i="15"/>
  <c r="I40" i="15"/>
  <c r="I48" i="15"/>
  <c r="I56" i="15"/>
  <c r="I64" i="15"/>
  <c r="I72" i="15"/>
  <c r="I80" i="15"/>
  <c r="I88" i="15"/>
  <c r="I96" i="15"/>
  <c r="I104" i="15"/>
  <c r="I112" i="15"/>
  <c r="I120" i="15"/>
  <c r="I128" i="15"/>
  <c r="I136" i="15"/>
  <c r="I144" i="15"/>
  <c r="I152" i="15"/>
  <c r="I21" i="15"/>
  <c r="I29" i="15"/>
  <c r="I37" i="15"/>
  <c r="I45" i="15"/>
  <c r="I53" i="15"/>
  <c r="I61" i="15"/>
  <c r="I69" i="15"/>
  <c r="I77" i="15"/>
  <c r="I85" i="15"/>
  <c r="I93" i="15"/>
  <c r="I101" i="15"/>
  <c r="I109" i="15"/>
  <c r="I117" i="15"/>
  <c r="I125" i="15"/>
  <c r="I133" i="15"/>
  <c r="I141" i="15"/>
  <c r="I149" i="15"/>
  <c r="I157" i="15"/>
  <c r="I165" i="15"/>
  <c r="I173" i="15"/>
  <c r="I15" i="15"/>
  <c r="I23" i="15"/>
  <c r="I31" i="15"/>
  <c r="I39" i="15"/>
  <c r="I47" i="15"/>
  <c r="I55" i="15"/>
  <c r="I63" i="15"/>
  <c r="I71" i="15"/>
  <c r="I79" i="15"/>
  <c r="H11" i="15"/>
  <c r="H10" i="14" l="1"/>
  <c r="I10" i="14"/>
  <c r="R10" i="14"/>
  <c r="Q10" i="14"/>
  <c r="I11" i="15"/>
  <c r="M23" i="1" l="1"/>
  <c r="M22" i="1"/>
  <c r="D87" i="7" l="1"/>
  <c r="C87" i="7"/>
  <c r="D86" i="7"/>
  <c r="C86" i="7"/>
  <c r="D85" i="7"/>
  <c r="C85" i="7"/>
  <c r="D84" i="7"/>
  <c r="C84" i="7"/>
  <c r="D83" i="7"/>
  <c r="C83" i="7"/>
  <c r="D82" i="7"/>
  <c r="C82" i="7"/>
  <c r="D81" i="7"/>
  <c r="C81" i="7"/>
  <c r="D80" i="7"/>
  <c r="C80" i="7"/>
  <c r="D79" i="7"/>
  <c r="C79" i="7"/>
  <c r="D78" i="7"/>
  <c r="C78" i="7"/>
  <c r="D77" i="7"/>
  <c r="C77" i="7"/>
  <c r="D76" i="7"/>
  <c r="C76" i="7"/>
  <c r="D75" i="7"/>
  <c r="C75" i="7"/>
  <c r="D74" i="7"/>
  <c r="C74" i="7"/>
  <c r="D73" i="7"/>
  <c r="C73" i="7"/>
  <c r="D72" i="7"/>
  <c r="C72" i="7"/>
  <c r="D71" i="7"/>
  <c r="C71" i="7"/>
  <c r="D70" i="7"/>
  <c r="C70" i="7"/>
  <c r="D69" i="7"/>
  <c r="C69" i="7"/>
  <c r="D68" i="7"/>
  <c r="C68" i="7"/>
  <c r="D67" i="7"/>
  <c r="C67" i="7"/>
  <c r="D66" i="7"/>
  <c r="C66" i="7"/>
  <c r="D65" i="7"/>
  <c r="C65" i="7"/>
  <c r="D64" i="7"/>
  <c r="C64" i="7"/>
  <c r="D63" i="7"/>
  <c r="C63" i="7"/>
  <c r="D62" i="7"/>
  <c r="C62" i="7"/>
  <c r="D61" i="7"/>
  <c r="C61" i="7"/>
  <c r="D60" i="7"/>
  <c r="C60" i="7"/>
  <c r="D59" i="7"/>
  <c r="C59" i="7"/>
  <c r="D58" i="7"/>
  <c r="C58" i="7"/>
  <c r="D57" i="7"/>
  <c r="C57" i="7"/>
  <c r="D56" i="7"/>
  <c r="C56" i="7"/>
  <c r="D55" i="7"/>
  <c r="C55" i="7"/>
  <c r="D54" i="7"/>
  <c r="C54" i="7"/>
  <c r="D53" i="7"/>
  <c r="C53" i="7"/>
  <c r="D52" i="7"/>
  <c r="C52" i="7"/>
  <c r="D51" i="7"/>
  <c r="C51" i="7"/>
  <c r="D50" i="7"/>
  <c r="C50" i="7"/>
  <c r="D49" i="7"/>
  <c r="C49" i="7"/>
  <c r="D48" i="7"/>
  <c r="C48" i="7"/>
  <c r="D47" i="7"/>
  <c r="C47" i="7"/>
  <c r="D46" i="7"/>
  <c r="C46" i="7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D38" i="7"/>
  <c r="C38" i="7"/>
  <c r="D37" i="7"/>
  <c r="C37" i="7"/>
  <c r="D36" i="7"/>
  <c r="C36" i="7"/>
  <c r="D35" i="7"/>
  <c r="C35" i="7"/>
  <c r="D34" i="7"/>
  <c r="C34" i="7"/>
  <c r="D33" i="7"/>
  <c r="C33" i="7"/>
  <c r="D32" i="7"/>
  <c r="C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5" i="7"/>
  <c r="C15" i="7"/>
  <c r="D14" i="7"/>
  <c r="C14" i="7"/>
  <c r="D13" i="7"/>
  <c r="C13" i="7"/>
  <c r="D12" i="7"/>
  <c r="C12" i="7"/>
  <c r="D11" i="7"/>
  <c r="C11" i="7"/>
  <c r="D10" i="7"/>
  <c r="C10" i="7"/>
  <c r="D9" i="7"/>
  <c r="C9" i="7"/>
  <c r="D8" i="7"/>
  <c r="C8" i="7"/>
  <c r="D7" i="7"/>
  <c r="C7" i="7"/>
  <c r="D6" i="7"/>
  <c r="C6" i="7"/>
  <c r="D5" i="7"/>
  <c r="C5" i="7"/>
  <c r="G7" i="6"/>
  <c r="G6" i="6"/>
  <c r="I5" i="6"/>
  <c r="H5" i="6"/>
  <c r="G5" i="6"/>
  <c r="F90" i="3"/>
  <c r="E8" i="3"/>
  <c r="T8" i="3" s="1"/>
  <c r="D8" i="3"/>
  <c r="O8" i="3" s="1"/>
  <c r="BK90" i="2"/>
  <c r="BF90" i="2"/>
  <c r="BH90" i="2" s="1"/>
  <c r="BA90" i="2"/>
  <c r="AY90" i="2"/>
  <c r="AR90" i="2"/>
  <c r="AT90" i="2" s="1"/>
  <c r="AM90" i="2"/>
  <c r="AK90" i="2"/>
  <c r="AD90" i="2"/>
  <c r="AF90" i="2" s="1"/>
  <c r="Y90" i="2"/>
  <c r="W90" i="2"/>
  <c r="BK89" i="2"/>
  <c r="BF89" i="2"/>
  <c r="AY89" i="2"/>
  <c r="AR89" i="2"/>
  <c r="AK89" i="2"/>
  <c r="AD89" i="2"/>
  <c r="W89" i="2"/>
  <c r="BK88" i="2"/>
  <c r="BF88" i="2"/>
  <c r="AY88" i="2"/>
  <c r="AR88" i="2"/>
  <c r="AK88" i="2"/>
  <c r="AD88" i="2"/>
  <c r="W88" i="2"/>
  <c r="BK87" i="2"/>
  <c r="BF87" i="2"/>
  <c r="AY87" i="2"/>
  <c r="AR87" i="2"/>
  <c r="AK87" i="2"/>
  <c r="AD87" i="2"/>
  <c r="W87" i="2"/>
  <c r="BK86" i="2"/>
  <c r="BF86" i="2"/>
  <c r="AY86" i="2"/>
  <c r="AR86" i="2"/>
  <c r="AK86" i="2"/>
  <c r="AD86" i="2"/>
  <c r="W86" i="2"/>
  <c r="BK85" i="2"/>
  <c r="BF85" i="2"/>
  <c r="AY85" i="2"/>
  <c r="AR85" i="2"/>
  <c r="AK85" i="2"/>
  <c r="AD85" i="2"/>
  <c r="W85" i="2"/>
  <c r="BK84" i="2"/>
  <c r="BF84" i="2"/>
  <c r="AY84" i="2"/>
  <c r="AR84" i="2"/>
  <c r="AK84" i="2"/>
  <c r="AD84" i="2"/>
  <c r="W84" i="2"/>
  <c r="BK83" i="2"/>
  <c r="BF83" i="2"/>
  <c r="AY83" i="2"/>
  <c r="AR83" i="2"/>
  <c r="AK83" i="2"/>
  <c r="AD83" i="2"/>
  <c r="W83" i="2"/>
  <c r="BK82" i="2"/>
  <c r="BF82" i="2"/>
  <c r="AY82" i="2"/>
  <c r="AR82" i="2"/>
  <c r="AK82" i="2"/>
  <c r="AD82" i="2"/>
  <c r="W82" i="2"/>
  <c r="BK81" i="2"/>
  <c r="BF81" i="2"/>
  <c r="AY81" i="2"/>
  <c r="AR81" i="2"/>
  <c r="AK81" i="2"/>
  <c r="AD81" i="2"/>
  <c r="W81" i="2"/>
  <c r="BK80" i="2"/>
  <c r="BF80" i="2"/>
  <c r="AY80" i="2"/>
  <c r="AR80" i="2"/>
  <c r="AK80" i="2"/>
  <c r="AD80" i="2"/>
  <c r="W80" i="2"/>
  <c r="BK79" i="2"/>
  <c r="BF79" i="2"/>
  <c r="AY79" i="2"/>
  <c r="AR79" i="2"/>
  <c r="AK79" i="2"/>
  <c r="AD79" i="2"/>
  <c r="W79" i="2"/>
  <c r="BK78" i="2"/>
  <c r="BF78" i="2"/>
  <c r="AY78" i="2"/>
  <c r="AR78" i="2"/>
  <c r="AK78" i="2"/>
  <c r="AD78" i="2"/>
  <c r="W78" i="2"/>
  <c r="BK77" i="2"/>
  <c r="BF77" i="2"/>
  <c r="AY77" i="2"/>
  <c r="AR77" i="2"/>
  <c r="AK77" i="2"/>
  <c r="AD77" i="2"/>
  <c r="W77" i="2"/>
  <c r="BK76" i="2"/>
  <c r="BF76" i="2"/>
  <c r="AY76" i="2"/>
  <c r="AR76" i="2"/>
  <c r="AK76" i="2"/>
  <c r="AD76" i="2"/>
  <c r="W76" i="2"/>
  <c r="BK75" i="2"/>
  <c r="BF75" i="2"/>
  <c r="AY75" i="2"/>
  <c r="AR75" i="2"/>
  <c r="AK75" i="2"/>
  <c r="AD75" i="2"/>
  <c r="W75" i="2"/>
  <c r="BK74" i="2"/>
  <c r="BF74" i="2"/>
  <c r="AY74" i="2"/>
  <c r="AR74" i="2"/>
  <c r="AK74" i="2"/>
  <c r="AD74" i="2"/>
  <c r="W74" i="2"/>
  <c r="BK73" i="2"/>
  <c r="BF73" i="2"/>
  <c r="AY73" i="2"/>
  <c r="AR73" i="2"/>
  <c r="AK73" i="2"/>
  <c r="AD73" i="2"/>
  <c r="W73" i="2"/>
  <c r="BK72" i="2"/>
  <c r="BF72" i="2"/>
  <c r="AY72" i="2"/>
  <c r="AR72" i="2"/>
  <c r="AK72" i="2"/>
  <c r="AD72" i="2"/>
  <c r="W72" i="2"/>
  <c r="BK71" i="2"/>
  <c r="BF71" i="2"/>
  <c r="AY71" i="2"/>
  <c r="AR71" i="2"/>
  <c r="AK71" i="2"/>
  <c r="AD71" i="2"/>
  <c r="W71" i="2"/>
  <c r="BK70" i="2"/>
  <c r="BF70" i="2"/>
  <c r="AY70" i="2"/>
  <c r="AR70" i="2"/>
  <c r="AK70" i="2"/>
  <c r="AD70" i="2"/>
  <c r="W70" i="2"/>
  <c r="BK69" i="2"/>
  <c r="BF69" i="2"/>
  <c r="AY69" i="2"/>
  <c r="AR69" i="2"/>
  <c r="AK69" i="2"/>
  <c r="AD69" i="2"/>
  <c r="W69" i="2"/>
  <c r="BK68" i="2"/>
  <c r="BF68" i="2"/>
  <c r="AY68" i="2"/>
  <c r="AR68" i="2"/>
  <c r="AK68" i="2"/>
  <c r="AD68" i="2"/>
  <c r="W68" i="2"/>
  <c r="BK67" i="2"/>
  <c r="BF67" i="2"/>
  <c r="AY67" i="2"/>
  <c r="AR67" i="2"/>
  <c r="AK67" i="2"/>
  <c r="AD67" i="2"/>
  <c r="W67" i="2"/>
  <c r="BK66" i="2"/>
  <c r="BF66" i="2"/>
  <c r="AY66" i="2"/>
  <c r="AR66" i="2"/>
  <c r="AK66" i="2"/>
  <c r="AD66" i="2"/>
  <c r="W66" i="2"/>
  <c r="BK65" i="2"/>
  <c r="BF65" i="2"/>
  <c r="AY65" i="2"/>
  <c r="AR65" i="2"/>
  <c r="AK65" i="2"/>
  <c r="AD65" i="2"/>
  <c r="W65" i="2"/>
  <c r="BK64" i="2"/>
  <c r="BF64" i="2"/>
  <c r="AY64" i="2"/>
  <c r="AR64" i="2"/>
  <c r="AK64" i="2"/>
  <c r="AD64" i="2"/>
  <c r="W64" i="2"/>
  <c r="BK63" i="2"/>
  <c r="BF63" i="2"/>
  <c r="AY63" i="2"/>
  <c r="AR63" i="2"/>
  <c r="AK63" i="2"/>
  <c r="AD63" i="2"/>
  <c r="W63" i="2"/>
  <c r="BK62" i="2"/>
  <c r="BF62" i="2"/>
  <c r="AY62" i="2"/>
  <c r="AR62" i="2"/>
  <c r="AK62" i="2"/>
  <c r="AD62" i="2"/>
  <c r="W62" i="2"/>
  <c r="BK61" i="2"/>
  <c r="BF61" i="2"/>
  <c r="AY61" i="2"/>
  <c r="AR61" i="2"/>
  <c r="AK61" i="2"/>
  <c r="AD61" i="2"/>
  <c r="W61" i="2"/>
  <c r="BK60" i="2"/>
  <c r="BF60" i="2"/>
  <c r="AY60" i="2"/>
  <c r="AR60" i="2"/>
  <c r="AK60" i="2"/>
  <c r="AD60" i="2"/>
  <c r="W60" i="2"/>
  <c r="BK59" i="2"/>
  <c r="BF59" i="2"/>
  <c r="AY59" i="2"/>
  <c r="AR59" i="2"/>
  <c r="AK59" i="2"/>
  <c r="AD59" i="2"/>
  <c r="W59" i="2"/>
  <c r="BK58" i="2"/>
  <c r="BF58" i="2"/>
  <c r="AY58" i="2"/>
  <c r="AR58" i="2"/>
  <c r="AK58" i="2"/>
  <c r="AD58" i="2"/>
  <c r="W58" i="2"/>
  <c r="BK57" i="2"/>
  <c r="BF57" i="2"/>
  <c r="AY57" i="2"/>
  <c r="AR57" i="2"/>
  <c r="AK57" i="2"/>
  <c r="AD57" i="2"/>
  <c r="W57" i="2"/>
  <c r="BK56" i="2"/>
  <c r="BF56" i="2"/>
  <c r="AY56" i="2"/>
  <c r="AR56" i="2"/>
  <c r="AK56" i="2"/>
  <c r="AD56" i="2"/>
  <c r="W56" i="2"/>
  <c r="BK55" i="2"/>
  <c r="BF55" i="2"/>
  <c r="AY55" i="2"/>
  <c r="AR55" i="2"/>
  <c r="AK55" i="2"/>
  <c r="AD55" i="2"/>
  <c r="W55" i="2"/>
  <c r="BK54" i="2"/>
  <c r="BF54" i="2"/>
  <c r="AY54" i="2"/>
  <c r="AR54" i="2"/>
  <c r="AK54" i="2"/>
  <c r="AD54" i="2"/>
  <c r="W54" i="2"/>
  <c r="BK53" i="2"/>
  <c r="BF53" i="2"/>
  <c r="AY53" i="2"/>
  <c r="AR53" i="2"/>
  <c r="AK53" i="2"/>
  <c r="AD53" i="2"/>
  <c r="W53" i="2"/>
  <c r="BK52" i="2"/>
  <c r="BF52" i="2"/>
  <c r="AY52" i="2"/>
  <c r="AR52" i="2"/>
  <c r="AK52" i="2"/>
  <c r="AD52" i="2"/>
  <c r="W52" i="2"/>
  <c r="BK51" i="2"/>
  <c r="BF51" i="2"/>
  <c r="AY51" i="2"/>
  <c r="AR51" i="2"/>
  <c r="AK51" i="2"/>
  <c r="AD51" i="2"/>
  <c r="W51" i="2"/>
  <c r="BK50" i="2"/>
  <c r="BF50" i="2"/>
  <c r="AY50" i="2"/>
  <c r="AR50" i="2"/>
  <c r="AK50" i="2"/>
  <c r="AD50" i="2"/>
  <c r="W50" i="2"/>
  <c r="BK49" i="2"/>
  <c r="BF49" i="2"/>
  <c r="AY49" i="2"/>
  <c r="AR49" i="2"/>
  <c r="AK49" i="2"/>
  <c r="AD49" i="2"/>
  <c r="W49" i="2"/>
  <c r="BK48" i="2"/>
  <c r="BF48" i="2"/>
  <c r="AY48" i="2"/>
  <c r="AR48" i="2"/>
  <c r="AK48" i="2"/>
  <c r="AD48" i="2"/>
  <c r="W48" i="2"/>
  <c r="BK47" i="2"/>
  <c r="BF47" i="2"/>
  <c r="AY47" i="2"/>
  <c r="AR47" i="2"/>
  <c r="AK47" i="2"/>
  <c r="AD47" i="2"/>
  <c r="W47" i="2"/>
  <c r="BK46" i="2"/>
  <c r="BF46" i="2"/>
  <c r="AY46" i="2"/>
  <c r="AR46" i="2"/>
  <c r="AK46" i="2"/>
  <c r="AD46" i="2"/>
  <c r="W46" i="2"/>
  <c r="BK45" i="2"/>
  <c r="BF45" i="2"/>
  <c r="AY45" i="2"/>
  <c r="AR45" i="2"/>
  <c r="AK45" i="2"/>
  <c r="AD45" i="2"/>
  <c r="W45" i="2"/>
  <c r="BK44" i="2"/>
  <c r="BF44" i="2"/>
  <c r="AY44" i="2"/>
  <c r="AR44" i="2"/>
  <c r="AK44" i="2"/>
  <c r="AD44" i="2"/>
  <c r="W44" i="2"/>
  <c r="BK43" i="2"/>
  <c r="BF43" i="2"/>
  <c r="AY43" i="2"/>
  <c r="AR43" i="2"/>
  <c r="AK43" i="2"/>
  <c r="AD43" i="2"/>
  <c r="W43" i="2"/>
  <c r="BK42" i="2"/>
  <c r="BF42" i="2"/>
  <c r="AY42" i="2"/>
  <c r="AR42" i="2"/>
  <c r="AK42" i="2"/>
  <c r="AD42" i="2"/>
  <c r="W42" i="2"/>
  <c r="BK41" i="2"/>
  <c r="BF41" i="2"/>
  <c r="AY41" i="2"/>
  <c r="AR41" i="2"/>
  <c r="AK41" i="2"/>
  <c r="AD41" i="2"/>
  <c r="W41" i="2"/>
  <c r="BK40" i="2"/>
  <c r="BF40" i="2"/>
  <c r="AY40" i="2"/>
  <c r="AR40" i="2"/>
  <c r="AK40" i="2"/>
  <c r="AD40" i="2"/>
  <c r="W40" i="2"/>
  <c r="BK39" i="2"/>
  <c r="BF39" i="2"/>
  <c r="AY39" i="2"/>
  <c r="AR39" i="2"/>
  <c r="AK39" i="2"/>
  <c r="AD39" i="2"/>
  <c r="W39" i="2"/>
  <c r="BK38" i="2"/>
  <c r="BF38" i="2"/>
  <c r="AY38" i="2"/>
  <c r="AR38" i="2"/>
  <c r="AK38" i="2"/>
  <c r="AD38" i="2"/>
  <c r="W38" i="2"/>
  <c r="BK37" i="2"/>
  <c r="BF37" i="2"/>
  <c r="AY37" i="2"/>
  <c r="AR37" i="2"/>
  <c r="AK37" i="2"/>
  <c r="AD37" i="2"/>
  <c r="W37" i="2"/>
  <c r="BK36" i="2"/>
  <c r="BF36" i="2"/>
  <c r="AY36" i="2"/>
  <c r="AR36" i="2"/>
  <c r="AK36" i="2"/>
  <c r="AD36" i="2"/>
  <c r="W36" i="2"/>
  <c r="BK35" i="2"/>
  <c r="BF35" i="2"/>
  <c r="AY35" i="2"/>
  <c r="AR35" i="2"/>
  <c r="AK35" i="2"/>
  <c r="AD35" i="2"/>
  <c r="W35" i="2"/>
  <c r="BK34" i="2"/>
  <c r="BF34" i="2"/>
  <c r="AY34" i="2"/>
  <c r="AR34" i="2"/>
  <c r="AK34" i="2"/>
  <c r="AD34" i="2"/>
  <c r="W34" i="2"/>
  <c r="BK33" i="2"/>
  <c r="BF33" i="2"/>
  <c r="AY33" i="2"/>
  <c r="AR33" i="2"/>
  <c r="AK33" i="2"/>
  <c r="AD33" i="2"/>
  <c r="W33" i="2"/>
  <c r="BK32" i="2"/>
  <c r="BF32" i="2"/>
  <c r="AY32" i="2"/>
  <c r="AR32" i="2"/>
  <c r="AK32" i="2"/>
  <c r="AD32" i="2"/>
  <c r="W32" i="2"/>
  <c r="BK31" i="2"/>
  <c r="BF31" i="2"/>
  <c r="AY31" i="2"/>
  <c r="AR31" i="2"/>
  <c r="AK31" i="2"/>
  <c r="AD31" i="2"/>
  <c r="W31" i="2"/>
  <c r="BK30" i="2"/>
  <c r="BF30" i="2"/>
  <c r="AY30" i="2"/>
  <c r="AR30" i="2"/>
  <c r="AK30" i="2"/>
  <c r="AD30" i="2"/>
  <c r="W30" i="2"/>
  <c r="BK29" i="2"/>
  <c r="BF29" i="2"/>
  <c r="AY29" i="2"/>
  <c r="AR29" i="2"/>
  <c r="AK29" i="2"/>
  <c r="AD29" i="2"/>
  <c r="W29" i="2"/>
  <c r="BK28" i="2"/>
  <c r="BF28" i="2"/>
  <c r="AY28" i="2"/>
  <c r="AR28" i="2"/>
  <c r="AK28" i="2"/>
  <c r="AD28" i="2"/>
  <c r="W28" i="2"/>
  <c r="BK27" i="2"/>
  <c r="BF27" i="2"/>
  <c r="AY27" i="2"/>
  <c r="AR27" i="2"/>
  <c r="AK27" i="2"/>
  <c r="AD27" i="2"/>
  <c r="W27" i="2"/>
  <c r="BK26" i="2"/>
  <c r="BF26" i="2"/>
  <c r="AY26" i="2"/>
  <c r="AR26" i="2"/>
  <c r="AK26" i="2"/>
  <c r="AD26" i="2"/>
  <c r="W26" i="2"/>
  <c r="BK25" i="2"/>
  <c r="BF25" i="2"/>
  <c r="AY25" i="2"/>
  <c r="AR25" i="2"/>
  <c r="AK25" i="2"/>
  <c r="AD25" i="2"/>
  <c r="W25" i="2"/>
  <c r="BK24" i="2"/>
  <c r="BF24" i="2"/>
  <c r="AY24" i="2"/>
  <c r="AR24" i="2"/>
  <c r="AK24" i="2"/>
  <c r="AD24" i="2"/>
  <c r="W24" i="2"/>
  <c r="BK23" i="2"/>
  <c r="BF23" i="2"/>
  <c r="AY23" i="2"/>
  <c r="AR23" i="2"/>
  <c r="AK23" i="2"/>
  <c r="AD23" i="2"/>
  <c r="W23" i="2"/>
  <c r="BK22" i="2"/>
  <c r="BF22" i="2"/>
  <c r="AY22" i="2"/>
  <c r="AR22" i="2"/>
  <c r="AK22" i="2"/>
  <c r="AD22" i="2"/>
  <c r="W22" i="2"/>
  <c r="BK21" i="2"/>
  <c r="BF21" i="2"/>
  <c r="AY21" i="2"/>
  <c r="AR21" i="2"/>
  <c r="AK21" i="2"/>
  <c r="AD21" i="2"/>
  <c r="W21" i="2"/>
  <c r="BK20" i="2"/>
  <c r="BF20" i="2"/>
  <c r="AY20" i="2"/>
  <c r="AR20" i="2"/>
  <c r="AK20" i="2"/>
  <c r="AD20" i="2"/>
  <c r="W20" i="2"/>
  <c r="BK19" i="2"/>
  <c r="BF19" i="2"/>
  <c r="AY19" i="2"/>
  <c r="AR19" i="2"/>
  <c r="AK19" i="2"/>
  <c r="AD19" i="2"/>
  <c r="W19" i="2"/>
  <c r="BK18" i="2"/>
  <c r="BF18" i="2"/>
  <c r="AY18" i="2"/>
  <c r="AR18" i="2"/>
  <c r="AK18" i="2"/>
  <c r="AD18" i="2"/>
  <c r="W18" i="2"/>
  <c r="BK17" i="2"/>
  <c r="BF17" i="2"/>
  <c r="AY17" i="2"/>
  <c r="AR17" i="2"/>
  <c r="AK17" i="2"/>
  <c r="AD17" i="2"/>
  <c r="W17" i="2"/>
  <c r="BK16" i="2"/>
  <c r="BF16" i="2"/>
  <c r="AY16" i="2"/>
  <c r="AR16" i="2"/>
  <c r="AK16" i="2"/>
  <c r="AD16" i="2"/>
  <c r="W16" i="2"/>
  <c r="BK15" i="2"/>
  <c r="BF15" i="2"/>
  <c r="AY15" i="2"/>
  <c r="AR15" i="2"/>
  <c r="AK15" i="2"/>
  <c r="AD15" i="2"/>
  <c r="W15" i="2"/>
  <c r="BK14" i="2"/>
  <c r="BF14" i="2"/>
  <c r="AY14" i="2"/>
  <c r="AR14" i="2"/>
  <c r="AK14" i="2"/>
  <c r="AD14" i="2"/>
  <c r="W14" i="2"/>
  <c r="BK13" i="2"/>
  <c r="BF13" i="2"/>
  <c r="AY13" i="2"/>
  <c r="AR13" i="2"/>
  <c r="AK13" i="2"/>
  <c r="AD13" i="2"/>
  <c r="W13" i="2"/>
  <c r="BK12" i="2"/>
  <c r="BF12" i="2"/>
  <c r="AY12" i="2"/>
  <c r="AR12" i="2"/>
  <c r="AK12" i="2"/>
  <c r="AD12" i="2"/>
  <c r="W12" i="2"/>
  <c r="BK11" i="2"/>
  <c r="BF11" i="2"/>
  <c r="AY11" i="2"/>
  <c r="AR11" i="2"/>
  <c r="AK11" i="2"/>
  <c r="AD11" i="2"/>
  <c r="W11" i="2"/>
  <c r="BK10" i="2"/>
  <c r="BF10" i="2"/>
  <c r="AY10" i="2"/>
  <c r="AR10" i="2"/>
  <c r="AK10" i="2"/>
  <c r="AD10" i="2"/>
  <c r="W10" i="2"/>
  <c r="BK9" i="2"/>
  <c r="BF9" i="2"/>
  <c r="AY9" i="2"/>
  <c r="AR9" i="2"/>
  <c r="AK9" i="2"/>
  <c r="AD9" i="2"/>
  <c r="W9" i="2"/>
  <c r="J8" i="2"/>
  <c r="BJ8" i="2" s="1"/>
  <c r="BK8" i="2" s="1"/>
  <c r="I8" i="2"/>
  <c r="BC8" i="2" s="1"/>
  <c r="H8" i="2"/>
  <c r="AV8" i="2" s="1"/>
  <c r="BB8" i="2" s="1"/>
  <c r="G8" i="2"/>
  <c r="AO8" i="2" s="1"/>
  <c r="F8" i="2"/>
  <c r="AH8" i="2" s="1"/>
  <c r="E8" i="2"/>
  <c r="AA8" i="2" s="1"/>
  <c r="AD8" i="2" s="1"/>
  <c r="D8" i="2"/>
  <c r="T8" i="2" s="1"/>
  <c r="BE8" i="2"/>
  <c r="AI8" i="2"/>
  <c r="G90" i="3" l="1"/>
  <c r="AH9" i="2"/>
  <c r="AN9" i="2" s="1"/>
  <c r="BG8" i="2"/>
  <c r="AR8" i="2"/>
  <c r="AU8" i="2"/>
  <c r="AG8" i="2"/>
  <c r="W8" i="2"/>
  <c r="AK8" i="2"/>
  <c r="AN8" i="2"/>
  <c r="AY8" i="2"/>
  <c r="R8" i="2"/>
  <c r="BI8" i="2"/>
  <c r="Z8" i="2"/>
  <c r="BF8" i="2"/>
  <c r="S8" i="3"/>
  <c r="I8" i="3" s="1"/>
  <c r="K90" i="2"/>
  <c r="L90" i="2" s="1"/>
  <c r="M8" i="3"/>
  <c r="AX8" i="2"/>
  <c r="AQ8" i="2"/>
  <c r="Q8" i="3"/>
  <c r="AB8" i="2"/>
  <c r="AP8" i="2"/>
  <c r="P8" i="3"/>
  <c r="BD8" i="2"/>
  <c r="AC8" i="2"/>
  <c r="U8" i="2"/>
  <c r="AJ8" i="2"/>
  <c r="V8" i="2"/>
  <c r="AW8" i="2"/>
  <c r="BH8" i="2" l="1"/>
  <c r="F9" i="2"/>
  <c r="O9" i="3"/>
  <c r="S9" i="3" s="1"/>
  <c r="I9" i="3" s="1"/>
  <c r="J9" i="3" s="1"/>
  <c r="AZ8" i="2"/>
  <c r="BA8" i="2" s="1"/>
  <c r="AS8" i="2"/>
  <c r="AT8" i="2" s="1"/>
  <c r="AL8" i="2"/>
  <c r="AM8" i="2" s="1"/>
  <c r="AO9" i="2"/>
  <c r="AU9" i="2" s="1"/>
  <c r="AA9" i="2"/>
  <c r="E9" i="2" s="1"/>
  <c r="AV9" i="2"/>
  <c r="AE8" i="2"/>
  <c r="AF8" i="2" s="1"/>
  <c r="T9" i="2"/>
  <c r="Z9" i="2" s="1"/>
  <c r="BC9" i="2"/>
  <c r="R8" i="3"/>
  <c r="F8" i="3" s="1"/>
  <c r="T9" i="3"/>
  <c r="E9" i="3" s="1"/>
  <c r="N8" i="2"/>
  <c r="D9" i="3"/>
  <c r="BJ9" i="2"/>
  <c r="J9" i="2" s="1"/>
  <c r="X8" i="2"/>
  <c r="Y8" i="2" s="1"/>
  <c r="J8" i="3"/>
  <c r="AX9" i="2"/>
  <c r="V9" i="2"/>
  <c r="BD9" i="2"/>
  <c r="P9" i="3"/>
  <c r="AI9" i="2"/>
  <c r="AJ9" i="2"/>
  <c r="U9" i="2"/>
  <c r="Q9" i="3"/>
  <c r="AL9" i="2" l="1"/>
  <c r="AM9" i="2" s="1"/>
  <c r="AH10" i="2"/>
  <c r="AN10" i="2" s="1"/>
  <c r="D9" i="2"/>
  <c r="G9" i="2"/>
  <c r="AG9" i="2"/>
  <c r="BI9" i="2"/>
  <c r="I9" i="2"/>
  <c r="K8" i="2"/>
  <c r="L8" i="2" s="1"/>
  <c r="AZ9" i="2"/>
  <c r="BA9" i="2" s="1"/>
  <c r="BC10" i="2"/>
  <c r="I10" i="2" s="1"/>
  <c r="T10" i="2"/>
  <c r="Z10" i="2" s="1"/>
  <c r="O10" i="3"/>
  <c r="M9" i="3"/>
  <c r="BB9" i="2"/>
  <c r="H9" i="2"/>
  <c r="X9" i="2"/>
  <c r="Y9" i="2" s="1"/>
  <c r="T10" i="3"/>
  <c r="E10" i="3" s="1"/>
  <c r="R9" i="3"/>
  <c r="F9" i="3" s="1"/>
  <c r="G9" i="3" s="1"/>
  <c r="O8" i="2"/>
  <c r="K8" i="3"/>
  <c r="K9" i="3" s="1"/>
  <c r="D10" i="3"/>
  <c r="S10" i="3"/>
  <c r="I10" i="3" s="1"/>
  <c r="G8" i="3"/>
  <c r="V10" i="2"/>
  <c r="AJ10" i="2"/>
  <c r="U10" i="2"/>
  <c r="AP9" i="2"/>
  <c r="Q10" i="3"/>
  <c r="AW9" i="2"/>
  <c r="AB9" i="2"/>
  <c r="P10" i="3"/>
  <c r="AQ9" i="2"/>
  <c r="AC9" i="2"/>
  <c r="BE9" i="2"/>
  <c r="F10" i="2" l="1"/>
  <c r="R9" i="2"/>
  <c r="AE9" i="2"/>
  <c r="AF9" i="2" s="1"/>
  <c r="BI10" i="2"/>
  <c r="N9" i="2"/>
  <c r="O9" i="2" s="1"/>
  <c r="D10" i="2"/>
  <c r="AS9" i="2"/>
  <c r="AT9" i="2" s="1"/>
  <c r="AO10" i="2"/>
  <c r="G10" i="2" s="1"/>
  <c r="AA10" i="2"/>
  <c r="E10" i="2" s="1"/>
  <c r="BG9" i="2"/>
  <c r="BH9" i="2" s="1"/>
  <c r="BJ10" i="2"/>
  <c r="J10" i="2" s="1"/>
  <c r="M10" i="3"/>
  <c r="AL10" i="2"/>
  <c r="AM10" i="2" s="1"/>
  <c r="T11" i="2"/>
  <c r="Z11" i="2" s="1"/>
  <c r="O11" i="3"/>
  <c r="S11" i="3" s="1"/>
  <c r="I11" i="3" s="1"/>
  <c r="J11" i="3" s="1"/>
  <c r="AV10" i="2"/>
  <c r="J10" i="3"/>
  <c r="K10" i="3" s="1"/>
  <c r="H8" i="3"/>
  <c r="H9" i="3" s="1"/>
  <c r="P8" i="2"/>
  <c r="T11" i="3"/>
  <c r="E11" i="3" s="1"/>
  <c r="R10" i="3"/>
  <c r="F10" i="3" s="1"/>
  <c r="G10" i="3" s="1"/>
  <c r="X10" i="2"/>
  <c r="Y10" i="2" s="1"/>
  <c r="M8" i="2"/>
  <c r="AI10" i="2"/>
  <c r="BD10" i="2"/>
  <c r="U11" i="2"/>
  <c r="V11" i="2"/>
  <c r="BE10" i="2"/>
  <c r="AP10" i="2"/>
  <c r="AH11" i="2" l="1"/>
  <c r="AU10" i="2"/>
  <c r="BC11" i="2"/>
  <c r="AG10" i="2"/>
  <c r="D11" i="3"/>
  <c r="M11" i="3" s="1"/>
  <c r="P9" i="2"/>
  <c r="D11" i="2"/>
  <c r="BG10" i="2"/>
  <c r="BH10" i="2" s="1"/>
  <c r="K9" i="2"/>
  <c r="L9" i="2" s="1"/>
  <c r="M9" i="2" s="1"/>
  <c r="AO11" i="2"/>
  <c r="AU11" i="2" s="1"/>
  <c r="T12" i="2"/>
  <c r="Z12" i="2" s="1"/>
  <c r="BB10" i="2"/>
  <c r="H10" i="2"/>
  <c r="R10" i="2" s="1"/>
  <c r="G11" i="2"/>
  <c r="F11" i="2"/>
  <c r="AN11" i="2"/>
  <c r="K11" i="3"/>
  <c r="X11" i="2"/>
  <c r="Y11" i="2" s="1"/>
  <c r="H10" i="3"/>
  <c r="AQ10" i="2"/>
  <c r="AX10" i="2"/>
  <c r="AI11" i="2"/>
  <c r="AW10" i="2"/>
  <c r="AB10" i="2"/>
  <c r="AC10" i="2"/>
  <c r="AJ11" i="2"/>
  <c r="Q11" i="3"/>
  <c r="AP11" i="2"/>
  <c r="AQ11" i="2"/>
  <c r="P11" i="3"/>
  <c r="AS10" i="2" l="1"/>
  <c r="AT10" i="2" s="1"/>
  <c r="N10" i="2"/>
  <c r="O10" i="2" s="1"/>
  <c r="AE10" i="2"/>
  <c r="AF10" i="2" s="1"/>
  <c r="T12" i="3"/>
  <c r="E12" i="3" s="1"/>
  <c r="R11" i="3"/>
  <c r="F11" i="3" s="1"/>
  <c r="G11" i="3" s="1"/>
  <c r="H11" i="3" s="1"/>
  <c r="O12" i="3"/>
  <c r="D12" i="3" s="1"/>
  <c r="M12" i="3" s="1"/>
  <c r="AA11" i="2"/>
  <c r="E11" i="2" s="1"/>
  <c r="BI11" i="2"/>
  <c r="I11" i="2"/>
  <c r="D12" i="2"/>
  <c r="AL11" i="2"/>
  <c r="AM11" i="2" s="1"/>
  <c r="AO12" i="2"/>
  <c r="AV11" i="2"/>
  <c r="AH12" i="2"/>
  <c r="AS11" i="2"/>
  <c r="AT11" i="2" s="1"/>
  <c r="AZ10" i="2"/>
  <c r="BA10" i="2" s="1"/>
  <c r="BJ11" i="2"/>
  <c r="J11" i="2" s="1"/>
  <c r="U12" i="2"/>
  <c r="BD11" i="2"/>
  <c r="V12" i="2"/>
  <c r="BE11" i="2"/>
  <c r="T13" i="2" l="1"/>
  <c r="D13" i="2" s="1"/>
  <c r="AG11" i="2"/>
  <c r="BG11" i="2"/>
  <c r="BH11" i="2" s="1"/>
  <c r="BC12" i="2"/>
  <c r="K10" i="2"/>
  <c r="L10" i="2" s="1"/>
  <c r="S12" i="3"/>
  <c r="I12" i="3" s="1"/>
  <c r="J12" i="3" s="1"/>
  <c r="K12" i="3" s="1"/>
  <c r="X12" i="2"/>
  <c r="Y12" i="2" s="1"/>
  <c r="Z13" i="2"/>
  <c r="P10" i="2"/>
  <c r="AN12" i="2"/>
  <c r="F12" i="2"/>
  <c r="BB11" i="2"/>
  <c r="H11" i="2"/>
  <c r="R11" i="2" s="1"/>
  <c r="AU12" i="2"/>
  <c r="G12" i="2"/>
  <c r="AQ12" i="2"/>
  <c r="AI12" i="2"/>
  <c r="AC11" i="2"/>
  <c r="V13" i="2"/>
  <c r="AW11" i="2"/>
  <c r="AP12" i="2"/>
  <c r="AB11" i="2"/>
  <c r="Q12" i="3"/>
  <c r="AX11" i="2"/>
  <c r="U13" i="2"/>
  <c r="P12" i="3"/>
  <c r="AJ12" i="2"/>
  <c r="AE11" i="2" l="1"/>
  <c r="AF11" i="2" s="1"/>
  <c r="X13" i="2"/>
  <c r="Y13" i="2" s="1"/>
  <c r="AA12" i="2"/>
  <c r="N11" i="2"/>
  <c r="O11" i="2" s="1"/>
  <c r="O13" i="3"/>
  <c r="T13" i="3"/>
  <c r="E13" i="3" s="1"/>
  <c r="R12" i="3"/>
  <c r="F12" i="3" s="1"/>
  <c r="G12" i="3" s="1"/>
  <c r="H12" i="3" s="1"/>
  <c r="BI12" i="2"/>
  <c r="I12" i="2"/>
  <c r="AV12" i="2"/>
  <c r="AL12" i="2"/>
  <c r="AM12" i="2" s="1"/>
  <c r="AZ11" i="2"/>
  <c r="BA11" i="2" s="1"/>
  <c r="K11" i="2" s="1"/>
  <c r="BJ12" i="2"/>
  <c r="J12" i="2" s="1"/>
  <c r="T14" i="2"/>
  <c r="AS12" i="2"/>
  <c r="AT12" i="2" s="1"/>
  <c r="AH13" i="2"/>
  <c r="AO13" i="2"/>
  <c r="E12" i="2"/>
  <c r="AG12" i="2"/>
  <c r="M10" i="2"/>
  <c r="BE12" i="2"/>
  <c r="AB12" i="2"/>
  <c r="AC12" i="2"/>
  <c r="BD12" i="2"/>
  <c r="BG12" i="2" l="1"/>
  <c r="BH12" i="2" s="1"/>
  <c r="BC13" i="2"/>
  <c r="S13" i="3"/>
  <c r="I13" i="3" s="1"/>
  <c r="J13" i="3" s="1"/>
  <c r="K13" i="3" s="1"/>
  <c r="D13" i="3"/>
  <c r="M13" i="3" s="1"/>
  <c r="AA13" i="2"/>
  <c r="AE12" i="2"/>
  <c r="AF12" i="2" s="1"/>
  <c r="L11" i="2"/>
  <c r="Z14" i="2"/>
  <c r="D14" i="2"/>
  <c r="G13" i="2"/>
  <c r="AU13" i="2"/>
  <c r="P11" i="2"/>
  <c r="AN13" i="2"/>
  <c r="F13" i="2"/>
  <c r="BB12" i="2"/>
  <c r="N12" i="2" s="1"/>
  <c r="H12" i="2"/>
  <c r="R12" i="2" s="1"/>
  <c r="U14" i="2"/>
  <c r="AI13" i="2"/>
  <c r="Q13" i="3"/>
  <c r="AP13" i="2"/>
  <c r="V14" i="2"/>
  <c r="AW12" i="2"/>
  <c r="AJ13" i="2"/>
  <c r="AX12" i="2"/>
  <c r="AQ13" i="2"/>
  <c r="P13" i="3"/>
  <c r="T14" i="3" l="1"/>
  <c r="E14" i="3" s="1"/>
  <c r="R13" i="3"/>
  <c r="F13" i="3" s="1"/>
  <c r="G13" i="3" s="1"/>
  <c r="H13" i="3" s="1"/>
  <c r="O14" i="3"/>
  <c r="I13" i="2"/>
  <c r="BI13" i="2"/>
  <c r="T15" i="2"/>
  <c r="AS13" i="2"/>
  <c r="AT13" i="2" s="1"/>
  <c r="AV13" i="2"/>
  <c r="AO14" i="2"/>
  <c r="X14" i="2"/>
  <c r="Y14" i="2" s="1"/>
  <c r="AH14" i="2"/>
  <c r="AZ12" i="2"/>
  <c r="BA12" i="2" s="1"/>
  <c r="K12" i="2" s="1"/>
  <c r="BJ13" i="2"/>
  <c r="J13" i="2" s="1"/>
  <c r="AL13" i="2"/>
  <c r="AM13" i="2" s="1"/>
  <c r="O12" i="2"/>
  <c r="E13" i="2"/>
  <c r="AG13" i="2"/>
  <c r="M11" i="2"/>
  <c r="AC13" i="2"/>
  <c r="AB13" i="2"/>
  <c r="BD13" i="2"/>
  <c r="BE13" i="2"/>
  <c r="BG13" i="2" l="1"/>
  <c r="BH13" i="2" s="1"/>
  <c r="BC14" i="2"/>
  <c r="S14" i="3"/>
  <c r="I14" i="3" s="1"/>
  <c r="J14" i="3" s="1"/>
  <c r="K14" i="3" s="1"/>
  <c r="D14" i="3"/>
  <c r="M14" i="3" s="1"/>
  <c r="AA14" i="2"/>
  <c r="AE13" i="2"/>
  <c r="AF13" i="2" s="1"/>
  <c r="AU14" i="2"/>
  <c r="G14" i="2"/>
  <c r="L12" i="2"/>
  <c r="H13" i="2"/>
  <c r="R13" i="2" s="1"/>
  <c r="BB13" i="2"/>
  <c r="N13" i="2" s="1"/>
  <c r="P12" i="2"/>
  <c r="AN14" i="2"/>
  <c r="F14" i="2"/>
  <c r="D15" i="2"/>
  <c r="Z15" i="2"/>
  <c r="AX13" i="2"/>
  <c r="AI14" i="2"/>
  <c r="Q14" i="3"/>
  <c r="AJ14" i="2"/>
  <c r="P14" i="3"/>
  <c r="AW13" i="2"/>
  <c r="V15" i="2"/>
  <c r="U15" i="2"/>
  <c r="AQ14" i="2"/>
  <c r="AP14" i="2"/>
  <c r="T15" i="3" l="1"/>
  <c r="E15" i="3" s="1"/>
  <c r="R14" i="3"/>
  <c r="F14" i="3" s="1"/>
  <c r="G14" i="3" s="1"/>
  <c r="H14" i="3" s="1"/>
  <c r="O15" i="3"/>
  <c r="I14" i="2"/>
  <c r="BI14" i="2"/>
  <c r="AL14" i="2"/>
  <c r="AM14" i="2" s="1"/>
  <c r="AO15" i="2"/>
  <c r="AV14" i="2"/>
  <c r="AS14" i="2"/>
  <c r="AT14" i="2" s="1"/>
  <c r="T16" i="2"/>
  <c r="X15" i="2"/>
  <c r="Y15" i="2" s="1"/>
  <c r="AH15" i="2"/>
  <c r="AZ13" i="2"/>
  <c r="BA13" i="2" s="1"/>
  <c r="K13" i="2" s="1"/>
  <c r="BJ14" i="2"/>
  <c r="J14" i="2" s="1"/>
  <c r="O13" i="2"/>
  <c r="P13" i="2" s="1"/>
  <c r="M12" i="2"/>
  <c r="E14" i="2"/>
  <c r="AG14" i="2"/>
  <c r="BE14" i="2"/>
  <c r="BD14" i="2"/>
  <c r="AB14" i="2"/>
  <c r="AC14" i="2"/>
  <c r="BG14" i="2" l="1"/>
  <c r="BH14" i="2" s="1"/>
  <c r="BC15" i="2"/>
  <c r="D15" i="3"/>
  <c r="M15" i="3" s="1"/>
  <c r="S15" i="3"/>
  <c r="I15" i="3" s="1"/>
  <c r="J15" i="3" s="1"/>
  <c r="K15" i="3" s="1"/>
  <c r="AE14" i="2"/>
  <c r="AF14" i="2" s="1"/>
  <c r="AA15" i="2"/>
  <c r="L13" i="2"/>
  <c r="D16" i="2"/>
  <c r="Z16" i="2"/>
  <c r="BB14" i="2"/>
  <c r="N14" i="2" s="1"/>
  <c r="O14" i="2" s="1"/>
  <c r="P14" i="2" s="1"/>
  <c r="H14" i="2"/>
  <c r="R14" i="2" s="1"/>
  <c r="AN15" i="2"/>
  <c r="F15" i="2"/>
  <c r="G15" i="2"/>
  <c r="AU15" i="2"/>
  <c r="Q15" i="3"/>
  <c r="AP15" i="2"/>
  <c r="AJ15" i="2"/>
  <c r="AW14" i="2"/>
  <c r="P15" i="3"/>
  <c r="AI15" i="2"/>
  <c r="V16" i="2"/>
  <c r="U16" i="2"/>
  <c r="AQ15" i="2"/>
  <c r="AX14" i="2"/>
  <c r="R15" i="3" l="1"/>
  <c r="F15" i="3" s="1"/>
  <c r="G15" i="3" s="1"/>
  <c r="H15" i="3" s="1"/>
  <c r="T16" i="3"/>
  <c r="E16" i="3" s="1"/>
  <c r="O16" i="3"/>
  <c r="I15" i="2"/>
  <c r="BI15" i="2"/>
  <c r="T17" i="2"/>
  <c r="AL15" i="2"/>
  <c r="AM15" i="2" s="1"/>
  <c r="AO16" i="2"/>
  <c r="X16" i="2"/>
  <c r="Y16" i="2" s="1"/>
  <c r="AZ14" i="2"/>
  <c r="BA14" i="2" s="1"/>
  <c r="K14" i="2" s="1"/>
  <c r="L14" i="2" s="1"/>
  <c r="BJ15" i="2"/>
  <c r="J15" i="2" s="1"/>
  <c r="AS15" i="2"/>
  <c r="AT15" i="2" s="1"/>
  <c r="AH16" i="2"/>
  <c r="AV15" i="2"/>
  <c r="AG15" i="2"/>
  <c r="E15" i="2"/>
  <c r="M13" i="2"/>
  <c r="AB15" i="2"/>
  <c r="BE15" i="2"/>
  <c r="AC15" i="2"/>
  <c r="BD15" i="2"/>
  <c r="BG15" i="2" l="1"/>
  <c r="BH15" i="2" s="1"/>
  <c r="BC16" i="2"/>
  <c r="S16" i="3"/>
  <c r="I16" i="3" s="1"/>
  <c r="J16" i="3" s="1"/>
  <c r="K16" i="3" s="1"/>
  <c r="D16" i="3"/>
  <c r="M16" i="3" s="1"/>
  <c r="AE15" i="2"/>
  <c r="AF15" i="2" s="1"/>
  <c r="AA16" i="2"/>
  <c r="H15" i="2"/>
  <c r="R15" i="2" s="1"/>
  <c r="BB15" i="2"/>
  <c r="N15" i="2" s="1"/>
  <c r="O15" i="2" s="1"/>
  <c r="P15" i="2" s="1"/>
  <c r="AN16" i="2"/>
  <c r="F16" i="2"/>
  <c r="AU16" i="2"/>
  <c r="G16" i="2"/>
  <c r="M14" i="2"/>
  <c r="D17" i="2"/>
  <c r="Z17" i="2"/>
  <c r="AP16" i="2"/>
  <c r="AJ16" i="2"/>
  <c r="AX15" i="2"/>
  <c r="Q16" i="3"/>
  <c r="AQ16" i="2"/>
  <c r="V17" i="2"/>
  <c r="AW15" i="2"/>
  <c r="AI16" i="2"/>
  <c r="P16" i="3"/>
  <c r="U17" i="2"/>
  <c r="O17" i="3" l="1"/>
  <c r="T17" i="3"/>
  <c r="E17" i="3" s="1"/>
  <c r="R16" i="3"/>
  <c r="F16" i="3" s="1"/>
  <c r="G16" i="3" s="1"/>
  <c r="H16" i="3" s="1"/>
  <c r="I16" i="2"/>
  <c r="BI16" i="2"/>
  <c r="AZ15" i="2"/>
  <c r="BA15" i="2" s="1"/>
  <c r="K15" i="2" s="1"/>
  <c r="L15" i="2" s="1"/>
  <c r="M15" i="2" s="1"/>
  <c r="BJ16" i="2"/>
  <c r="J16" i="2" s="1"/>
  <c r="T18" i="2"/>
  <c r="AS16" i="2"/>
  <c r="AT16" i="2" s="1"/>
  <c r="AV16" i="2"/>
  <c r="X17" i="2"/>
  <c r="Y17" i="2" s="1"/>
  <c r="AO17" i="2"/>
  <c r="AL16" i="2"/>
  <c r="AM16" i="2" s="1"/>
  <c r="AH17" i="2"/>
  <c r="E16" i="2"/>
  <c r="AG16" i="2"/>
  <c r="AC16" i="2"/>
  <c r="BD16" i="2"/>
  <c r="BE16" i="2"/>
  <c r="AB16" i="2"/>
  <c r="BG16" i="2" l="1"/>
  <c r="BH16" i="2" s="1"/>
  <c r="BC17" i="2"/>
  <c r="D17" i="3"/>
  <c r="M17" i="3" s="1"/>
  <c r="S17" i="3"/>
  <c r="I17" i="3" s="1"/>
  <c r="J17" i="3" s="1"/>
  <c r="K17" i="3" s="1"/>
  <c r="AA17" i="2"/>
  <c r="AE16" i="2"/>
  <c r="AF16" i="2" s="1"/>
  <c r="BB16" i="2"/>
  <c r="N16" i="2" s="1"/>
  <c r="O16" i="2" s="1"/>
  <c r="P16" i="2" s="1"/>
  <c r="H16" i="2"/>
  <c r="R16" i="2" s="1"/>
  <c r="Z18" i="2"/>
  <c r="D18" i="2"/>
  <c r="G17" i="2"/>
  <c r="AU17" i="2"/>
  <c r="F17" i="2"/>
  <c r="AN17" i="2"/>
  <c r="U18" i="2"/>
  <c r="V18" i="2"/>
  <c r="Q17" i="3"/>
  <c r="AI17" i="2"/>
  <c r="AX16" i="2"/>
  <c r="AQ17" i="2"/>
  <c r="AP17" i="2"/>
  <c r="AW16" i="2"/>
  <c r="AJ17" i="2"/>
  <c r="P17" i="3"/>
  <c r="T18" i="3" l="1"/>
  <c r="E18" i="3" s="1"/>
  <c r="R17" i="3"/>
  <c r="F17" i="3" s="1"/>
  <c r="G17" i="3" s="1"/>
  <c r="H17" i="3" s="1"/>
  <c r="O18" i="3"/>
  <c r="BI17" i="2"/>
  <c r="I17" i="2"/>
  <c r="T19" i="2"/>
  <c r="AO18" i="2"/>
  <c r="AV17" i="2"/>
  <c r="AH18" i="2"/>
  <c r="AS17" i="2"/>
  <c r="AT17" i="2" s="1"/>
  <c r="AZ16" i="2"/>
  <c r="BA16" i="2" s="1"/>
  <c r="K16" i="2" s="1"/>
  <c r="L16" i="2" s="1"/>
  <c r="M16" i="2" s="1"/>
  <c r="BJ17" i="2"/>
  <c r="J17" i="2" s="1"/>
  <c r="AL17" i="2"/>
  <c r="AM17" i="2" s="1"/>
  <c r="X18" i="2"/>
  <c r="Y18" i="2" s="1"/>
  <c r="E17" i="2"/>
  <c r="AG17" i="2"/>
  <c r="AC17" i="2"/>
  <c r="AB17" i="2"/>
  <c r="BE17" i="2"/>
  <c r="BD17" i="2"/>
  <c r="BG17" i="2" l="1"/>
  <c r="BH17" i="2" s="1"/>
  <c r="BC18" i="2"/>
  <c r="S18" i="3"/>
  <c r="I18" i="3" s="1"/>
  <c r="J18" i="3" s="1"/>
  <c r="K18" i="3" s="1"/>
  <c r="D18" i="3"/>
  <c r="M18" i="3" s="1"/>
  <c r="AA18" i="2"/>
  <c r="AE17" i="2"/>
  <c r="AF17" i="2" s="1"/>
  <c r="F18" i="2"/>
  <c r="AN18" i="2"/>
  <c r="H17" i="2"/>
  <c r="R17" i="2" s="1"/>
  <c r="BB17" i="2"/>
  <c r="N17" i="2" s="1"/>
  <c r="O17" i="2" s="1"/>
  <c r="P17" i="2" s="1"/>
  <c r="G18" i="2"/>
  <c r="AU18" i="2"/>
  <c r="Z19" i="2"/>
  <c r="D19" i="2"/>
  <c r="AX17" i="2"/>
  <c r="P18" i="3"/>
  <c r="AW17" i="2"/>
  <c r="AI18" i="2"/>
  <c r="AQ18" i="2"/>
  <c r="V19" i="2"/>
  <c r="AP18" i="2"/>
  <c r="AJ18" i="2"/>
  <c r="Q18" i="3"/>
  <c r="U19" i="2"/>
  <c r="O19" i="3" l="1"/>
  <c r="T19" i="3"/>
  <c r="E19" i="3" s="1"/>
  <c r="R18" i="3"/>
  <c r="F18" i="3" s="1"/>
  <c r="G18" i="3" s="1"/>
  <c r="H18" i="3" s="1"/>
  <c r="BI18" i="2"/>
  <c r="I18" i="2"/>
  <c r="X19" i="2"/>
  <c r="Y19" i="2" s="1"/>
  <c r="AV18" i="2"/>
  <c r="AS18" i="2"/>
  <c r="AT18" i="2" s="1"/>
  <c r="AH19" i="2"/>
  <c r="AZ17" i="2"/>
  <c r="BA17" i="2" s="1"/>
  <c r="K17" i="2" s="1"/>
  <c r="L17" i="2" s="1"/>
  <c r="M17" i="2" s="1"/>
  <c r="BJ18" i="2"/>
  <c r="J18" i="2" s="1"/>
  <c r="T20" i="2"/>
  <c r="AL18" i="2"/>
  <c r="AM18" i="2" s="1"/>
  <c r="AO19" i="2"/>
  <c r="AG18" i="2"/>
  <c r="E18" i="2"/>
  <c r="AC18" i="2"/>
  <c r="AB18" i="2"/>
  <c r="BE18" i="2"/>
  <c r="BD18" i="2"/>
  <c r="BG18" i="2" l="1"/>
  <c r="BH18" i="2" s="1"/>
  <c r="BC19" i="2"/>
  <c r="D19" i="3"/>
  <c r="M19" i="3" s="1"/>
  <c r="S19" i="3"/>
  <c r="I19" i="3" s="1"/>
  <c r="J19" i="3" s="1"/>
  <c r="K19" i="3" s="1"/>
  <c r="AE18" i="2"/>
  <c r="AF18" i="2" s="1"/>
  <c r="AA19" i="2"/>
  <c r="AN19" i="2"/>
  <c r="F19" i="2"/>
  <c r="Z20" i="2"/>
  <c r="D20" i="2"/>
  <c r="H18" i="2"/>
  <c r="R18" i="2" s="1"/>
  <c r="BB18" i="2"/>
  <c r="N18" i="2" s="1"/>
  <c r="O18" i="2" s="1"/>
  <c r="P18" i="2" s="1"/>
  <c r="AU19" i="2"/>
  <c r="G19" i="2"/>
  <c r="AW18" i="2"/>
  <c r="AP19" i="2"/>
  <c r="P19" i="3"/>
  <c r="Q19" i="3"/>
  <c r="AQ19" i="2"/>
  <c r="AI19" i="2"/>
  <c r="V20" i="2"/>
  <c r="AJ19" i="2"/>
  <c r="AX18" i="2"/>
  <c r="U20" i="2"/>
  <c r="T20" i="3" l="1"/>
  <c r="E20" i="3" s="1"/>
  <c r="R19" i="3"/>
  <c r="F19" i="3" s="1"/>
  <c r="G19" i="3" s="1"/>
  <c r="H19" i="3" s="1"/>
  <c r="O20" i="3"/>
  <c r="BI19" i="2"/>
  <c r="I19" i="2"/>
  <c r="T21" i="2"/>
  <c r="AZ18" i="2"/>
  <c r="BA18" i="2" s="1"/>
  <c r="K18" i="2" s="1"/>
  <c r="L18" i="2" s="1"/>
  <c r="M18" i="2" s="1"/>
  <c r="BJ19" i="2"/>
  <c r="J19" i="2" s="1"/>
  <c r="AH20" i="2"/>
  <c r="AS19" i="2"/>
  <c r="AT19" i="2" s="1"/>
  <c r="AV19" i="2"/>
  <c r="AO20" i="2"/>
  <c r="X20" i="2"/>
  <c r="Y20" i="2" s="1"/>
  <c r="AL19" i="2"/>
  <c r="AM19" i="2" s="1"/>
  <c r="AG19" i="2"/>
  <c r="E19" i="2"/>
  <c r="AC19" i="2"/>
  <c r="BE19" i="2"/>
  <c r="BD19" i="2"/>
  <c r="AB19" i="2"/>
  <c r="BC20" i="2" l="1"/>
  <c r="BG19" i="2"/>
  <c r="BH19" i="2" s="1"/>
  <c r="S20" i="3"/>
  <c r="I20" i="3" s="1"/>
  <c r="J20" i="3" s="1"/>
  <c r="K20" i="3" s="1"/>
  <c r="D20" i="3"/>
  <c r="M20" i="3" s="1"/>
  <c r="AA20" i="2"/>
  <c r="AE19" i="2"/>
  <c r="AF19" i="2" s="1"/>
  <c r="BB19" i="2"/>
  <c r="N19" i="2" s="1"/>
  <c r="O19" i="2" s="1"/>
  <c r="P19" i="2" s="1"/>
  <c r="H19" i="2"/>
  <c r="R19" i="2" s="1"/>
  <c r="AU20" i="2"/>
  <c r="G20" i="2"/>
  <c r="F20" i="2"/>
  <c r="AN20" i="2"/>
  <c r="Z21" i="2"/>
  <c r="D21" i="2"/>
  <c r="AP20" i="2"/>
  <c r="U21" i="2"/>
  <c r="AX19" i="2"/>
  <c r="AI20" i="2"/>
  <c r="Q20" i="3"/>
  <c r="V21" i="2"/>
  <c r="AW19" i="2"/>
  <c r="AQ20" i="2"/>
  <c r="AJ20" i="2"/>
  <c r="P20" i="3"/>
  <c r="O21" i="3" l="1"/>
  <c r="R20" i="3"/>
  <c r="F20" i="3" s="1"/>
  <c r="G20" i="3" s="1"/>
  <c r="H20" i="3" s="1"/>
  <c r="T21" i="3"/>
  <c r="E21" i="3" s="1"/>
  <c r="BI20" i="2"/>
  <c r="I20" i="2"/>
  <c r="AS20" i="2"/>
  <c r="AT20" i="2" s="1"/>
  <c r="X21" i="2"/>
  <c r="Y21" i="2" s="1"/>
  <c r="AL20" i="2"/>
  <c r="AM20" i="2" s="1"/>
  <c r="AZ19" i="2"/>
  <c r="BA19" i="2" s="1"/>
  <c r="K19" i="2" s="1"/>
  <c r="L19" i="2" s="1"/>
  <c r="M19" i="2" s="1"/>
  <c r="BJ20" i="2"/>
  <c r="J20" i="2" s="1"/>
  <c r="AV20" i="2"/>
  <c r="AO21" i="2"/>
  <c r="T22" i="2"/>
  <c r="AH21" i="2"/>
  <c r="E20" i="2"/>
  <c r="AG20" i="2"/>
  <c r="BE20" i="2"/>
  <c r="AC20" i="2"/>
  <c r="AB20" i="2"/>
  <c r="BD20" i="2"/>
  <c r="BG20" i="2" l="1"/>
  <c r="BH20" i="2" s="1"/>
  <c r="BC21" i="2"/>
  <c r="D21" i="3"/>
  <c r="M21" i="3" s="1"/>
  <c r="S21" i="3"/>
  <c r="I21" i="3" s="1"/>
  <c r="J21" i="3" s="1"/>
  <c r="K21" i="3" s="1"/>
  <c r="AE20" i="2"/>
  <c r="AF20" i="2" s="1"/>
  <c r="AA21" i="2"/>
  <c r="H20" i="2"/>
  <c r="R20" i="2" s="1"/>
  <c r="BB20" i="2"/>
  <c r="N20" i="2" s="1"/>
  <c r="O20" i="2" s="1"/>
  <c r="P20" i="2" s="1"/>
  <c r="AU21" i="2"/>
  <c r="G21" i="2"/>
  <c r="AN21" i="2"/>
  <c r="F21" i="2"/>
  <c r="Z22" i="2"/>
  <c r="D22" i="2"/>
  <c r="Q21" i="3"/>
  <c r="AP21" i="2"/>
  <c r="U22" i="2"/>
  <c r="AI21" i="2"/>
  <c r="AX20" i="2"/>
  <c r="V22" i="2"/>
  <c r="AQ21" i="2"/>
  <c r="P21" i="3"/>
  <c r="AJ21" i="2"/>
  <c r="AW20" i="2"/>
  <c r="O22" i="3" l="1"/>
  <c r="R21" i="3"/>
  <c r="F21" i="3" s="1"/>
  <c r="G21" i="3" s="1"/>
  <c r="H21" i="3" s="1"/>
  <c r="T22" i="3"/>
  <c r="E22" i="3" s="1"/>
  <c r="BI21" i="2"/>
  <c r="I21" i="2"/>
  <c r="AO22" i="2"/>
  <c r="AS21" i="2"/>
  <c r="AT21" i="2" s="1"/>
  <c r="T23" i="2"/>
  <c r="AH22" i="2"/>
  <c r="AV21" i="2"/>
  <c r="AL21" i="2"/>
  <c r="AM21" i="2" s="1"/>
  <c r="X22" i="2"/>
  <c r="Y22" i="2" s="1"/>
  <c r="AZ20" i="2"/>
  <c r="BA20" i="2" s="1"/>
  <c r="K20" i="2" s="1"/>
  <c r="L20" i="2" s="1"/>
  <c r="M20" i="2" s="1"/>
  <c r="BJ21" i="2"/>
  <c r="J21" i="2" s="1"/>
  <c r="E21" i="2"/>
  <c r="AG21" i="2"/>
  <c r="AB21" i="2"/>
  <c r="AC21" i="2"/>
  <c r="BD21" i="2"/>
  <c r="BE21" i="2"/>
  <c r="BG21" i="2" l="1"/>
  <c r="BH21" i="2" s="1"/>
  <c r="BC22" i="2"/>
  <c r="D22" i="3"/>
  <c r="M22" i="3" s="1"/>
  <c r="S22" i="3"/>
  <c r="I22" i="3" s="1"/>
  <c r="J22" i="3" s="1"/>
  <c r="K22" i="3" s="1"/>
  <c r="AE21" i="2"/>
  <c r="AF21" i="2" s="1"/>
  <c r="AA22" i="2"/>
  <c r="BB21" i="2"/>
  <c r="N21" i="2" s="1"/>
  <c r="O21" i="2" s="1"/>
  <c r="P21" i="2" s="1"/>
  <c r="H21" i="2"/>
  <c r="R21" i="2" s="1"/>
  <c r="F22" i="2"/>
  <c r="AN22" i="2"/>
  <c r="Z23" i="2"/>
  <c r="D23" i="2"/>
  <c r="AU22" i="2"/>
  <c r="G22" i="2"/>
  <c r="AI22" i="2"/>
  <c r="P22" i="3"/>
  <c r="AW21" i="2"/>
  <c r="V23" i="2"/>
  <c r="AJ22" i="2"/>
  <c r="AX21" i="2"/>
  <c r="AP22" i="2"/>
  <c r="Q22" i="3"/>
  <c r="U23" i="2"/>
  <c r="AQ22" i="2"/>
  <c r="T23" i="3" l="1"/>
  <c r="E23" i="3" s="1"/>
  <c r="R22" i="3"/>
  <c r="F22" i="3" s="1"/>
  <c r="G22" i="3" s="1"/>
  <c r="H22" i="3" s="1"/>
  <c r="O23" i="3"/>
  <c r="BI22" i="2"/>
  <c r="I22" i="2"/>
  <c r="AS22" i="2"/>
  <c r="AT22" i="2" s="1"/>
  <c r="AH23" i="2"/>
  <c r="T24" i="2"/>
  <c r="AZ21" i="2"/>
  <c r="BA21" i="2" s="1"/>
  <c r="K21" i="2" s="1"/>
  <c r="L21" i="2" s="1"/>
  <c r="M21" i="2" s="1"/>
  <c r="BJ22" i="2"/>
  <c r="J22" i="2" s="1"/>
  <c r="AO23" i="2"/>
  <c r="AL22" i="2"/>
  <c r="AM22" i="2" s="1"/>
  <c r="AV22" i="2"/>
  <c r="X23" i="2"/>
  <c r="Y23" i="2" s="1"/>
  <c r="AG22" i="2"/>
  <c r="E22" i="2"/>
  <c r="AC22" i="2"/>
  <c r="AB22" i="2"/>
  <c r="BD22" i="2"/>
  <c r="BE22" i="2"/>
  <c r="BG22" i="2" l="1"/>
  <c r="BH22" i="2" s="1"/>
  <c r="BC23" i="2"/>
  <c r="S23" i="3"/>
  <c r="I23" i="3" s="1"/>
  <c r="J23" i="3" s="1"/>
  <c r="K23" i="3" s="1"/>
  <c r="D23" i="3"/>
  <c r="M23" i="3" s="1"/>
  <c r="AA23" i="2"/>
  <c r="AE22" i="2"/>
  <c r="AF22" i="2" s="1"/>
  <c r="G23" i="2"/>
  <c r="AU23" i="2"/>
  <c r="BB22" i="2"/>
  <c r="N22" i="2" s="1"/>
  <c r="O22" i="2" s="1"/>
  <c r="P22" i="2" s="1"/>
  <c r="H22" i="2"/>
  <c r="R22" i="2" s="1"/>
  <c r="Z24" i="2"/>
  <c r="D24" i="2"/>
  <c r="F23" i="2"/>
  <c r="AN23" i="2"/>
  <c r="U24" i="2"/>
  <c r="AI23" i="2"/>
  <c r="AJ23" i="2"/>
  <c r="AX22" i="2"/>
  <c r="AQ23" i="2"/>
  <c r="AW22" i="2"/>
  <c r="P23" i="3"/>
  <c r="V24" i="2"/>
  <c r="Q23" i="3"/>
  <c r="AP23" i="2"/>
  <c r="O24" i="3" l="1"/>
  <c r="T24" i="3"/>
  <c r="E24" i="3" s="1"/>
  <c r="R23" i="3"/>
  <c r="F23" i="3" s="1"/>
  <c r="G23" i="3" s="1"/>
  <c r="H23" i="3" s="1"/>
  <c r="BI23" i="2"/>
  <c r="I23" i="2"/>
  <c r="AL23" i="2"/>
  <c r="AM23" i="2" s="1"/>
  <c r="T25" i="2"/>
  <c r="AV23" i="2"/>
  <c r="AZ22" i="2"/>
  <c r="BA22" i="2" s="1"/>
  <c r="K22" i="2" s="1"/>
  <c r="L22" i="2" s="1"/>
  <c r="M22" i="2" s="1"/>
  <c r="BJ23" i="2"/>
  <c r="J23" i="2" s="1"/>
  <c r="X24" i="2"/>
  <c r="Y24" i="2" s="1"/>
  <c r="AO24" i="2"/>
  <c r="AS23" i="2"/>
  <c r="AT23" i="2" s="1"/>
  <c r="AH24" i="2"/>
  <c r="AG23" i="2"/>
  <c r="E23" i="2"/>
  <c r="BE23" i="2"/>
  <c r="AB23" i="2"/>
  <c r="AC23" i="2"/>
  <c r="BD23" i="2"/>
  <c r="BG23" i="2" l="1"/>
  <c r="BH23" i="2" s="1"/>
  <c r="BC24" i="2"/>
  <c r="S24" i="3"/>
  <c r="I24" i="3" s="1"/>
  <c r="J24" i="3" s="1"/>
  <c r="K24" i="3" s="1"/>
  <c r="D24" i="3"/>
  <c r="M24" i="3" s="1"/>
  <c r="AA24" i="2"/>
  <c r="AE23" i="2"/>
  <c r="AF23" i="2" s="1"/>
  <c r="AU24" i="2"/>
  <c r="G24" i="2"/>
  <c r="H23" i="2"/>
  <c r="R23" i="2" s="1"/>
  <c r="BB23" i="2"/>
  <c r="N23" i="2" s="1"/>
  <c r="O23" i="2" s="1"/>
  <c r="P23" i="2" s="1"/>
  <c r="AN24" i="2"/>
  <c r="F24" i="2"/>
  <c r="Z25" i="2"/>
  <c r="D25" i="2"/>
  <c r="Q24" i="3"/>
  <c r="AI24" i="2"/>
  <c r="V25" i="2"/>
  <c r="AP24" i="2"/>
  <c r="AQ24" i="2"/>
  <c r="AW23" i="2"/>
  <c r="P24" i="3"/>
  <c r="AJ24" i="2"/>
  <c r="AX23" i="2"/>
  <c r="U25" i="2"/>
  <c r="O25" i="3" l="1"/>
  <c r="R24" i="3"/>
  <c r="F24" i="3" s="1"/>
  <c r="G24" i="3" s="1"/>
  <c r="H24" i="3" s="1"/>
  <c r="T25" i="3"/>
  <c r="E25" i="3" s="1"/>
  <c r="BI24" i="2"/>
  <c r="I24" i="2"/>
  <c r="T26" i="2"/>
  <c r="AV24" i="2"/>
  <c r="AZ23" i="2"/>
  <c r="BA23" i="2" s="1"/>
  <c r="K23" i="2" s="1"/>
  <c r="L23" i="2" s="1"/>
  <c r="M23" i="2" s="1"/>
  <c r="BJ24" i="2"/>
  <c r="J24" i="2" s="1"/>
  <c r="AL24" i="2"/>
  <c r="AM24" i="2" s="1"/>
  <c r="AH25" i="2"/>
  <c r="AO25" i="2"/>
  <c r="X25" i="2"/>
  <c r="Y25" i="2" s="1"/>
  <c r="AS24" i="2"/>
  <c r="AT24" i="2" s="1"/>
  <c r="AG24" i="2"/>
  <c r="E24" i="2"/>
  <c r="AC24" i="2"/>
  <c r="BD24" i="2"/>
  <c r="AB24" i="2"/>
  <c r="BE24" i="2"/>
  <c r="BC25" i="2" l="1"/>
  <c r="BG24" i="2"/>
  <c r="BH24" i="2" s="1"/>
  <c r="S25" i="3"/>
  <c r="I25" i="3" s="1"/>
  <c r="J25" i="3" s="1"/>
  <c r="K25" i="3" s="1"/>
  <c r="D25" i="3"/>
  <c r="M25" i="3" s="1"/>
  <c r="AE24" i="2"/>
  <c r="AF24" i="2" s="1"/>
  <c r="AA25" i="2"/>
  <c r="G25" i="2"/>
  <c r="AU25" i="2"/>
  <c r="F25" i="2"/>
  <c r="AN25" i="2"/>
  <c r="H24" i="2"/>
  <c r="R24" i="2" s="1"/>
  <c r="BB24" i="2"/>
  <c r="N24" i="2" s="1"/>
  <c r="O24" i="2" s="1"/>
  <c r="P24" i="2" s="1"/>
  <c r="D26" i="2"/>
  <c r="Z26" i="2"/>
  <c r="AX24" i="2"/>
  <c r="AQ25" i="2"/>
  <c r="AP25" i="2"/>
  <c r="AJ25" i="2"/>
  <c r="U26" i="2"/>
  <c r="V26" i="2"/>
  <c r="Q25" i="3"/>
  <c r="P25" i="3"/>
  <c r="AI25" i="2"/>
  <c r="AW24" i="2"/>
  <c r="R25" i="3" l="1"/>
  <c r="F25" i="3" s="1"/>
  <c r="G25" i="3" s="1"/>
  <c r="H25" i="3" s="1"/>
  <c r="T26" i="3"/>
  <c r="E26" i="3" s="1"/>
  <c r="O26" i="3"/>
  <c r="BI25" i="2"/>
  <c r="I25" i="2"/>
  <c r="AL25" i="2"/>
  <c r="AM25" i="2" s="1"/>
  <c r="AH26" i="2"/>
  <c r="AZ24" i="2"/>
  <c r="BA24" i="2" s="1"/>
  <c r="K24" i="2" s="1"/>
  <c r="L24" i="2" s="1"/>
  <c r="M24" i="2" s="1"/>
  <c r="BJ25" i="2"/>
  <c r="J25" i="2" s="1"/>
  <c r="AS25" i="2"/>
  <c r="AT25" i="2" s="1"/>
  <c r="T27" i="2"/>
  <c r="AV25" i="2"/>
  <c r="X26" i="2"/>
  <c r="Y26" i="2" s="1"/>
  <c r="AO26" i="2"/>
  <c r="AG25" i="2"/>
  <c r="E25" i="2"/>
  <c r="AB25" i="2"/>
  <c r="BE25" i="2"/>
  <c r="BD25" i="2"/>
  <c r="AC25" i="2"/>
  <c r="BC26" i="2" l="1"/>
  <c r="BG25" i="2"/>
  <c r="BH25" i="2" s="1"/>
  <c r="S26" i="3"/>
  <c r="I26" i="3" s="1"/>
  <c r="J26" i="3" s="1"/>
  <c r="K26" i="3" s="1"/>
  <c r="D26" i="3"/>
  <c r="M26" i="3" s="1"/>
  <c r="AA26" i="2"/>
  <c r="AE25" i="2"/>
  <c r="AF25" i="2" s="1"/>
  <c r="BB25" i="2"/>
  <c r="N25" i="2" s="1"/>
  <c r="O25" i="2" s="1"/>
  <c r="P25" i="2" s="1"/>
  <c r="H25" i="2"/>
  <c r="R25" i="2" s="1"/>
  <c r="Z27" i="2"/>
  <c r="D27" i="2"/>
  <c r="G26" i="2"/>
  <c r="AU26" i="2"/>
  <c r="AN26" i="2"/>
  <c r="F26" i="2"/>
  <c r="AJ26" i="2"/>
  <c r="AI26" i="2"/>
  <c r="AX25" i="2"/>
  <c r="AP26" i="2"/>
  <c r="Q26" i="3"/>
  <c r="P26" i="3"/>
  <c r="V27" i="2"/>
  <c r="U27" i="2"/>
  <c r="AQ26" i="2"/>
  <c r="AW25" i="2"/>
  <c r="O27" i="3" l="1"/>
  <c r="T27" i="3"/>
  <c r="E27" i="3" s="1"/>
  <c r="R26" i="3"/>
  <c r="F26" i="3" s="1"/>
  <c r="G26" i="3" s="1"/>
  <c r="H26" i="3" s="1"/>
  <c r="BI26" i="2"/>
  <c r="I26" i="2"/>
  <c r="AH27" i="2"/>
  <c r="T28" i="2"/>
  <c r="AO27" i="2"/>
  <c r="AL26" i="2"/>
  <c r="AM26" i="2" s="1"/>
  <c r="AV26" i="2"/>
  <c r="AS26" i="2"/>
  <c r="AT26" i="2" s="1"/>
  <c r="X27" i="2"/>
  <c r="Y27" i="2" s="1"/>
  <c r="AZ25" i="2"/>
  <c r="BA25" i="2" s="1"/>
  <c r="K25" i="2" s="1"/>
  <c r="L25" i="2" s="1"/>
  <c r="M25" i="2" s="1"/>
  <c r="BJ26" i="2"/>
  <c r="J26" i="2" s="1"/>
  <c r="E26" i="2"/>
  <c r="AG26" i="2"/>
  <c r="AC26" i="2"/>
  <c r="BD26" i="2"/>
  <c r="BE26" i="2"/>
  <c r="AB26" i="2"/>
  <c r="BC27" i="2" l="1"/>
  <c r="BG26" i="2"/>
  <c r="BH26" i="2" s="1"/>
  <c r="S27" i="3"/>
  <c r="I27" i="3" s="1"/>
  <c r="J27" i="3" s="1"/>
  <c r="K27" i="3" s="1"/>
  <c r="D27" i="3"/>
  <c r="M27" i="3" s="1"/>
  <c r="AA27" i="2"/>
  <c r="AE26" i="2"/>
  <c r="AF26" i="2" s="1"/>
  <c r="H26" i="2"/>
  <c r="R26" i="2" s="1"/>
  <c r="BB26" i="2"/>
  <c r="N26" i="2" s="1"/>
  <c r="O26" i="2" s="1"/>
  <c r="P26" i="2" s="1"/>
  <c r="G27" i="2"/>
  <c r="AU27" i="2"/>
  <c r="D28" i="2"/>
  <c r="Z28" i="2"/>
  <c r="F27" i="2"/>
  <c r="AN27" i="2"/>
  <c r="Q27" i="3"/>
  <c r="AP27" i="2"/>
  <c r="U28" i="2"/>
  <c r="AW26" i="2"/>
  <c r="AI27" i="2"/>
  <c r="P27" i="3"/>
  <c r="AJ27" i="2"/>
  <c r="V28" i="2"/>
  <c r="AX26" i="2"/>
  <c r="AQ27" i="2"/>
  <c r="T28" i="3" l="1"/>
  <c r="E28" i="3" s="1"/>
  <c r="R27" i="3"/>
  <c r="F27" i="3" s="1"/>
  <c r="G27" i="3" s="1"/>
  <c r="H27" i="3" s="1"/>
  <c r="O28" i="3"/>
  <c r="I27" i="2"/>
  <c r="BI27" i="2"/>
  <c r="AO28" i="2"/>
  <c r="T29" i="2"/>
  <c r="AZ26" i="2"/>
  <c r="BA26" i="2" s="1"/>
  <c r="K26" i="2" s="1"/>
  <c r="L26" i="2" s="1"/>
  <c r="M26" i="2" s="1"/>
  <c r="BJ27" i="2"/>
  <c r="J27" i="2" s="1"/>
  <c r="AV27" i="2"/>
  <c r="AL27" i="2"/>
  <c r="AM27" i="2" s="1"/>
  <c r="X28" i="2"/>
  <c r="Y28" i="2" s="1"/>
  <c r="AH28" i="2"/>
  <c r="AS27" i="2"/>
  <c r="AT27" i="2" s="1"/>
  <c r="AG27" i="2"/>
  <c r="E27" i="2"/>
  <c r="AC27" i="2"/>
  <c r="BD27" i="2"/>
  <c r="AB27" i="2"/>
  <c r="BE27" i="2"/>
  <c r="BG27" i="2" l="1"/>
  <c r="BH27" i="2" s="1"/>
  <c r="BC28" i="2"/>
  <c r="D28" i="3"/>
  <c r="M28" i="3" s="1"/>
  <c r="S28" i="3"/>
  <c r="I28" i="3" s="1"/>
  <c r="J28" i="3" s="1"/>
  <c r="K28" i="3" s="1"/>
  <c r="AA28" i="2"/>
  <c r="AE27" i="2"/>
  <c r="AF27" i="2" s="1"/>
  <c r="H27" i="2"/>
  <c r="R27" i="2" s="1"/>
  <c r="BB27" i="2"/>
  <c r="N27" i="2" s="1"/>
  <c r="O27" i="2" s="1"/>
  <c r="P27" i="2" s="1"/>
  <c r="D29" i="2"/>
  <c r="Z29" i="2"/>
  <c r="F28" i="2"/>
  <c r="AN28" i="2"/>
  <c r="AU28" i="2"/>
  <c r="G28" i="2"/>
  <c r="AI28" i="2"/>
  <c r="AJ28" i="2"/>
  <c r="V29" i="2"/>
  <c r="Q28" i="3"/>
  <c r="AQ28" i="2"/>
  <c r="P28" i="3"/>
  <c r="AP28" i="2"/>
  <c r="AX27" i="2"/>
  <c r="U29" i="2"/>
  <c r="AW27" i="2"/>
  <c r="R28" i="3" l="1"/>
  <c r="F28" i="3" s="1"/>
  <c r="G28" i="3" s="1"/>
  <c r="H28" i="3" s="1"/>
  <c r="T29" i="3"/>
  <c r="E29" i="3" s="1"/>
  <c r="O29" i="3"/>
  <c r="BI28" i="2"/>
  <c r="I28" i="2"/>
  <c r="AO29" i="2"/>
  <c r="X29" i="2"/>
  <c r="Y29" i="2" s="1"/>
  <c r="AZ27" i="2"/>
  <c r="BA27" i="2" s="1"/>
  <c r="K27" i="2" s="1"/>
  <c r="L27" i="2" s="1"/>
  <c r="M27" i="2" s="1"/>
  <c r="BJ28" i="2"/>
  <c r="J28" i="2" s="1"/>
  <c r="AV28" i="2"/>
  <c r="AL28" i="2"/>
  <c r="AM28" i="2" s="1"/>
  <c r="T30" i="2"/>
  <c r="AS28" i="2"/>
  <c r="AT28" i="2" s="1"/>
  <c r="AH29" i="2"/>
  <c r="AG28" i="2"/>
  <c r="E28" i="2"/>
  <c r="AB28" i="2"/>
  <c r="AC28" i="2"/>
  <c r="BE28" i="2"/>
  <c r="BD28" i="2"/>
  <c r="BC29" i="2" l="1"/>
  <c r="BG28" i="2"/>
  <c r="BH28" i="2" s="1"/>
  <c r="D29" i="3"/>
  <c r="M29" i="3" s="1"/>
  <c r="S29" i="3"/>
  <c r="I29" i="3" s="1"/>
  <c r="J29" i="3" s="1"/>
  <c r="K29" i="3" s="1"/>
  <c r="AE28" i="2"/>
  <c r="AF28" i="2" s="1"/>
  <c r="AA29" i="2"/>
  <c r="H28" i="2"/>
  <c r="R28" i="2" s="1"/>
  <c r="BB28" i="2"/>
  <c r="N28" i="2" s="1"/>
  <c r="O28" i="2" s="1"/>
  <c r="P28" i="2" s="1"/>
  <c r="Z30" i="2"/>
  <c r="D30" i="2"/>
  <c r="AN29" i="2"/>
  <c r="F29" i="2"/>
  <c r="AU29" i="2"/>
  <c r="G29" i="2"/>
  <c r="AP29" i="2"/>
  <c r="AW28" i="2"/>
  <c r="V30" i="2"/>
  <c r="AX28" i="2"/>
  <c r="AQ29" i="2"/>
  <c r="AJ29" i="2"/>
  <c r="U30" i="2"/>
  <c r="P29" i="3"/>
  <c r="Q29" i="3"/>
  <c r="AI29" i="2"/>
  <c r="O30" i="3" l="1"/>
  <c r="T30" i="3"/>
  <c r="E30" i="3" s="1"/>
  <c r="R29" i="3"/>
  <c r="F29" i="3" s="1"/>
  <c r="G29" i="3" s="1"/>
  <c r="H29" i="3" s="1"/>
  <c r="I29" i="2"/>
  <c r="BI29" i="2"/>
  <c r="T31" i="2"/>
  <c r="AH30" i="2"/>
  <c r="AL29" i="2"/>
  <c r="AM29" i="2" s="1"/>
  <c r="AO30" i="2"/>
  <c r="AV29" i="2"/>
  <c r="X30" i="2"/>
  <c r="Y30" i="2" s="1"/>
  <c r="AS29" i="2"/>
  <c r="AT29" i="2" s="1"/>
  <c r="AZ28" i="2"/>
  <c r="BA28" i="2" s="1"/>
  <c r="K28" i="2" s="1"/>
  <c r="L28" i="2" s="1"/>
  <c r="M28" i="2" s="1"/>
  <c r="BJ29" i="2"/>
  <c r="J29" i="2" s="1"/>
  <c r="AG29" i="2"/>
  <c r="E29" i="2"/>
  <c r="AB29" i="2"/>
  <c r="BD29" i="2"/>
  <c r="AC29" i="2"/>
  <c r="BE29" i="2"/>
  <c r="BG29" i="2" l="1"/>
  <c r="BH29" i="2" s="1"/>
  <c r="BC30" i="2"/>
  <c r="D30" i="3"/>
  <c r="M30" i="3" s="1"/>
  <c r="S30" i="3"/>
  <c r="I30" i="3" s="1"/>
  <c r="J30" i="3" s="1"/>
  <c r="K30" i="3" s="1"/>
  <c r="AE29" i="2"/>
  <c r="AF29" i="2" s="1"/>
  <c r="AA30" i="2"/>
  <c r="BB29" i="2"/>
  <c r="N29" i="2" s="1"/>
  <c r="O29" i="2" s="1"/>
  <c r="P29" i="2" s="1"/>
  <c r="H29" i="2"/>
  <c r="R29" i="2" s="1"/>
  <c r="AU30" i="2"/>
  <c r="G30" i="2"/>
  <c r="F30" i="2"/>
  <c r="AN30" i="2"/>
  <c r="Z31" i="2"/>
  <c r="D31" i="2"/>
  <c r="Q30" i="3"/>
  <c r="AQ30" i="2"/>
  <c r="AX29" i="2"/>
  <c r="V31" i="2"/>
  <c r="AP30" i="2"/>
  <c r="P30" i="3"/>
  <c r="AI30" i="2"/>
  <c r="U31" i="2"/>
  <c r="AJ30" i="2"/>
  <c r="AW29" i="2"/>
  <c r="R30" i="3" l="1"/>
  <c r="F30" i="3" s="1"/>
  <c r="G30" i="3" s="1"/>
  <c r="H30" i="3" s="1"/>
  <c r="T31" i="3"/>
  <c r="E31" i="3" s="1"/>
  <c r="O31" i="3"/>
  <c r="I30" i="2"/>
  <c r="BI30" i="2"/>
  <c r="AZ29" i="2"/>
  <c r="BA29" i="2" s="1"/>
  <c r="K29" i="2" s="1"/>
  <c r="L29" i="2" s="1"/>
  <c r="M29" i="2" s="1"/>
  <c r="BJ30" i="2"/>
  <c r="J30" i="2" s="1"/>
  <c r="X31" i="2"/>
  <c r="Y31" i="2" s="1"/>
  <c r="AH31" i="2"/>
  <c r="AL30" i="2"/>
  <c r="AM30" i="2" s="1"/>
  <c r="AV30" i="2"/>
  <c r="AO31" i="2"/>
  <c r="AS30" i="2"/>
  <c r="AT30" i="2" s="1"/>
  <c r="T32" i="2"/>
  <c r="E30" i="2"/>
  <c r="AG30" i="2"/>
  <c r="AB30" i="2"/>
  <c r="BE30" i="2"/>
  <c r="AC30" i="2"/>
  <c r="BD30" i="2"/>
  <c r="BC31" i="2" l="1"/>
  <c r="BG30" i="2"/>
  <c r="BH30" i="2" s="1"/>
  <c r="D31" i="3"/>
  <c r="M31" i="3" s="1"/>
  <c r="S31" i="3"/>
  <c r="I31" i="3" s="1"/>
  <c r="J31" i="3" s="1"/>
  <c r="K31" i="3" s="1"/>
  <c r="AE30" i="2"/>
  <c r="AF30" i="2" s="1"/>
  <c r="AA31" i="2"/>
  <c r="BB30" i="2"/>
  <c r="N30" i="2" s="1"/>
  <c r="O30" i="2" s="1"/>
  <c r="P30" i="2" s="1"/>
  <c r="H30" i="2"/>
  <c r="R30" i="2" s="1"/>
  <c r="F31" i="2"/>
  <c r="AN31" i="2"/>
  <c r="G31" i="2"/>
  <c r="AU31" i="2"/>
  <c r="D32" i="2"/>
  <c r="Z32" i="2"/>
  <c r="AP31" i="2"/>
  <c r="AX30" i="2"/>
  <c r="V32" i="2"/>
  <c r="Q31" i="3"/>
  <c r="AQ31" i="2"/>
  <c r="U32" i="2"/>
  <c r="AW30" i="2"/>
  <c r="P31" i="3"/>
  <c r="AI31" i="2"/>
  <c r="AJ31" i="2"/>
  <c r="O32" i="3" l="1"/>
  <c r="T32" i="3"/>
  <c r="E32" i="3" s="1"/>
  <c r="R31" i="3"/>
  <c r="F31" i="3" s="1"/>
  <c r="G31" i="3" s="1"/>
  <c r="H31" i="3" s="1"/>
  <c r="I31" i="2"/>
  <c r="BI31" i="2"/>
  <c r="AH32" i="2"/>
  <c r="AL31" i="2"/>
  <c r="AM31" i="2" s="1"/>
  <c r="X32" i="2"/>
  <c r="Y32" i="2" s="1"/>
  <c r="AO32" i="2"/>
  <c r="AZ30" i="2"/>
  <c r="BA30" i="2" s="1"/>
  <c r="K30" i="2" s="1"/>
  <c r="L30" i="2" s="1"/>
  <c r="M30" i="2" s="1"/>
  <c r="BJ31" i="2"/>
  <c r="J31" i="2" s="1"/>
  <c r="T33" i="2"/>
  <c r="AS31" i="2"/>
  <c r="AT31" i="2" s="1"/>
  <c r="AV31" i="2"/>
  <c r="AG31" i="2"/>
  <c r="E31" i="2"/>
  <c r="AB31" i="2"/>
  <c r="AC31" i="2"/>
  <c r="BE31" i="2"/>
  <c r="BD31" i="2"/>
  <c r="BG31" i="2" l="1"/>
  <c r="BH31" i="2" s="1"/>
  <c r="BC32" i="2"/>
  <c r="S32" i="3"/>
  <c r="I32" i="3" s="1"/>
  <c r="J32" i="3" s="1"/>
  <c r="K32" i="3" s="1"/>
  <c r="D32" i="3"/>
  <c r="M32" i="3" s="1"/>
  <c r="AE31" i="2"/>
  <c r="AF31" i="2" s="1"/>
  <c r="AA32" i="2"/>
  <c r="Z33" i="2"/>
  <c r="D33" i="2"/>
  <c r="G32" i="2"/>
  <c r="AU32" i="2"/>
  <c r="H31" i="2"/>
  <c r="R31" i="2" s="1"/>
  <c r="BB31" i="2"/>
  <c r="N31" i="2" s="1"/>
  <c r="O31" i="2" s="1"/>
  <c r="P31" i="2" s="1"/>
  <c r="AN32" i="2"/>
  <c r="F32" i="2"/>
  <c r="Q32" i="3"/>
  <c r="P32" i="3"/>
  <c r="AQ32" i="2"/>
  <c r="AP32" i="2"/>
  <c r="AI32" i="2"/>
  <c r="AW31" i="2"/>
  <c r="U33" i="2"/>
  <c r="AX31" i="2"/>
  <c r="V33" i="2"/>
  <c r="AJ32" i="2"/>
  <c r="O33" i="3" l="1"/>
  <c r="T33" i="3"/>
  <c r="E33" i="3" s="1"/>
  <c r="R32" i="3"/>
  <c r="F32" i="3" s="1"/>
  <c r="G32" i="3" s="1"/>
  <c r="H32" i="3" s="1"/>
  <c r="BI32" i="2"/>
  <c r="I32" i="2"/>
  <c r="AS32" i="2"/>
  <c r="AT32" i="2" s="1"/>
  <c r="AV32" i="2"/>
  <c r="AZ31" i="2"/>
  <c r="BA31" i="2" s="1"/>
  <c r="K31" i="2" s="1"/>
  <c r="L31" i="2" s="1"/>
  <c r="M31" i="2" s="1"/>
  <c r="BJ32" i="2"/>
  <c r="J32" i="2" s="1"/>
  <c r="AH33" i="2"/>
  <c r="X33" i="2"/>
  <c r="Y33" i="2" s="1"/>
  <c r="T34" i="2"/>
  <c r="AL32" i="2"/>
  <c r="AM32" i="2" s="1"/>
  <c r="AO33" i="2"/>
  <c r="AG32" i="2"/>
  <c r="E32" i="2"/>
  <c r="AC32" i="2"/>
  <c r="BD32" i="2"/>
  <c r="BE32" i="2"/>
  <c r="AB32" i="2"/>
  <c r="BC33" i="2" l="1"/>
  <c r="BG32" i="2"/>
  <c r="BH32" i="2" s="1"/>
  <c r="D33" i="3"/>
  <c r="M33" i="3" s="1"/>
  <c r="S33" i="3"/>
  <c r="I33" i="3" s="1"/>
  <c r="J33" i="3" s="1"/>
  <c r="K33" i="3" s="1"/>
  <c r="AA33" i="2"/>
  <c r="AE32" i="2"/>
  <c r="AF32" i="2" s="1"/>
  <c r="Z34" i="2"/>
  <c r="D34" i="2"/>
  <c r="F33" i="2"/>
  <c r="AN33" i="2"/>
  <c r="AU33" i="2"/>
  <c r="G33" i="2"/>
  <c r="H32" i="2"/>
  <c r="R32" i="2" s="1"/>
  <c r="BB32" i="2"/>
  <c r="N32" i="2" s="1"/>
  <c r="O32" i="2" s="1"/>
  <c r="P32" i="2" s="1"/>
  <c r="V34" i="2"/>
  <c r="AP33" i="2"/>
  <c r="AW32" i="2"/>
  <c r="AQ33" i="2"/>
  <c r="Q33" i="3"/>
  <c r="AI33" i="2"/>
  <c r="AJ33" i="2"/>
  <c r="U34" i="2"/>
  <c r="P33" i="3"/>
  <c r="AX32" i="2"/>
  <c r="T34" i="3" l="1"/>
  <c r="E34" i="3" s="1"/>
  <c r="R33" i="3"/>
  <c r="F33" i="3" s="1"/>
  <c r="G33" i="3" s="1"/>
  <c r="H33" i="3" s="1"/>
  <c r="O34" i="3"/>
  <c r="BI33" i="2"/>
  <c r="I33" i="2"/>
  <c r="AO34" i="2"/>
  <c r="AL33" i="2"/>
  <c r="AM33" i="2" s="1"/>
  <c r="AZ32" i="2"/>
  <c r="BA32" i="2" s="1"/>
  <c r="K32" i="2" s="1"/>
  <c r="L32" i="2" s="1"/>
  <c r="M32" i="2" s="1"/>
  <c r="BJ33" i="2"/>
  <c r="J33" i="2" s="1"/>
  <c r="AS33" i="2"/>
  <c r="AT33" i="2" s="1"/>
  <c r="AV33" i="2"/>
  <c r="X34" i="2"/>
  <c r="Y34" i="2" s="1"/>
  <c r="AH34" i="2"/>
  <c r="T35" i="2"/>
  <c r="E33" i="2"/>
  <c r="AG33" i="2"/>
  <c r="AB33" i="2"/>
  <c r="BD33" i="2"/>
  <c r="BE33" i="2"/>
  <c r="AC33" i="2"/>
  <c r="BG33" i="2" l="1"/>
  <c r="BH33" i="2" s="1"/>
  <c r="BC34" i="2"/>
  <c r="D34" i="3"/>
  <c r="M34" i="3" s="1"/>
  <c r="S34" i="3"/>
  <c r="I34" i="3" s="1"/>
  <c r="J34" i="3" s="1"/>
  <c r="K34" i="3" s="1"/>
  <c r="AE33" i="2"/>
  <c r="AF33" i="2" s="1"/>
  <c r="AA34" i="2"/>
  <c r="H33" i="2"/>
  <c r="R33" i="2" s="1"/>
  <c r="BB33" i="2"/>
  <c r="N33" i="2" s="1"/>
  <c r="O33" i="2" s="1"/>
  <c r="P33" i="2" s="1"/>
  <c r="D35" i="2"/>
  <c r="Z35" i="2"/>
  <c r="AN34" i="2"/>
  <c r="F34" i="2"/>
  <c r="AU34" i="2"/>
  <c r="G34" i="2"/>
  <c r="AI34" i="2"/>
  <c r="AX33" i="2"/>
  <c r="V35" i="2"/>
  <c r="Q34" i="3"/>
  <c r="U35" i="2"/>
  <c r="AP34" i="2"/>
  <c r="P34" i="3"/>
  <c r="AQ34" i="2"/>
  <c r="AJ34" i="2"/>
  <c r="AW33" i="2"/>
  <c r="T35" i="3" l="1"/>
  <c r="E35" i="3" s="1"/>
  <c r="R34" i="3"/>
  <c r="F34" i="3" s="1"/>
  <c r="G34" i="3" s="1"/>
  <c r="H34" i="3" s="1"/>
  <c r="O35" i="3"/>
  <c r="BI34" i="2"/>
  <c r="I34" i="2"/>
  <c r="AH35" i="2"/>
  <c r="AS34" i="2"/>
  <c r="AT34" i="2" s="1"/>
  <c r="AZ33" i="2"/>
  <c r="BA33" i="2" s="1"/>
  <c r="K33" i="2" s="1"/>
  <c r="L33" i="2" s="1"/>
  <c r="M33" i="2" s="1"/>
  <c r="BJ34" i="2"/>
  <c r="J34" i="2" s="1"/>
  <c r="AL34" i="2"/>
  <c r="AM34" i="2" s="1"/>
  <c r="AO35" i="2"/>
  <c r="X35" i="2"/>
  <c r="Y35" i="2" s="1"/>
  <c r="AV34" i="2"/>
  <c r="T36" i="2"/>
  <c r="E34" i="2"/>
  <c r="AG34" i="2"/>
  <c r="AB34" i="2"/>
  <c r="AC34" i="2"/>
  <c r="BE34" i="2"/>
  <c r="BD34" i="2"/>
  <c r="BC35" i="2" l="1"/>
  <c r="BG34" i="2"/>
  <c r="BH34" i="2" s="1"/>
  <c r="S35" i="3"/>
  <c r="I35" i="3" s="1"/>
  <c r="J35" i="3" s="1"/>
  <c r="K35" i="3" s="1"/>
  <c r="D35" i="3"/>
  <c r="M35" i="3" s="1"/>
  <c r="AA35" i="2"/>
  <c r="AE34" i="2"/>
  <c r="AF34" i="2" s="1"/>
  <c r="G35" i="2"/>
  <c r="AU35" i="2"/>
  <c r="Z36" i="2"/>
  <c r="D36" i="2"/>
  <c r="BB34" i="2"/>
  <c r="N34" i="2" s="1"/>
  <c r="O34" i="2" s="1"/>
  <c r="P34" i="2" s="1"/>
  <c r="H34" i="2"/>
  <c r="R34" i="2" s="1"/>
  <c r="F35" i="2"/>
  <c r="AN35" i="2"/>
  <c r="V36" i="2"/>
  <c r="P35" i="3"/>
  <c r="AX34" i="2"/>
  <c r="U36" i="2"/>
  <c r="AI35" i="2"/>
  <c r="AJ35" i="2"/>
  <c r="AP35" i="2"/>
  <c r="Q35" i="3"/>
  <c r="AW34" i="2"/>
  <c r="AQ35" i="2"/>
  <c r="O36" i="3" l="1"/>
  <c r="T36" i="3"/>
  <c r="E36" i="3" s="1"/>
  <c r="R35" i="3"/>
  <c r="F35" i="3" s="1"/>
  <c r="G35" i="3" s="1"/>
  <c r="H35" i="3" s="1"/>
  <c r="BI35" i="2"/>
  <c r="I35" i="2"/>
  <c r="AZ34" i="2"/>
  <c r="BA34" i="2" s="1"/>
  <c r="K34" i="2" s="1"/>
  <c r="L34" i="2" s="1"/>
  <c r="M34" i="2" s="1"/>
  <c r="BJ35" i="2"/>
  <c r="J35" i="2" s="1"/>
  <c r="AH36" i="2"/>
  <c r="AL35" i="2"/>
  <c r="AM35" i="2" s="1"/>
  <c r="AS35" i="2"/>
  <c r="AT35" i="2" s="1"/>
  <c r="X36" i="2"/>
  <c r="Y36" i="2" s="1"/>
  <c r="AO36" i="2"/>
  <c r="AV35" i="2"/>
  <c r="T37" i="2"/>
  <c r="AG35" i="2"/>
  <c r="E35" i="2"/>
  <c r="AB35" i="2"/>
  <c r="AC35" i="2"/>
  <c r="BD35" i="2"/>
  <c r="BE35" i="2"/>
  <c r="BG35" i="2" l="1"/>
  <c r="BH35" i="2" s="1"/>
  <c r="BC36" i="2"/>
  <c r="D36" i="3"/>
  <c r="M36" i="3" s="1"/>
  <c r="S36" i="3"/>
  <c r="I36" i="3" s="1"/>
  <c r="J36" i="3" s="1"/>
  <c r="K36" i="3" s="1"/>
  <c r="AE35" i="2"/>
  <c r="AF35" i="2" s="1"/>
  <c r="AA36" i="2"/>
  <c r="AU36" i="2"/>
  <c r="G36" i="2"/>
  <c r="F36" i="2"/>
  <c r="AN36" i="2"/>
  <c r="Z37" i="2"/>
  <c r="D37" i="2"/>
  <c r="H35" i="2"/>
  <c r="R35" i="2" s="1"/>
  <c r="BB35" i="2"/>
  <c r="N35" i="2" s="1"/>
  <c r="O35" i="2" s="1"/>
  <c r="P35" i="2" s="1"/>
  <c r="AI36" i="2"/>
  <c r="AX35" i="2"/>
  <c r="U37" i="2"/>
  <c r="AW35" i="2"/>
  <c r="P36" i="3"/>
  <c r="AP36" i="2"/>
  <c r="Q36" i="3"/>
  <c r="V37" i="2"/>
  <c r="AQ36" i="2"/>
  <c r="AJ36" i="2"/>
  <c r="T37" i="3" l="1"/>
  <c r="E37" i="3" s="1"/>
  <c r="R36" i="3"/>
  <c r="F36" i="3" s="1"/>
  <c r="G36" i="3" s="1"/>
  <c r="H36" i="3" s="1"/>
  <c r="O37" i="3"/>
  <c r="BI36" i="2"/>
  <c r="I36" i="2"/>
  <c r="X37" i="2"/>
  <c r="Y37" i="2" s="1"/>
  <c r="AO37" i="2"/>
  <c r="T38" i="2"/>
  <c r="AL36" i="2"/>
  <c r="AM36" i="2" s="1"/>
  <c r="AS36" i="2"/>
  <c r="AT36" i="2" s="1"/>
  <c r="AZ35" i="2"/>
  <c r="BA35" i="2" s="1"/>
  <c r="K35" i="2" s="1"/>
  <c r="L35" i="2" s="1"/>
  <c r="M35" i="2" s="1"/>
  <c r="BJ36" i="2"/>
  <c r="J36" i="2" s="1"/>
  <c r="AV36" i="2"/>
  <c r="AH37" i="2"/>
  <c r="AG36" i="2"/>
  <c r="E36" i="2"/>
  <c r="AC36" i="2"/>
  <c r="BE36" i="2"/>
  <c r="AB36" i="2"/>
  <c r="BD36" i="2"/>
  <c r="BC37" i="2" l="1"/>
  <c r="BG36" i="2"/>
  <c r="BH36" i="2" s="1"/>
  <c r="S37" i="3"/>
  <c r="I37" i="3" s="1"/>
  <c r="J37" i="3" s="1"/>
  <c r="K37" i="3" s="1"/>
  <c r="D37" i="3"/>
  <c r="M37" i="3" s="1"/>
  <c r="AA37" i="2"/>
  <c r="AE36" i="2"/>
  <c r="AF36" i="2" s="1"/>
  <c r="Z38" i="2"/>
  <c r="D38" i="2"/>
  <c r="G37" i="2"/>
  <c r="AU37" i="2"/>
  <c r="AN37" i="2"/>
  <c r="F37" i="2"/>
  <c r="H36" i="2"/>
  <c r="R36" i="2" s="1"/>
  <c r="BB36" i="2"/>
  <c r="N36" i="2" s="1"/>
  <c r="O36" i="2" s="1"/>
  <c r="P36" i="2" s="1"/>
  <c r="AJ37" i="2"/>
  <c r="V38" i="2"/>
  <c r="U38" i="2"/>
  <c r="AX36" i="2"/>
  <c r="AI37" i="2"/>
  <c r="AW36" i="2"/>
  <c r="AQ37" i="2"/>
  <c r="AP37" i="2"/>
  <c r="Q37" i="3"/>
  <c r="P37" i="3"/>
  <c r="O38" i="3" l="1"/>
  <c r="R37" i="3"/>
  <c r="F37" i="3" s="1"/>
  <c r="G37" i="3" s="1"/>
  <c r="H37" i="3" s="1"/>
  <c r="T38" i="3"/>
  <c r="E38" i="3" s="1"/>
  <c r="I37" i="2"/>
  <c r="BI37" i="2"/>
  <c r="AO38" i="2"/>
  <c r="AL37" i="2"/>
  <c r="AM37" i="2" s="1"/>
  <c r="X38" i="2"/>
  <c r="Y38" i="2" s="1"/>
  <c r="AV37" i="2"/>
  <c r="AS37" i="2"/>
  <c r="AT37" i="2" s="1"/>
  <c r="T39" i="2"/>
  <c r="AZ36" i="2"/>
  <c r="BA36" i="2" s="1"/>
  <c r="K36" i="2" s="1"/>
  <c r="L36" i="2" s="1"/>
  <c r="M36" i="2" s="1"/>
  <c r="BJ37" i="2"/>
  <c r="J37" i="2" s="1"/>
  <c r="AH38" i="2"/>
  <c r="E37" i="2"/>
  <c r="AG37" i="2"/>
  <c r="AB37" i="2"/>
  <c r="AC37" i="2"/>
  <c r="BE37" i="2"/>
  <c r="BD37" i="2"/>
  <c r="BC38" i="2" l="1"/>
  <c r="BG37" i="2"/>
  <c r="BH37" i="2" s="1"/>
  <c r="S38" i="3"/>
  <c r="I38" i="3" s="1"/>
  <c r="J38" i="3" s="1"/>
  <c r="K38" i="3" s="1"/>
  <c r="D38" i="3"/>
  <c r="M38" i="3" s="1"/>
  <c r="AA38" i="2"/>
  <c r="AE37" i="2"/>
  <c r="AF37" i="2" s="1"/>
  <c r="Z39" i="2"/>
  <c r="D39" i="2"/>
  <c r="BB37" i="2"/>
  <c r="N37" i="2" s="1"/>
  <c r="O37" i="2" s="1"/>
  <c r="P37" i="2" s="1"/>
  <c r="H37" i="2"/>
  <c r="R37" i="2" s="1"/>
  <c r="AN38" i="2"/>
  <c r="F38" i="2"/>
  <c r="AU38" i="2"/>
  <c r="G38" i="2"/>
  <c r="AJ38" i="2"/>
  <c r="U39" i="2"/>
  <c r="AP38" i="2"/>
  <c r="AI38" i="2"/>
  <c r="AX37" i="2"/>
  <c r="P38" i="3"/>
  <c r="AQ38" i="2"/>
  <c r="V39" i="2"/>
  <c r="Q38" i="3"/>
  <c r="AW37" i="2"/>
  <c r="O39" i="3" l="1"/>
  <c r="R38" i="3"/>
  <c r="F38" i="3" s="1"/>
  <c r="G38" i="3" s="1"/>
  <c r="H38" i="3" s="1"/>
  <c r="T39" i="3"/>
  <c r="E39" i="3" s="1"/>
  <c r="I38" i="2"/>
  <c r="BI38" i="2"/>
  <c r="AZ37" i="2"/>
  <c r="BA37" i="2" s="1"/>
  <c r="K37" i="2" s="1"/>
  <c r="L37" i="2" s="1"/>
  <c r="M37" i="2" s="1"/>
  <c r="BJ38" i="2"/>
  <c r="J38" i="2" s="1"/>
  <c r="AV38" i="2"/>
  <c r="AH39" i="2"/>
  <c r="AO39" i="2"/>
  <c r="AL38" i="2"/>
  <c r="AM38" i="2" s="1"/>
  <c r="T40" i="2"/>
  <c r="X39" i="2"/>
  <c r="Y39" i="2" s="1"/>
  <c r="AS38" i="2"/>
  <c r="AT38" i="2" s="1"/>
  <c r="E38" i="2"/>
  <c r="AG38" i="2"/>
  <c r="AB38" i="2"/>
  <c r="BD38" i="2"/>
  <c r="AC38" i="2"/>
  <c r="BE38" i="2"/>
  <c r="BG38" i="2" l="1"/>
  <c r="BH38" i="2" s="1"/>
  <c r="BC39" i="2"/>
  <c r="S39" i="3"/>
  <c r="I39" i="3" s="1"/>
  <c r="J39" i="3" s="1"/>
  <c r="K39" i="3" s="1"/>
  <c r="D39" i="3"/>
  <c r="M39" i="3" s="1"/>
  <c r="AA39" i="2"/>
  <c r="AE38" i="2"/>
  <c r="AF38" i="2" s="1"/>
  <c r="D40" i="2"/>
  <c r="Z40" i="2"/>
  <c r="G39" i="2"/>
  <c r="AU39" i="2"/>
  <c r="F39" i="2"/>
  <c r="AN39" i="2"/>
  <c r="BB38" i="2"/>
  <c r="N38" i="2" s="1"/>
  <c r="O38" i="2" s="1"/>
  <c r="P38" i="2" s="1"/>
  <c r="H38" i="2"/>
  <c r="R38" i="2" s="1"/>
  <c r="AI39" i="2"/>
  <c r="AQ39" i="2"/>
  <c r="Q39" i="3"/>
  <c r="V40" i="2"/>
  <c r="P39" i="3"/>
  <c r="AW38" i="2"/>
  <c r="AX38" i="2"/>
  <c r="AJ39" i="2"/>
  <c r="AP39" i="2"/>
  <c r="U40" i="2"/>
  <c r="O40" i="3" l="1"/>
  <c r="R39" i="3"/>
  <c r="F39" i="3" s="1"/>
  <c r="G39" i="3" s="1"/>
  <c r="H39" i="3" s="1"/>
  <c r="T40" i="3"/>
  <c r="E40" i="3" s="1"/>
  <c r="BI39" i="2"/>
  <c r="I39" i="2"/>
  <c r="X40" i="2"/>
  <c r="Y40" i="2" s="1"/>
  <c r="AS39" i="2"/>
  <c r="AT39" i="2" s="1"/>
  <c r="AL39" i="2"/>
  <c r="AM39" i="2" s="1"/>
  <c r="AH40" i="2"/>
  <c r="T41" i="2"/>
  <c r="AV39" i="2"/>
  <c r="AO40" i="2"/>
  <c r="AZ38" i="2"/>
  <c r="BA38" i="2" s="1"/>
  <c r="K38" i="2" s="1"/>
  <c r="L38" i="2" s="1"/>
  <c r="M38" i="2" s="1"/>
  <c r="BJ39" i="2"/>
  <c r="J39" i="2" s="1"/>
  <c r="AG39" i="2"/>
  <c r="E39" i="2"/>
  <c r="AC39" i="2"/>
  <c r="BD39" i="2"/>
  <c r="BE39" i="2"/>
  <c r="AB39" i="2"/>
  <c r="BG39" i="2" l="1"/>
  <c r="BH39" i="2" s="1"/>
  <c r="BC40" i="2"/>
  <c r="D40" i="3"/>
  <c r="M40" i="3" s="1"/>
  <c r="S40" i="3"/>
  <c r="I40" i="3" s="1"/>
  <c r="J40" i="3" s="1"/>
  <c r="K40" i="3" s="1"/>
  <c r="AE39" i="2"/>
  <c r="AF39" i="2" s="1"/>
  <c r="AA40" i="2"/>
  <c r="AU40" i="2"/>
  <c r="G40" i="2"/>
  <c r="BB39" i="2"/>
  <c r="N39" i="2" s="1"/>
  <c r="O39" i="2" s="1"/>
  <c r="P39" i="2" s="1"/>
  <c r="H39" i="2"/>
  <c r="R39" i="2" s="1"/>
  <c r="Z41" i="2"/>
  <c r="D41" i="2"/>
  <c r="F40" i="2"/>
  <c r="AN40" i="2"/>
  <c r="Q40" i="3"/>
  <c r="AP40" i="2"/>
  <c r="AQ40" i="2"/>
  <c r="AX39" i="2"/>
  <c r="AI40" i="2"/>
  <c r="AW39" i="2"/>
  <c r="U41" i="2"/>
  <c r="P40" i="3"/>
  <c r="AJ40" i="2"/>
  <c r="V41" i="2"/>
  <c r="O41" i="3" l="1"/>
  <c r="T41" i="3"/>
  <c r="E41" i="3" s="1"/>
  <c r="R40" i="3"/>
  <c r="F40" i="3" s="1"/>
  <c r="G40" i="3" s="1"/>
  <c r="H40" i="3" s="1"/>
  <c r="BI40" i="2"/>
  <c r="I40" i="2"/>
  <c r="T42" i="2"/>
  <c r="AH41" i="2"/>
  <c r="X41" i="2"/>
  <c r="Y41" i="2" s="1"/>
  <c r="AO41" i="2"/>
  <c r="AV40" i="2"/>
  <c r="AL40" i="2"/>
  <c r="AM40" i="2" s="1"/>
  <c r="AZ39" i="2"/>
  <c r="BA39" i="2" s="1"/>
  <c r="K39" i="2" s="1"/>
  <c r="L39" i="2" s="1"/>
  <c r="M39" i="2" s="1"/>
  <c r="BJ40" i="2"/>
  <c r="J40" i="2" s="1"/>
  <c r="AS40" i="2"/>
  <c r="AT40" i="2" s="1"/>
  <c r="AG40" i="2"/>
  <c r="E40" i="2"/>
  <c r="AC40" i="2"/>
  <c r="AB40" i="2"/>
  <c r="BD40" i="2"/>
  <c r="BE40" i="2"/>
  <c r="BC41" i="2" l="1"/>
  <c r="BG40" i="2"/>
  <c r="BH40" i="2" s="1"/>
  <c r="S41" i="3"/>
  <c r="I41" i="3" s="1"/>
  <c r="J41" i="3" s="1"/>
  <c r="K41" i="3" s="1"/>
  <c r="D41" i="3"/>
  <c r="M41" i="3" s="1"/>
  <c r="AA41" i="2"/>
  <c r="AE40" i="2"/>
  <c r="AF40" i="2" s="1"/>
  <c r="AU41" i="2"/>
  <c r="G41" i="2"/>
  <c r="H40" i="2"/>
  <c r="R40" i="2" s="1"/>
  <c r="BB40" i="2"/>
  <c r="N40" i="2" s="1"/>
  <c r="O40" i="2" s="1"/>
  <c r="P40" i="2" s="1"/>
  <c r="F41" i="2"/>
  <c r="AN41" i="2"/>
  <c r="Z42" i="2"/>
  <c r="D42" i="2"/>
  <c r="P41" i="3"/>
  <c r="AI41" i="2"/>
  <c r="V42" i="2"/>
  <c r="Q41" i="3"/>
  <c r="AP41" i="2"/>
  <c r="AQ41" i="2"/>
  <c r="U42" i="2"/>
  <c r="AJ41" i="2"/>
  <c r="AW40" i="2"/>
  <c r="AX40" i="2"/>
  <c r="O42" i="3" l="1"/>
  <c r="T42" i="3"/>
  <c r="E42" i="3" s="1"/>
  <c r="R41" i="3"/>
  <c r="F41" i="3" s="1"/>
  <c r="G41" i="3" s="1"/>
  <c r="H41" i="3" s="1"/>
  <c r="BI41" i="2"/>
  <c r="I41" i="2"/>
  <c r="AH42" i="2"/>
  <c r="AL41" i="2"/>
  <c r="AM41" i="2" s="1"/>
  <c r="AO42" i="2"/>
  <c r="T43" i="2"/>
  <c r="AS41" i="2"/>
  <c r="AT41" i="2" s="1"/>
  <c r="AZ40" i="2"/>
  <c r="BA40" i="2" s="1"/>
  <c r="K40" i="2" s="1"/>
  <c r="L40" i="2" s="1"/>
  <c r="M40" i="2" s="1"/>
  <c r="BJ41" i="2"/>
  <c r="J41" i="2" s="1"/>
  <c r="X42" i="2"/>
  <c r="Y42" i="2" s="1"/>
  <c r="AV41" i="2"/>
  <c r="E41" i="2"/>
  <c r="AG41" i="2"/>
  <c r="AC41" i="2"/>
  <c r="BE41" i="2"/>
  <c r="BD41" i="2"/>
  <c r="AB41" i="2"/>
  <c r="BC42" i="2" l="1"/>
  <c r="BG41" i="2"/>
  <c r="BH41" i="2" s="1"/>
  <c r="D42" i="3"/>
  <c r="M42" i="3" s="1"/>
  <c r="S42" i="3"/>
  <c r="I42" i="3" s="1"/>
  <c r="J42" i="3" s="1"/>
  <c r="K42" i="3" s="1"/>
  <c r="AE41" i="2"/>
  <c r="AF41" i="2" s="1"/>
  <c r="AA42" i="2"/>
  <c r="D43" i="2"/>
  <c r="Z43" i="2"/>
  <c r="G42" i="2"/>
  <c r="AU42" i="2"/>
  <c r="BB41" i="2"/>
  <c r="N41" i="2" s="1"/>
  <c r="O41" i="2" s="1"/>
  <c r="P41" i="2" s="1"/>
  <c r="H41" i="2"/>
  <c r="R41" i="2" s="1"/>
  <c r="F42" i="2"/>
  <c r="AN42" i="2"/>
  <c r="V43" i="2"/>
  <c r="P42" i="3"/>
  <c r="AP42" i="2"/>
  <c r="AJ42" i="2"/>
  <c r="U43" i="2"/>
  <c r="AI42" i="2"/>
  <c r="Q42" i="3"/>
  <c r="AW41" i="2"/>
  <c r="AX41" i="2"/>
  <c r="AQ42" i="2"/>
  <c r="O43" i="3" l="1"/>
  <c r="T43" i="3"/>
  <c r="E43" i="3" s="1"/>
  <c r="R42" i="3"/>
  <c r="F42" i="3" s="1"/>
  <c r="G42" i="3" s="1"/>
  <c r="H42" i="3" s="1"/>
  <c r="BI42" i="2"/>
  <c r="I42" i="2"/>
  <c r="AO43" i="2"/>
  <c r="AH43" i="2"/>
  <c r="AV42" i="2"/>
  <c r="AZ41" i="2"/>
  <c r="BA41" i="2" s="1"/>
  <c r="K41" i="2" s="1"/>
  <c r="L41" i="2" s="1"/>
  <c r="M41" i="2" s="1"/>
  <c r="BJ42" i="2"/>
  <c r="J42" i="2" s="1"/>
  <c r="T44" i="2"/>
  <c r="AL42" i="2"/>
  <c r="AM42" i="2" s="1"/>
  <c r="AS42" i="2"/>
  <c r="AT42" i="2" s="1"/>
  <c r="X43" i="2"/>
  <c r="Y43" i="2" s="1"/>
  <c r="E42" i="2"/>
  <c r="AG42" i="2"/>
  <c r="BE42" i="2"/>
  <c r="BD42" i="2"/>
  <c r="AB42" i="2"/>
  <c r="AC42" i="2"/>
  <c r="BC43" i="2" l="1"/>
  <c r="BG42" i="2"/>
  <c r="BH42" i="2" s="1"/>
  <c r="D43" i="3"/>
  <c r="M43" i="3" s="1"/>
  <c r="S43" i="3"/>
  <c r="I43" i="3" s="1"/>
  <c r="J43" i="3" s="1"/>
  <c r="K43" i="3" s="1"/>
  <c r="AE42" i="2"/>
  <c r="AF42" i="2" s="1"/>
  <c r="AA43" i="2"/>
  <c r="D44" i="2"/>
  <c r="Z44" i="2"/>
  <c r="H42" i="2"/>
  <c r="R42" i="2" s="1"/>
  <c r="BB42" i="2"/>
  <c r="N42" i="2" s="1"/>
  <c r="O42" i="2" s="1"/>
  <c r="P42" i="2" s="1"/>
  <c r="F43" i="2"/>
  <c r="AN43" i="2"/>
  <c r="G43" i="2"/>
  <c r="AU43" i="2"/>
  <c r="AQ43" i="2"/>
  <c r="AW42" i="2"/>
  <c r="AJ43" i="2"/>
  <c r="P43" i="3"/>
  <c r="AX42" i="2"/>
  <c r="V44" i="2"/>
  <c r="AP43" i="2"/>
  <c r="Q43" i="3"/>
  <c r="AI43" i="2"/>
  <c r="U44" i="2"/>
  <c r="O44" i="3" l="1"/>
  <c r="R43" i="3"/>
  <c r="F43" i="3" s="1"/>
  <c r="G43" i="3" s="1"/>
  <c r="H43" i="3" s="1"/>
  <c r="T44" i="3"/>
  <c r="E44" i="3" s="1"/>
  <c r="I43" i="2"/>
  <c r="BI43" i="2"/>
  <c r="AO44" i="2"/>
  <c r="AV43" i="2"/>
  <c r="T45" i="2"/>
  <c r="AH44" i="2"/>
  <c r="AL43" i="2"/>
  <c r="AM43" i="2" s="1"/>
  <c r="AS43" i="2"/>
  <c r="AT43" i="2" s="1"/>
  <c r="AZ42" i="2"/>
  <c r="BA42" i="2" s="1"/>
  <c r="K42" i="2" s="1"/>
  <c r="L42" i="2" s="1"/>
  <c r="M42" i="2" s="1"/>
  <c r="BJ43" i="2"/>
  <c r="J43" i="2" s="1"/>
  <c r="X44" i="2"/>
  <c r="Y44" i="2" s="1"/>
  <c r="E43" i="2"/>
  <c r="AG43" i="2"/>
  <c r="AB43" i="2"/>
  <c r="AC43" i="2"/>
  <c r="BE43" i="2"/>
  <c r="BD43" i="2"/>
  <c r="BG43" i="2" l="1"/>
  <c r="BH43" i="2" s="1"/>
  <c r="BC44" i="2"/>
  <c r="S44" i="3"/>
  <c r="I44" i="3" s="1"/>
  <c r="J44" i="3" s="1"/>
  <c r="K44" i="3" s="1"/>
  <c r="D44" i="3"/>
  <c r="M44" i="3" s="1"/>
  <c r="AA44" i="2"/>
  <c r="AE43" i="2"/>
  <c r="AF43" i="2" s="1"/>
  <c r="F44" i="2"/>
  <c r="AN44" i="2"/>
  <c r="Z45" i="2"/>
  <c r="D45" i="2"/>
  <c r="H43" i="2"/>
  <c r="R43" i="2" s="1"/>
  <c r="BB43" i="2"/>
  <c r="N43" i="2" s="1"/>
  <c r="O43" i="2" s="1"/>
  <c r="P43" i="2" s="1"/>
  <c r="AU44" i="2"/>
  <c r="G44" i="2"/>
  <c r="U45" i="2"/>
  <c r="AI44" i="2"/>
  <c r="AW43" i="2"/>
  <c r="AX43" i="2"/>
  <c r="AJ44" i="2"/>
  <c r="V45" i="2"/>
  <c r="Q44" i="3"/>
  <c r="P44" i="3"/>
  <c r="AQ44" i="2"/>
  <c r="AP44" i="2"/>
  <c r="T45" i="3" l="1"/>
  <c r="E45" i="3" s="1"/>
  <c r="R44" i="3"/>
  <c r="F44" i="3" s="1"/>
  <c r="G44" i="3" s="1"/>
  <c r="H44" i="3" s="1"/>
  <c r="O45" i="3"/>
  <c r="BI44" i="2"/>
  <c r="I44" i="2"/>
  <c r="AS44" i="2"/>
  <c r="AT44" i="2" s="1"/>
  <c r="AH45" i="2"/>
  <c r="AZ43" i="2"/>
  <c r="BA43" i="2" s="1"/>
  <c r="K43" i="2" s="1"/>
  <c r="L43" i="2" s="1"/>
  <c r="M43" i="2" s="1"/>
  <c r="BJ44" i="2"/>
  <c r="J44" i="2" s="1"/>
  <c r="AL44" i="2"/>
  <c r="AM44" i="2" s="1"/>
  <c r="AV44" i="2"/>
  <c r="X45" i="2"/>
  <c r="Y45" i="2" s="1"/>
  <c r="AO45" i="2"/>
  <c r="T46" i="2"/>
  <c r="E44" i="2"/>
  <c r="AG44" i="2"/>
  <c r="AC44" i="2"/>
  <c r="AB44" i="2"/>
  <c r="BE44" i="2"/>
  <c r="BD44" i="2"/>
  <c r="BG44" i="2" l="1"/>
  <c r="BH44" i="2" s="1"/>
  <c r="BC45" i="2"/>
  <c r="D45" i="3"/>
  <c r="M45" i="3" s="1"/>
  <c r="S45" i="3"/>
  <c r="I45" i="3" s="1"/>
  <c r="J45" i="3" s="1"/>
  <c r="K45" i="3" s="1"/>
  <c r="AE44" i="2"/>
  <c r="AF44" i="2" s="1"/>
  <c r="AA45" i="2"/>
  <c r="BB44" i="2"/>
  <c r="N44" i="2" s="1"/>
  <c r="O44" i="2" s="1"/>
  <c r="P44" i="2" s="1"/>
  <c r="H44" i="2"/>
  <c r="R44" i="2" s="1"/>
  <c r="Z46" i="2"/>
  <c r="D46" i="2"/>
  <c r="AN45" i="2"/>
  <c r="F45" i="2"/>
  <c r="AU45" i="2"/>
  <c r="G45" i="2"/>
  <c r="AW44" i="2"/>
  <c r="AI45" i="2"/>
  <c r="U46" i="2"/>
  <c r="AJ45" i="2"/>
  <c r="AQ45" i="2"/>
  <c r="P45" i="3"/>
  <c r="AX44" i="2"/>
  <c r="V46" i="2"/>
  <c r="AP45" i="2"/>
  <c r="Q45" i="3"/>
  <c r="T46" i="3" l="1"/>
  <c r="E46" i="3" s="1"/>
  <c r="R45" i="3"/>
  <c r="F45" i="3" s="1"/>
  <c r="G45" i="3" s="1"/>
  <c r="H45" i="3" s="1"/>
  <c r="O46" i="3"/>
  <c r="I45" i="2"/>
  <c r="BI45" i="2"/>
  <c r="AL45" i="2"/>
  <c r="AM45" i="2" s="1"/>
  <c r="AZ44" i="2"/>
  <c r="BA44" i="2" s="1"/>
  <c r="K44" i="2" s="1"/>
  <c r="L44" i="2" s="1"/>
  <c r="M44" i="2" s="1"/>
  <c r="BJ45" i="2"/>
  <c r="J45" i="2" s="1"/>
  <c r="AH46" i="2"/>
  <c r="AV45" i="2"/>
  <c r="X46" i="2"/>
  <c r="Y46" i="2" s="1"/>
  <c r="AO46" i="2"/>
  <c r="T47" i="2"/>
  <c r="AS45" i="2"/>
  <c r="AT45" i="2" s="1"/>
  <c r="E45" i="2"/>
  <c r="AG45" i="2"/>
  <c r="AC45" i="2"/>
  <c r="AB45" i="2"/>
  <c r="BD45" i="2"/>
  <c r="BE45" i="2"/>
  <c r="BG45" i="2" l="1"/>
  <c r="BH45" i="2" s="1"/>
  <c r="BC46" i="2"/>
  <c r="D46" i="3"/>
  <c r="M46" i="3" s="1"/>
  <c r="S46" i="3"/>
  <c r="I46" i="3" s="1"/>
  <c r="J46" i="3" s="1"/>
  <c r="K46" i="3" s="1"/>
  <c r="AA46" i="2"/>
  <c r="AE45" i="2"/>
  <c r="AF45" i="2" s="1"/>
  <c r="AU46" i="2"/>
  <c r="G46" i="2"/>
  <c r="H45" i="2"/>
  <c r="R45" i="2" s="1"/>
  <c r="BB45" i="2"/>
  <c r="N45" i="2" s="1"/>
  <c r="O45" i="2" s="1"/>
  <c r="P45" i="2" s="1"/>
  <c r="AN46" i="2"/>
  <c r="F46" i="2"/>
  <c r="D47" i="2"/>
  <c r="Z47" i="2"/>
  <c r="AP46" i="2"/>
  <c r="AQ46" i="2"/>
  <c r="AJ46" i="2"/>
  <c r="AI46" i="2"/>
  <c r="U47" i="2"/>
  <c r="Q46" i="3"/>
  <c r="AX45" i="2"/>
  <c r="V47" i="2"/>
  <c r="AW45" i="2"/>
  <c r="P46" i="3"/>
  <c r="R46" i="3" l="1"/>
  <c r="F46" i="3" s="1"/>
  <c r="G46" i="3" s="1"/>
  <c r="H46" i="3" s="1"/>
  <c r="T47" i="3"/>
  <c r="E47" i="3" s="1"/>
  <c r="O47" i="3"/>
  <c r="I46" i="2"/>
  <c r="BI46" i="2"/>
  <c r="X47" i="2"/>
  <c r="Y47" i="2" s="1"/>
  <c r="AV46" i="2"/>
  <c r="AL46" i="2"/>
  <c r="AM46" i="2" s="1"/>
  <c r="AO47" i="2"/>
  <c r="T48" i="2"/>
  <c r="AH47" i="2"/>
  <c r="AS46" i="2"/>
  <c r="AT46" i="2" s="1"/>
  <c r="AZ45" i="2"/>
  <c r="BA45" i="2" s="1"/>
  <c r="K45" i="2" s="1"/>
  <c r="L45" i="2" s="1"/>
  <c r="M45" i="2" s="1"/>
  <c r="BJ46" i="2"/>
  <c r="J46" i="2" s="1"/>
  <c r="AG46" i="2"/>
  <c r="E46" i="2"/>
  <c r="AC46" i="2"/>
  <c r="BD46" i="2"/>
  <c r="AB46" i="2"/>
  <c r="BE46" i="2"/>
  <c r="BG46" i="2" l="1"/>
  <c r="BH46" i="2" s="1"/>
  <c r="BC47" i="2"/>
  <c r="D47" i="3"/>
  <c r="M47" i="3" s="1"/>
  <c r="S47" i="3"/>
  <c r="I47" i="3" s="1"/>
  <c r="J47" i="3" s="1"/>
  <c r="K47" i="3" s="1"/>
  <c r="AA47" i="2"/>
  <c r="AE46" i="2"/>
  <c r="AF46" i="2" s="1"/>
  <c r="AN47" i="2"/>
  <c r="F47" i="2"/>
  <c r="Z48" i="2"/>
  <c r="D48" i="2"/>
  <c r="G47" i="2"/>
  <c r="AU47" i="2"/>
  <c r="BB46" i="2"/>
  <c r="N46" i="2" s="1"/>
  <c r="O46" i="2" s="1"/>
  <c r="P46" i="2" s="1"/>
  <c r="H46" i="2"/>
  <c r="R46" i="2" s="1"/>
  <c r="AJ47" i="2"/>
  <c r="AP47" i="2"/>
  <c r="AI47" i="2"/>
  <c r="P47" i="3"/>
  <c r="AQ47" i="2"/>
  <c r="AW46" i="2"/>
  <c r="AX46" i="2"/>
  <c r="U48" i="2"/>
  <c r="Q47" i="3"/>
  <c r="V48" i="2"/>
  <c r="R47" i="3" l="1"/>
  <c r="F47" i="3" s="1"/>
  <c r="G47" i="3" s="1"/>
  <c r="H47" i="3" s="1"/>
  <c r="T48" i="3"/>
  <c r="E48" i="3" s="1"/>
  <c r="O48" i="3"/>
  <c r="I47" i="2"/>
  <c r="BI47" i="2"/>
  <c r="X48" i="2"/>
  <c r="Y48" i="2" s="1"/>
  <c r="AO48" i="2"/>
  <c r="T49" i="2"/>
  <c r="AS47" i="2"/>
  <c r="AT47" i="2" s="1"/>
  <c r="AL47" i="2"/>
  <c r="AM47" i="2" s="1"/>
  <c r="AZ46" i="2"/>
  <c r="BA46" i="2" s="1"/>
  <c r="K46" i="2" s="1"/>
  <c r="L46" i="2" s="1"/>
  <c r="M46" i="2" s="1"/>
  <c r="BJ47" i="2"/>
  <c r="J47" i="2" s="1"/>
  <c r="AH48" i="2"/>
  <c r="AV47" i="2"/>
  <c r="AG47" i="2"/>
  <c r="E47" i="2"/>
  <c r="BE47" i="2"/>
  <c r="AB47" i="2"/>
  <c r="AC47" i="2"/>
  <c r="BD47" i="2"/>
  <c r="BG47" i="2" l="1"/>
  <c r="BH47" i="2" s="1"/>
  <c r="BC48" i="2"/>
  <c r="D48" i="3"/>
  <c r="M48" i="3" s="1"/>
  <c r="S48" i="3"/>
  <c r="I48" i="3" s="1"/>
  <c r="J48" i="3" s="1"/>
  <c r="K48" i="3" s="1"/>
  <c r="AA48" i="2"/>
  <c r="AE47" i="2"/>
  <c r="AF47" i="2" s="1"/>
  <c r="Z49" i="2"/>
  <c r="D49" i="2"/>
  <c r="G48" i="2"/>
  <c r="AU48" i="2"/>
  <c r="BB47" i="2"/>
  <c r="N47" i="2" s="1"/>
  <c r="O47" i="2" s="1"/>
  <c r="P47" i="2" s="1"/>
  <c r="H47" i="2"/>
  <c r="R47" i="2" s="1"/>
  <c r="AN48" i="2"/>
  <c r="F48" i="2"/>
  <c r="AX47" i="2"/>
  <c r="AW47" i="2"/>
  <c r="U49" i="2"/>
  <c r="AJ48" i="2"/>
  <c r="Q48" i="3"/>
  <c r="V49" i="2"/>
  <c r="AP48" i="2"/>
  <c r="AI48" i="2"/>
  <c r="P48" i="3"/>
  <c r="AQ48" i="2"/>
  <c r="O49" i="3" l="1"/>
  <c r="R48" i="3"/>
  <c r="F48" i="3" s="1"/>
  <c r="G48" i="3" s="1"/>
  <c r="H48" i="3" s="1"/>
  <c r="T49" i="3"/>
  <c r="E49" i="3" s="1"/>
  <c r="BI48" i="2"/>
  <c r="I48" i="2"/>
  <c r="AZ47" i="2"/>
  <c r="BA47" i="2" s="1"/>
  <c r="K47" i="2" s="1"/>
  <c r="L47" i="2" s="1"/>
  <c r="M47" i="2" s="1"/>
  <c r="BJ48" i="2"/>
  <c r="J48" i="2" s="1"/>
  <c r="AS48" i="2"/>
  <c r="AT48" i="2" s="1"/>
  <c r="X49" i="2"/>
  <c r="Y49" i="2" s="1"/>
  <c r="AH49" i="2"/>
  <c r="AO49" i="2"/>
  <c r="AV48" i="2"/>
  <c r="AL48" i="2"/>
  <c r="AM48" i="2" s="1"/>
  <c r="T50" i="2"/>
  <c r="E48" i="2"/>
  <c r="AG48" i="2"/>
  <c r="AC48" i="2"/>
  <c r="AB48" i="2"/>
  <c r="BE48" i="2"/>
  <c r="BD48" i="2"/>
  <c r="BC49" i="2" l="1"/>
  <c r="BG48" i="2"/>
  <c r="BH48" i="2" s="1"/>
  <c r="S49" i="3"/>
  <c r="I49" i="3" s="1"/>
  <c r="J49" i="3" s="1"/>
  <c r="K49" i="3" s="1"/>
  <c r="D49" i="3"/>
  <c r="M49" i="3" s="1"/>
  <c r="AE48" i="2"/>
  <c r="AF48" i="2" s="1"/>
  <c r="AA49" i="2"/>
  <c r="H48" i="2"/>
  <c r="R48" i="2" s="1"/>
  <c r="BB48" i="2"/>
  <c r="N48" i="2" s="1"/>
  <c r="O48" i="2" s="1"/>
  <c r="P48" i="2" s="1"/>
  <c r="G49" i="2"/>
  <c r="AU49" i="2"/>
  <c r="AN49" i="2"/>
  <c r="F49" i="2"/>
  <c r="D50" i="2"/>
  <c r="Z50" i="2"/>
  <c r="P49" i="3"/>
  <c r="AX48" i="2"/>
  <c r="AW48" i="2"/>
  <c r="AP49" i="2"/>
  <c r="AQ49" i="2"/>
  <c r="V50" i="2"/>
  <c r="AJ49" i="2"/>
  <c r="AI49" i="2"/>
  <c r="Q49" i="3"/>
  <c r="U50" i="2"/>
  <c r="O50" i="3" l="1"/>
  <c r="R49" i="3"/>
  <c r="F49" i="3" s="1"/>
  <c r="G49" i="3" s="1"/>
  <c r="H49" i="3" s="1"/>
  <c r="T50" i="3"/>
  <c r="E50" i="3" s="1"/>
  <c r="BI49" i="2"/>
  <c r="I49" i="2"/>
  <c r="AO50" i="2"/>
  <c r="X50" i="2"/>
  <c r="Y50" i="2" s="1"/>
  <c r="AL49" i="2"/>
  <c r="AM49" i="2" s="1"/>
  <c r="AV49" i="2"/>
  <c r="T51" i="2"/>
  <c r="AH50" i="2"/>
  <c r="AS49" i="2"/>
  <c r="AT49" i="2" s="1"/>
  <c r="AZ48" i="2"/>
  <c r="BA48" i="2" s="1"/>
  <c r="K48" i="2" s="1"/>
  <c r="L48" i="2" s="1"/>
  <c r="M48" i="2" s="1"/>
  <c r="BJ49" i="2"/>
  <c r="J49" i="2" s="1"/>
  <c r="E49" i="2"/>
  <c r="AG49" i="2"/>
  <c r="BD49" i="2"/>
  <c r="AC49" i="2"/>
  <c r="BE49" i="2"/>
  <c r="AB49" i="2"/>
  <c r="BG49" i="2" l="1"/>
  <c r="BH49" i="2" s="1"/>
  <c r="BC50" i="2"/>
  <c r="S50" i="3"/>
  <c r="I50" i="3" s="1"/>
  <c r="J50" i="3" s="1"/>
  <c r="K50" i="3" s="1"/>
  <c r="D50" i="3"/>
  <c r="M50" i="3" s="1"/>
  <c r="AA50" i="2"/>
  <c r="AE49" i="2"/>
  <c r="AF49" i="2" s="1"/>
  <c r="AN50" i="2"/>
  <c r="F50" i="2"/>
  <c r="Z51" i="2"/>
  <c r="D51" i="2"/>
  <c r="BB49" i="2"/>
  <c r="N49" i="2" s="1"/>
  <c r="O49" i="2" s="1"/>
  <c r="P49" i="2" s="1"/>
  <c r="H49" i="2"/>
  <c r="R49" i="2" s="1"/>
  <c r="G50" i="2"/>
  <c r="AU50" i="2"/>
  <c r="AP50" i="2"/>
  <c r="AQ50" i="2"/>
  <c r="Q50" i="3"/>
  <c r="AX49" i="2"/>
  <c r="AW49" i="2"/>
  <c r="AI50" i="2"/>
  <c r="AJ50" i="2"/>
  <c r="P50" i="3"/>
  <c r="U51" i="2"/>
  <c r="V51" i="2"/>
  <c r="T51" i="3" l="1"/>
  <c r="E51" i="3" s="1"/>
  <c r="R50" i="3"/>
  <c r="F50" i="3" s="1"/>
  <c r="G50" i="3" s="1"/>
  <c r="H50" i="3" s="1"/>
  <c r="O51" i="3"/>
  <c r="BI50" i="2"/>
  <c r="I50" i="2"/>
  <c r="X51" i="2"/>
  <c r="Y51" i="2" s="1"/>
  <c r="T52" i="2"/>
  <c r="AZ49" i="2"/>
  <c r="BA49" i="2" s="1"/>
  <c r="K49" i="2" s="1"/>
  <c r="L49" i="2" s="1"/>
  <c r="M49" i="2" s="1"/>
  <c r="BJ50" i="2"/>
  <c r="J50" i="2" s="1"/>
  <c r="AH51" i="2"/>
  <c r="AL50" i="2"/>
  <c r="AM50" i="2" s="1"/>
  <c r="AS50" i="2"/>
  <c r="AT50" i="2" s="1"/>
  <c r="AO51" i="2"/>
  <c r="AV50" i="2"/>
  <c r="AG50" i="2"/>
  <c r="E50" i="2"/>
  <c r="AC50" i="2"/>
  <c r="AB50" i="2"/>
  <c r="BE50" i="2"/>
  <c r="BD50" i="2"/>
  <c r="BC51" i="2" l="1"/>
  <c r="BG50" i="2"/>
  <c r="BH50" i="2" s="1"/>
  <c r="D51" i="3"/>
  <c r="M51" i="3" s="1"/>
  <c r="S51" i="3"/>
  <c r="I51" i="3" s="1"/>
  <c r="J51" i="3" s="1"/>
  <c r="K51" i="3" s="1"/>
  <c r="AA51" i="2"/>
  <c r="AE50" i="2"/>
  <c r="AF50" i="2" s="1"/>
  <c r="AN51" i="2"/>
  <c r="F51" i="2"/>
  <c r="D52" i="2"/>
  <c r="Z52" i="2"/>
  <c r="BB50" i="2"/>
  <c r="N50" i="2" s="1"/>
  <c r="O50" i="2" s="1"/>
  <c r="P50" i="2" s="1"/>
  <c r="H50" i="2"/>
  <c r="R50" i="2" s="1"/>
  <c r="AU51" i="2"/>
  <c r="G51" i="2"/>
  <c r="U52" i="2"/>
  <c r="P51" i="3"/>
  <c r="AP51" i="2"/>
  <c r="AJ51" i="2"/>
  <c r="AX50" i="2"/>
  <c r="AW50" i="2"/>
  <c r="AI51" i="2"/>
  <c r="AQ51" i="2"/>
  <c r="Q51" i="3"/>
  <c r="V52" i="2"/>
  <c r="T52" i="3" l="1"/>
  <c r="E52" i="3" s="1"/>
  <c r="R51" i="3"/>
  <c r="F51" i="3" s="1"/>
  <c r="G51" i="3" s="1"/>
  <c r="H51" i="3" s="1"/>
  <c r="O52" i="3"/>
  <c r="I51" i="2"/>
  <c r="BI51" i="2"/>
  <c r="AO52" i="2"/>
  <c r="AS51" i="2"/>
  <c r="AT51" i="2" s="1"/>
  <c r="AZ50" i="2"/>
  <c r="BA50" i="2" s="1"/>
  <c r="K50" i="2" s="1"/>
  <c r="L50" i="2" s="1"/>
  <c r="M50" i="2" s="1"/>
  <c r="BJ51" i="2"/>
  <c r="J51" i="2" s="1"/>
  <c r="AH52" i="2"/>
  <c r="X52" i="2"/>
  <c r="Y52" i="2" s="1"/>
  <c r="AV51" i="2"/>
  <c r="T53" i="2"/>
  <c r="AL51" i="2"/>
  <c r="AM51" i="2" s="1"/>
  <c r="AG51" i="2"/>
  <c r="E51" i="2"/>
  <c r="AB51" i="2"/>
  <c r="BE51" i="2"/>
  <c r="BD51" i="2"/>
  <c r="AC51" i="2"/>
  <c r="BC52" i="2" l="1"/>
  <c r="BG51" i="2"/>
  <c r="BH51" i="2" s="1"/>
  <c r="D52" i="3"/>
  <c r="M52" i="3" s="1"/>
  <c r="S52" i="3"/>
  <c r="I52" i="3" s="1"/>
  <c r="J52" i="3" s="1"/>
  <c r="K52" i="3" s="1"/>
  <c r="AA52" i="2"/>
  <c r="AE51" i="2"/>
  <c r="AF51" i="2" s="1"/>
  <c r="BB51" i="2"/>
  <c r="N51" i="2" s="1"/>
  <c r="O51" i="2" s="1"/>
  <c r="P51" i="2" s="1"/>
  <c r="H51" i="2"/>
  <c r="R51" i="2" s="1"/>
  <c r="F52" i="2"/>
  <c r="AN52" i="2"/>
  <c r="D53" i="2"/>
  <c r="Z53" i="2"/>
  <c r="AU52" i="2"/>
  <c r="G52" i="2"/>
  <c r="P52" i="3"/>
  <c r="Q52" i="3"/>
  <c r="AI52" i="2"/>
  <c r="AQ52" i="2"/>
  <c r="AX51" i="2"/>
  <c r="AJ52" i="2"/>
  <c r="V53" i="2"/>
  <c r="AW51" i="2"/>
  <c r="AP52" i="2"/>
  <c r="U53" i="2"/>
  <c r="O53" i="3" l="1"/>
  <c r="T53" i="3"/>
  <c r="E53" i="3" s="1"/>
  <c r="R52" i="3"/>
  <c r="F52" i="3" s="1"/>
  <c r="G52" i="3" s="1"/>
  <c r="H52" i="3" s="1"/>
  <c r="BI52" i="2"/>
  <c r="I52" i="2"/>
  <c r="AH53" i="2"/>
  <c r="AS52" i="2"/>
  <c r="AT52" i="2" s="1"/>
  <c r="T54" i="2"/>
  <c r="AZ51" i="2"/>
  <c r="BA51" i="2" s="1"/>
  <c r="K51" i="2" s="1"/>
  <c r="L51" i="2" s="1"/>
  <c r="M51" i="2" s="1"/>
  <c r="BJ52" i="2"/>
  <c r="J52" i="2" s="1"/>
  <c r="X53" i="2"/>
  <c r="Y53" i="2" s="1"/>
  <c r="AL52" i="2"/>
  <c r="AM52" i="2" s="1"/>
  <c r="AV52" i="2"/>
  <c r="AO53" i="2"/>
  <c r="E52" i="2"/>
  <c r="AG52" i="2"/>
  <c r="BE52" i="2"/>
  <c r="BD52" i="2"/>
  <c r="AB52" i="2"/>
  <c r="AC52" i="2"/>
  <c r="BG52" i="2" l="1"/>
  <c r="BH52" i="2" s="1"/>
  <c r="BC53" i="2"/>
  <c r="D53" i="3"/>
  <c r="M53" i="3" s="1"/>
  <c r="S53" i="3"/>
  <c r="I53" i="3" s="1"/>
  <c r="J53" i="3" s="1"/>
  <c r="K53" i="3" s="1"/>
  <c r="AE52" i="2"/>
  <c r="AF52" i="2" s="1"/>
  <c r="AA53" i="2"/>
  <c r="D54" i="2"/>
  <c r="Z54" i="2"/>
  <c r="G53" i="2"/>
  <c r="AU53" i="2"/>
  <c r="H52" i="2"/>
  <c r="R52" i="2" s="1"/>
  <c r="BB52" i="2"/>
  <c r="N52" i="2" s="1"/>
  <c r="O52" i="2" s="1"/>
  <c r="P52" i="2" s="1"/>
  <c r="F53" i="2"/>
  <c r="AN53" i="2"/>
  <c r="U54" i="2"/>
  <c r="V54" i="2"/>
  <c r="AW52" i="2"/>
  <c r="AI53" i="2"/>
  <c r="AJ53" i="2"/>
  <c r="Q53" i="3"/>
  <c r="AX52" i="2"/>
  <c r="P53" i="3"/>
  <c r="AQ53" i="2"/>
  <c r="AP53" i="2"/>
  <c r="T54" i="3" l="1"/>
  <c r="E54" i="3" s="1"/>
  <c r="R53" i="3"/>
  <c r="F53" i="3" s="1"/>
  <c r="G53" i="3" s="1"/>
  <c r="H53" i="3" s="1"/>
  <c r="O54" i="3"/>
  <c r="BI53" i="2"/>
  <c r="I53" i="2"/>
  <c r="AS53" i="2"/>
  <c r="AT53" i="2" s="1"/>
  <c r="AL53" i="2"/>
  <c r="AM53" i="2" s="1"/>
  <c r="T55" i="2"/>
  <c r="AZ52" i="2"/>
  <c r="BA52" i="2" s="1"/>
  <c r="K52" i="2" s="1"/>
  <c r="L52" i="2" s="1"/>
  <c r="M52" i="2" s="1"/>
  <c r="BJ53" i="2"/>
  <c r="J53" i="2" s="1"/>
  <c r="AH54" i="2"/>
  <c r="X54" i="2"/>
  <c r="Y54" i="2" s="1"/>
  <c r="AV53" i="2"/>
  <c r="AO54" i="2"/>
  <c r="E53" i="2"/>
  <c r="AG53" i="2"/>
  <c r="BE53" i="2"/>
  <c r="BD53" i="2"/>
  <c r="AC53" i="2"/>
  <c r="AB53" i="2"/>
  <c r="BC54" i="2" l="1"/>
  <c r="BG53" i="2"/>
  <c r="BH53" i="2" s="1"/>
  <c r="D54" i="3"/>
  <c r="M54" i="3" s="1"/>
  <c r="S54" i="3"/>
  <c r="I54" i="3" s="1"/>
  <c r="J54" i="3" s="1"/>
  <c r="K54" i="3" s="1"/>
  <c r="AA54" i="2"/>
  <c r="AE53" i="2"/>
  <c r="AF53" i="2" s="1"/>
  <c r="AN54" i="2"/>
  <c r="F54" i="2"/>
  <c r="Z55" i="2"/>
  <c r="D55" i="2"/>
  <c r="G54" i="2"/>
  <c r="AU54" i="2"/>
  <c r="BB53" i="2"/>
  <c r="N53" i="2" s="1"/>
  <c r="O53" i="2" s="1"/>
  <c r="P53" i="2" s="1"/>
  <c r="H53" i="2"/>
  <c r="R53" i="2" s="1"/>
  <c r="P54" i="3"/>
  <c r="AQ54" i="2"/>
  <c r="AX53" i="2"/>
  <c r="Q54" i="3"/>
  <c r="AI54" i="2"/>
  <c r="U55" i="2"/>
  <c r="AW53" i="2"/>
  <c r="V55" i="2"/>
  <c r="AP54" i="2"/>
  <c r="AJ54" i="2"/>
  <c r="O55" i="3" l="1"/>
  <c r="T55" i="3"/>
  <c r="E55" i="3" s="1"/>
  <c r="R54" i="3"/>
  <c r="F54" i="3" s="1"/>
  <c r="G54" i="3" s="1"/>
  <c r="H54" i="3" s="1"/>
  <c r="I54" i="2"/>
  <c r="BI54" i="2"/>
  <c r="AZ53" i="2"/>
  <c r="BA53" i="2" s="1"/>
  <c r="K53" i="2" s="1"/>
  <c r="L53" i="2" s="1"/>
  <c r="M53" i="2" s="1"/>
  <c r="BJ54" i="2"/>
  <c r="J54" i="2" s="1"/>
  <c r="X55" i="2"/>
  <c r="Y55" i="2" s="1"/>
  <c r="AO55" i="2"/>
  <c r="AS54" i="2"/>
  <c r="AT54" i="2" s="1"/>
  <c r="AL54" i="2"/>
  <c r="AM54" i="2" s="1"/>
  <c r="T56" i="2"/>
  <c r="AH55" i="2"/>
  <c r="AV54" i="2"/>
  <c r="AG54" i="2"/>
  <c r="E54" i="2"/>
  <c r="AC54" i="2"/>
  <c r="AB54" i="2"/>
  <c r="BE54" i="2"/>
  <c r="BD54" i="2"/>
  <c r="BC55" i="2" l="1"/>
  <c r="BG54" i="2"/>
  <c r="BH54" i="2" s="1"/>
  <c r="D55" i="3"/>
  <c r="M55" i="3" s="1"/>
  <c r="S55" i="3"/>
  <c r="I55" i="3" s="1"/>
  <c r="J55" i="3" s="1"/>
  <c r="K55" i="3" s="1"/>
  <c r="AA55" i="2"/>
  <c r="AE54" i="2"/>
  <c r="AF54" i="2" s="1"/>
  <c r="G55" i="2"/>
  <c r="AU55" i="2"/>
  <c r="D56" i="2"/>
  <c r="Z56" i="2"/>
  <c r="BB54" i="2"/>
  <c r="N54" i="2" s="1"/>
  <c r="O54" i="2" s="1"/>
  <c r="P54" i="2" s="1"/>
  <c r="H54" i="2"/>
  <c r="R54" i="2" s="1"/>
  <c r="AN55" i="2"/>
  <c r="F55" i="2"/>
  <c r="Q55" i="3"/>
  <c r="P55" i="3"/>
  <c r="AP55" i="2"/>
  <c r="AX54" i="2"/>
  <c r="AW54" i="2"/>
  <c r="AJ55" i="2"/>
  <c r="U56" i="2"/>
  <c r="V56" i="2"/>
  <c r="AI55" i="2"/>
  <c r="AQ55" i="2"/>
  <c r="R55" i="3" l="1"/>
  <c r="F55" i="3" s="1"/>
  <c r="G55" i="3" s="1"/>
  <c r="H55" i="3" s="1"/>
  <c r="T56" i="3"/>
  <c r="E56" i="3" s="1"/>
  <c r="O56" i="3"/>
  <c r="BI55" i="2"/>
  <c r="I55" i="2"/>
  <c r="AZ54" i="2"/>
  <c r="BA54" i="2" s="1"/>
  <c r="K54" i="2" s="1"/>
  <c r="L54" i="2" s="1"/>
  <c r="M54" i="2" s="1"/>
  <c r="BJ55" i="2"/>
  <c r="J55" i="2" s="1"/>
  <c r="AV55" i="2"/>
  <c r="AH56" i="2"/>
  <c r="AS55" i="2"/>
  <c r="AT55" i="2" s="1"/>
  <c r="AO56" i="2"/>
  <c r="T57" i="2"/>
  <c r="AL55" i="2"/>
  <c r="AM55" i="2" s="1"/>
  <c r="X56" i="2"/>
  <c r="Y56" i="2" s="1"/>
  <c r="E55" i="2"/>
  <c r="AG55" i="2"/>
  <c r="BE55" i="2"/>
  <c r="BD55" i="2"/>
  <c r="AC55" i="2"/>
  <c r="AB55" i="2"/>
  <c r="BC56" i="2" l="1"/>
  <c r="BG55" i="2"/>
  <c r="BH55" i="2" s="1"/>
  <c r="S56" i="3"/>
  <c r="I56" i="3" s="1"/>
  <c r="J56" i="3" s="1"/>
  <c r="K56" i="3" s="1"/>
  <c r="D56" i="3"/>
  <c r="M56" i="3" s="1"/>
  <c r="AA56" i="2"/>
  <c r="AE55" i="2"/>
  <c r="AF55" i="2" s="1"/>
  <c r="G56" i="2"/>
  <c r="AU56" i="2"/>
  <c r="D57" i="2"/>
  <c r="Z57" i="2"/>
  <c r="AN56" i="2"/>
  <c r="F56" i="2"/>
  <c r="BB55" i="2"/>
  <c r="N55" i="2" s="1"/>
  <c r="O55" i="2" s="1"/>
  <c r="P55" i="2" s="1"/>
  <c r="H55" i="2"/>
  <c r="R55" i="2" s="1"/>
  <c r="AW55" i="2"/>
  <c r="V57" i="2"/>
  <c r="AQ56" i="2"/>
  <c r="AI56" i="2"/>
  <c r="Q56" i="3"/>
  <c r="AJ56" i="2"/>
  <c r="AX55" i="2"/>
  <c r="U57" i="2"/>
  <c r="AP56" i="2"/>
  <c r="P56" i="3"/>
  <c r="O57" i="3" l="1"/>
  <c r="T57" i="3"/>
  <c r="E57" i="3" s="1"/>
  <c r="R56" i="3"/>
  <c r="F56" i="3" s="1"/>
  <c r="G56" i="3" s="1"/>
  <c r="H56" i="3" s="1"/>
  <c r="BI56" i="2"/>
  <c r="I56" i="2"/>
  <c r="AV56" i="2"/>
  <c r="AZ55" i="2"/>
  <c r="BA55" i="2" s="1"/>
  <c r="K55" i="2" s="1"/>
  <c r="L55" i="2" s="1"/>
  <c r="M55" i="2" s="1"/>
  <c r="BJ56" i="2"/>
  <c r="J56" i="2" s="1"/>
  <c r="X57" i="2"/>
  <c r="Y57" i="2" s="1"/>
  <c r="AL56" i="2"/>
  <c r="AM56" i="2" s="1"/>
  <c r="AS56" i="2"/>
  <c r="AT56" i="2" s="1"/>
  <c r="AO57" i="2"/>
  <c r="T58" i="2"/>
  <c r="AH57" i="2"/>
  <c r="AG56" i="2"/>
  <c r="E56" i="2"/>
  <c r="AC56" i="2"/>
  <c r="BD56" i="2"/>
  <c r="AB56" i="2"/>
  <c r="BE56" i="2"/>
  <c r="BG56" i="2" l="1"/>
  <c r="BH56" i="2" s="1"/>
  <c r="BC57" i="2"/>
  <c r="S57" i="3"/>
  <c r="I57" i="3" s="1"/>
  <c r="J57" i="3" s="1"/>
  <c r="K57" i="3" s="1"/>
  <c r="D57" i="3"/>
  <c r="M57" i="3" s="1"/>
  <c r="AE56" i="2"/>
  <c r="AF56" i="2" s="1"/>
  <c r="AA57" i="2"/>
  <c r="AN57" i="2"/>
  <c r="F57" i="2"/>
  <c r="AU57" i="2"/>
  <c r="G57" i="2"/>
  <c r="Z58" i="2"/>
  <c r="D58" i="2"/>
  <c r="BB56" i="2"/>
  <c r="N56" i="2" s="1"/>
  <c r="O56" i="2" s="1"/>
  <c r="P56" i="2" s="1"/>
  <c r="H56" i="2"/>
  <c r="R56" i="2" s="1"/>
  <c r="AQ57" i="2"/>
  <c r="Q57" i="3"/>
  <c r="AW56" i="2"/>
  <c r="P57" i="3"/>
  <c r="AX56" i="2"/>
  <c r="U58" i="2"/>
  <c r="V58" i="2"/>
  <c r="AP57" i="2"/>
  <c r="AI57" i="2"/>
  <c r="AJ57" i="2"/>
  <c r="O58" i="3" l="1"/>
  <c r="R57" i="3"/>
  <c r="F57" i="3" s="1"/>
  <c r="G57" i="3" s="1"/>
  <c r="H57" i="3" s="1"/>
  <c r="T58" i="3"/>
  <c r="E58" i="3" s="1"/>
  <c r="I57" i="2"/>
  <c r="BI57" i="2"/>
  <c r="AS57" i="2"/>
  <c r="AT57" i="2" s="1"/>
  <c r="X58" i="2"/>
  <c r="Y58" i="2" s="1"/>
  <c r="T59" i="2"/>
  <c r="AL57" i="2"/>
  <c r="AM57" i="2" s="1"/>
  <c r="AH58" i="2"/>
  <c r="AZ56" i="2"/>
  <c r="BA56" i="2" s="1"/>
  <c r="K56" i="2" s="1"/>
  <c r="L56" i="2" s="1"/>
  <c r="M56" i="2" s="1"/>
  <c r="BJ57" i="2"/>
  <c r="J57" i="2" s="1"/>
  <c r="AV57" i="2"/>
  <c r="AO58" i="2"/>
  <c r="E57" i="2"/>
  <c r="AG57" i="2"/>
  <c r="AC57" i="2"/>
  <c r="AB57" i="2"/>
  <c r="BD57" i="2"/>
  <c r="BE57" i="2"/>
  <c r="BG57" i="2" l="1"/>
  <c r="BH57" i="2" s="1"/>
  <c r="BC58" i="2"/>
  <c r="S58" i="3"/>
  <c r="I58" i="3" s="1"/>
  <c r="J58" i="3" s="1"/>
  <c r="K58" i="3" s="1"/>
  <c r="D58" i="3"/>
  <c r="M58" i="3" s="1"/>
  <c r="AA58" i="2"/>
  <c r="AE57" i="2"/>
  <c r="AF57" i="2" s="1"/>
  <c r="D59" i="2"/>
  <c r="Z59" i="2"/>
  <c r="AN58" i="2"/>
  <c r="F58" i="2"/>
  <c r="AU58" i="2"/>
  <c r="G58" i="2"/>
  <c r="BB57" i="2"/>
  <c r="N57" i="2" s="1"/>
  <c r="O57" i="2" s="1"/>
  <c r="P57" i="2" s="1"/>
  <c r="H57" i="2"/>
  <c r="R57" i="2" s="1"/>
  <c r="U59" i="2"/>
  <c r="AJ58" i="2"/>
  <c r="AX57" i="2"/>
  <c r="Q58" i="3"/>
  <c r="V59" i="2"/>
  <c r="AQ58" i="2"/>
  <c r="AI58" i="2"/>
  <c r="AW57" i="2"/>
  <c r="AP58" i="2"/>
  <c r="P58" i="3"/>
  <c r="O59" i="3" l="1"/>
  <c r="R58" i="3"/>
  <c r="F58" i="3" s="1"/>
  <c r="G58" i="3" s="1"/>
  <c r="H58" i="3" s="1"/>
  <c r="T59" i="3"/>
  <c r="E59" i="3" s="1"/>
  <c r="I58" i="2"/>
  <c r="BI58" i="2"/>
  <c r="AZ57" i="2"/>
  <c r="BA57" i="2" s="1"/>
  <c r="K57" i="2" s="1"/>
  <c r="L57" i="2" s="1"/>
  <c r="M57" i="2" s="1"/>
  <c r="BJ58" i="2"/>
  <c r="J58" i="2" s="1"/>
  <c r="AH59" i="2"/>
  <c r="AS58" i="2"/>
  <c r="AT58" i="2" s="1"/>
  <c r="AO59" i="2"/>
  <c r="T60" i="2"/>
  <c r="AL58" i="2"/>
  <c r="AM58" i="2" s="1"/>
  <c r="AV58" i="2"/>
  <c r="X59" i="2"/>
  <c r="Y59" i="2" s="1"/>
  <c r="E58" i="2"/>
  <c r="AG58" i="2"/>
  <c r="AB58" i="2"/>
  <c r="BD58" i="2"/>
  <c r="BE58" i="2"/>
  <c r="AC58" i="2"/>
  <c r="BG58" i="2" l="1"/>
  <c r="BH58" i="2" s="1"/>
  <c r="BC59" i="2"/>
  <c r="S59" i="3"/>
  <c r="I59" i="3" s="1"/>
  <c r="J59" i="3" s="1"/>
  <c r="K59" i="3" s="1"/>
  <c r="D59" i="3"/>
  <c r="M59" i="3" s="1"/>
  <c r="AE58" i="2"/>
  <c r="AF58" i="2" s="1"/>
  <c r="AA59" i="2"/>
  <c r="Z60" i="2"/>
  <c r="D60" i="2"/>
  <c r="BB58" i="2"/>
  <c r="N58" i="2" s="1"/>
  <c r="O58" i="2" s="1"/>
  <c r="P58" i="2" s="1"/>
  <c r="H58" i="2"/>
  <c r="R58" i="2" s="1"/>
  <c r="G59" i="2"/>
  <c r="AU59" i="2"/>
  <c r="F59" i="2"/>
  <c r="AN59" i="2"/>
  <c r="AJ59" i="2"/>
  <c r="P59" i="3"/>
  <c r="AW58" i="2"/>
  <c r="AP59" i="2"/>
  <c r="U60" i="2"/>
  <c r="AQ59" i="2"/>
  <c r="V60" i="2"/>
  <c r="AX58" i="2"/>
  <c r="AI59" i="2"/>
  <c r="Q59" i="3"/>
  <c r="O60" i="3" l="1"/>
  <c r="T60" i="3"/>
  <c r="E60" i="3" s="1"/>
  <c r="R59" i="3"/>
  <c r="F59" i="3" s="1"/>
  <c r="G59" i="3" s="1"/>
  <c r="H59" i="3" s="1"/>
  <c r="BI59" i="2"/>
  <c r="I59" i="2"/>
  <c r="AZ58" i="2"/>
  <c r="BA58" i="2" s="1"/>
  <c r="K58" i="2" s="1"/>
  <c r="L58" i="2" s="1"/>
  <c r="M58" i="2" s="1"/>
  <c r="BJ59" i="2"/>
  <c r="J59" i="2" s="1"/>
  <c r="AL59" i="2"/>
  <c r="AM59" i="2" s="1"/>
  <c r="X60" i="2"/>
  <c r="Y60" i="2" s="1"/>
  <c r="AS59" i="2"/>
  <c r="AT59" i="2" s="1"/>
  <c r="T61" i="2"/>
  <c r="AO60" i="2"/>
  <c r="AH60" i="2"/>
  <c r="AV59" i="2"/>
  <c r="E59" i="2"/>
  <c r="AG59" i="2"/>
  <c r="AC59" i="2"/>
  <c r="BD59" i="2"/>
  <c r="BE59" i="2"/>
  <c r="AB59" i="2"/>
  <c r="BG59" i="2" l="1"/>
  <c r="BH59" i="2" s="1"/>
  <c r="BC60" i="2"/>
  <c r="S60" i="3"/>
  <c r="I60" i="3" s="1"/>
  <c r="J60" i="3" s="1"/>
  <c r="K60" i="3" s="1"/>
  <c r="D60" i="3"/>
  <c r="M60" i="3" s="1"/>
  <c r="AA60" i="2"/>
  <c r="AE59" i="2"/>
  <c r="AF59" i="2" s="1"/>
  <c r="D61" i="2"/>
  <c r="Z61" i="2"/>
  <c r="G60" i="2"/>
  <c r="AU60" i="2"/>
  <c r="H59" i="2"/>
  <c r="R59" i="2" s="1"/>
  <c r="BB59" i="2"/>
  <c r="N59" i="2" s="1"/>
  <c r="O59" i="2" s="1"/>
  <c r="P59" i="2" s="1"/>
  <c r="F60" i="2"/>
  <c r="AN60" i="2"/>
  <c r="P60" i="3"/>
  <c r="AX59" i="2"/>
  <c r="AJ60" i="2"/>
  <c r="Q60" i="3"/>
  <c r="V61" i="2"/>
  <c r="AW59" i="2"/>
  <c r="AI60" i="2"/>
  <c r="U61" i="2"/>
  <c r="AP60" i="2"/>
  <c r="AQ60" i="2"/>
  <c r="T61" i="3" l="1"/>
  <c r="E61" i="3" s="1"/>
  <c r="R60" i="3"/>
  <c r="F60" i="3" s="1"/>
  <c r="G60" i="3" s="1"/>
  <c r="H60" i="3" s="1"/>
  <c r="O61" i="3"/>
  <c r="BI60" i="2"/>
  <c r="I60" i="2"/>
  <c r="AV60" i="2"/>
  <c r="AZ59" i="2"/>
  <c r="BA59" i="2" s="1"/>
  <c r="K59" i="2" s="1"/>
  <c r="L59" i="2" s="1"/>
  <c r="M59" i="2" s="1"/>
  <c r="BJ60" i="2"/>
  <c r="J60" i="2" s="1"/>
  <c r="AH61" i="2"/>
  <c r="AS60" i="2"/>
  <c r="AT60" i="2" s="1"/>
  <c r="T62" i="2"/>
  <c r="AO61" i="2"/>
  <c r="AL60" i="2"/>
  <c r="AM60" i="2" s="1"/>
  <c r="X61" i="2"/>
  <c r="Y61" i="2" s="1"/>
  <c r="AG60" i="2"/>
  <c r="E60" i="2"/>
  <c r="AC60" i="2"/>
  <c r="AB60" i="2"/>
  <c r="BD60" i="2"/>
  <c r="BE60" i="2"/>
  <c r="BG60" i="2" l="1"/>
  <c r="BH60" i="2" s="1"/>
  <c r="BC61" i="2"/>
  <c r="D61" i="3"/>
  <c r="M61" i="3" s="1"/>
  <c r="S61" i="3"/>
  <c r="I61" i="3" s="1"/>
  <c r="J61" i="3" s="1"/>
  <c r="K61" i="3" s="1"/>
  <c r="AA61" i="2"/>
  <c r="AE60" i="2"/>
  <c r="AF60" i="2" s="1"/>
  <c r="G61" i="2"/>
  <c r="AU61" i="2"/>
  <c r="F61" i="2"/>
  <c r="AN61" i="2"/>
  <c r="Z62" i="2"/>
  <c r="D62" i="2"/>
  <c r="BB60" i="2"/>
  <c r="N60" i="2" s="1"/>
  <c r="O60" i="2" s="1"/>
  <c r="P60" i="2" s="1"/>
  <c r="H60" i="2"/>
  <c r="R60" i="2" s="1"/>
  <c r="U62" i="2"/>
  <c r="P61" i="3"/>
  <c r="AI61" i="2"/>
  <c r="AW60" i="2"/>
  <c r="V62" i="2"/>
  <c r="AJ61" i="2"/>
  <c r="AQ61" i="2"/>
  <c r="AX60" i="2"/>
  <c r="AP61" i="2"/>
  <c r="Q61" i="3"/>
  <c r="T62" i="3" l="1"/>
  <c r="E62" i="3" s="1"/>
  <c r="R61" i="3"/>
  <c r="F61" i="3" s="1"/>
  <c r="G61" i="3" s="1"/>
  <c r="H61" i="3" s="1"/>
  <c r="O62" i="3"/>
  <c r="I61" i="2"/>
  <c r="BI61" i="2"/>
  <c r="AH62" i="2"/>
  <c r="AL61" i="2"/>
  <c r="AM61" i="2" s="1"/>
  <c r="T63" i="2"/>
  <c r="AS61" i="2"/>
  <c r="AT61" i="2" s="1"/>
  <c r="X62" i="2"/>
  <c r="Y62" i="2" s="1"/>
  <c r="AZ60" i="2"/>
  <c r="BA60" i="2" s="1"/>
  <c r="K60" i="2" s="1"/>
  <c r="L60" i="2" s="1"/>
  <c r="M60" i="2" s="1"/>
  <c r="BJ61" i="2"/>
  <c r="J61" i="2" s="1"/>
  <c r="AO62" i="2"/>
  <c r="AV61" i="2"/>
  <c r="E61" i="2"/>
  <c r="AG61" i="2"/>
  <c r="AB61" i="2"/>
  <c r="BD61" i="2"/>
  <c r="BE61" i="2"/>
  <c r="AC61" i="2"/>
  <c r="BC62" i="2" l="1"/>
  <c r="BG61" i="2"/>
  <c r="BH61" i="2" s="1"/>
  <c r="S62" i="3"/>
  <c r="I62" i="3" s="1"/>
  <c r="J62" i="3" s="1"/>
  <c r="K62" i="3" s="1"/>
  <c r="D62" i="3"/>
  <c r="M62" i="3" s="1"/>
  <c r="AE61" i="2"/>
  <c r="AF61" i="2" s="1"/>
  <c r="AA62" i="2"/>
  <c r="D63" i="2"/>
  <c r="Z63" i="2"/>
  <c r="H61" i="2"/>
  <c r="R61" i="2" s="1"/>
  <c r="BB61" i="2"/>
  <c r="N61" i="2" s="1"/>
  <c r="O61" i="2" s="1"/>
  <c r="P61" i="2" s="1"/>
  <c r="G62" i="2"/>
  <c r="AU62" i="2"/>
  <c r="F62" i="2"/>
  <c r="AN62" i="2"/>
  <c r="Q62" i="3"/>
  <c r="AP62" i="2"/>
  <c r="AI62" i="2"/>
  <c r="P62" i="3"/>
  <c r="AW61" i="2"/>
  <c r="AQ62" i="2"/>
  <c r="AX61" i="2"/>
  <c r="AJ62" i="2"/>
  <c r="U63" i="2"/>
  <c r="V63" i="2"/>
  <c r="O63" i="3" l="1"/>
  <c r="T63" i="3"/>
  <c r="E63" i="3" s="1"/>
  <c r="R62" i="3"/>
  <c r="F62" i="3" s="1"/>
  <c r="G62" i="3" s="1"/>
  <c r="H62" i="3" s="1"/>
  <c r="I62" i="2"/>
  <c r="BI62" i="2"/>
  <c r="AO63" i="2"/>
  <c r="X63" i="2"/>
  <c r="Y63" i="2" s="1"/>
  <c r="AS62" i="2"/>
  <c r="AT62" i="2" s="1"/>
  <c r="AL62" i="2"/>
  <c r="AM62" i="2" s="1"/>
  <c r="AV62" i="2"/>
  <c r="T64" i="2"/>
  <c r="AZ61" i="2"/>
  <c r="BA61" i="2" s="1"/>
  <c r="K61" i="2" s="1"/>
  <c r="L61" i="2" s="1"/>
  <c r="M61" i="2" s="1"/>
  <c r="BJ62" i="2"/>
  <c r="J62" i="2" s="1"/>
  <c r="AH63" i="2"/>
  <c r="AG62" i="2"/>
  <c r="E62" i="2"/>
  <c r="AB62" i="2"/>
  <c r="BD62" i="2"/>
  <c r="BE62" i="2"/>
  <c r="AC62" i="2"/>
  <c r="BG62" i="2" l="1"/>
  <c r="BH62" i="2" s="1"/>
  <c r="BC63" i="2"/>
  <c r="D63" i="3"/>
  <c r="M63" i="3" s="1"/>
  <c r="S63" i="3"/>
  <c r="I63" i="3" s="1"/>
  <c r="J63" i="3" s="1"/>
  <c r="K63" i="3" s="1"/>
  <c r="AA63" i="2"/>
  <c r="AE62" i="2"/>
  <c r="AF62" i="2" s="1"/>
  <c r="D64" i="2"/>
  <c r="Z64" i="2"/>
  <c r="H62" i="2"/>
  <c r="R62" i="2" s="1"/>
  <c r="BB62" i="2"/>
  <c r="N62" i="2" s="1"/>
  <c r="O62" i="2" s="1"/>
  <c r="P62" i="2" s="1"/>
  <c r="F63" i="2"/>
  <c r="AN63" i="2"/>
  <c r="AU63" i="2"/>
  <c r="G63" i="2"/>
  <c r="AW62" i="2"/>
  <c r="V64" i="2"/>
  <c r="AJ63" i="2"/>
  <c r="U64" i="2"/>
  <c r="AP63" i="2"/>
  <c r="AQ63" i="2"/>
  <c r="AI63" i="2"/>
  <c r="P63" i="3"/>
  <c r="Q63" i="3"/>
  <c r="AX62" i="2"/>
  <c r="O64" i="3" l="1"/>
  <c r="R63" i="3"/>
  <c r="F63" i="3" s="1"/>
  <c r="G63" i="3" s="1"/>
  <c r="H63" i="3" s="1"/>
  <c r="T64" i="3"/>
  <c r="E64" i="3" s="1"/>
  <c r="I63" i="2"/>
  <c r="BI63" i="2"/>
  <c r="AV63" i="2"/>
  <c r="AO64" i="2"/>
  <c r="AL63" i="2"/>
  <c r="AM63" i="2" s="1"/>
  <c r="AH64" i="2"/>
  <c r="X64" i="2"/>
  <c r="Y64" i="2" s="1"/>
  <c r="AZ62" i="2"/>
  <c r="BA62" i="2" s="1"/>
  <c r="K62" i="2" s="1"/>
  <c r="L62" i="2" s="1"/>
  <c r="M62" i="2" s="1"/>
  <c r="BJ63" i="2"/>
  <c r="J63" i="2" s="1"/>
  <c r="AS63" i="2"/>
  <c r="AT63" i="2" s="1"/>
  <c r="T65" i="2"/>
  <c r="AG63" i="2"/>
  <c r="E63" i="2"/>
  <c r="AB63" i="2"/>
  <c r="BE63" i="2"/>
  <c r="BD63" i="2"/>
  <c r="AC63" i="2"/>
  <c r="BC64" i="2" l="1"/>
  <c r="BG63" i="2"/>
  <c r="BH63" i="2" s="1"/>
  <c r="S64" i="3"/>
  <c r="I64" i="3" s="1"/>
  <c r="J64" i="3" s="1"/>
  <c r="K64" i="3" s="1"/>
  <c r="D64" i="3"/>
  <c r="M64" i="3" s="1"/>
  <c r="AE63" i="2"/>
  <c r="AF63" i="2" s="1"/>
  <c r="AA64" i="2"/>
  <c r="F64" i="2"/>
  <c r="AN64" i="2"/>
  <c r="Z65" i="2"/>
  <c r="D65" i="2"/>
  <c r="G64" i="2"/>
  <c r="AU64" i="2"/>
  <c r="BB63" i="2"/>
  <c r="N63" i="2" s="1"/>
  <c r="O63" i="2" s="1"/>
  <c r="P63" i="2" s="1"/>
  <c r="H63" i="2"/>
  <c r="R63" i="2" s="1"/>
  <c r="AI64" i="2"/>
  <c r="AW63" i="2"/>
  <c r="AQ64" i="2"/>
  <c r="V65" i="2"/>
  <c r="Q64" i="3"/>
  <c r="P64" i="3"/>
  <c r="U65" i="2"/>
  <c r="AJ64" i="2"/>
  <c r="AP64" i="2"/>
  <c r="AX63" i="2"/>
  <c r="R64" i="3" l="1"/>
  <c r="F64" i="3" s="1"/>
  <c r="G64" i="3" s="1"/>
  <c r="H64" i="3" s="1"/>
  <c r="T65" i="3"/>
  <c r="E65" i="3" s="1"/>
  <c r="O65" i="3"/>
  <c r="I64" i="2"/>
  <c r="BI64" i="2"/>
  <c r="AL64" i="2"/>
  <c r="AM64" i="2" s="1"/>
  <c r="AO65" i="2"/>
  <c r="AS64" i="2"/>
  <c r="AT64" i="2" s="1"/>
  <c r="AH65" i="2"/>
  <c r="AV64" i="2"/>
  <c r="T66" i="2"/>
  <c r="AZ63" i="2"/>
  <c r="BA63" i="2" s="1"/>
  <c r="K63" i="2" s="1"/>
  <c r="L63" i="2" s="1"/>
  <c r="M63" i="2" s="1"/>
  <c r="BJ64" i="2"/>
  <c r="J64" i="2" s="1"/>
  <c r="X65" i="2"/>
  <c r="Y65" i="2" s="1"/>
  <c r="AG64" i="2"/>
  <c r="E64" i="2"/>
  <c r="AC64" i="2"/>
  <c r="BD64" i="2"/>
  <c r="BE64" i="2"/>
  <c r="AB64" i="2"/>
  <c r="BG64" i="2" l="1"/>
  <c r="BH64" i="2" s="1"/>
  <c r="BC65" i="2"/>
  <c r="D65" i="3"/>
  <c r="M65" i="3" s="1"/>
  <c r="S65" i="3"/>
  <c r="I65" i="3" s="1"/>
  <c r="J65" i="3" s="1"/>
  <c r="K65" i="3" s="1"/>
  <c r="AA65" i="2"/>
  <c r="AE64" i="2"/>
  <c r="AF64" i="2" s="1"/>
  <c r="D66" i="2"/>
  <c r="Z66" i="2"/>
  <c r="BB64" i="2"/>
  <c r="N64" i="2" s="1"/>
  <c r="O64" i="2" s="1"/>
  <c r="P64" i="2" s="1"/>
  <c r="H64" i="2"/>
  <c r="R64" i="2" s="1"/>
  <c r="AN65" i="2"/>
  <c r="F65" i="2"/>
  <c r="AU65" i="2"/>
  <c r="G65" i="2"/>
  <c r="AX64" i="2"/>
  <c r="AW64" i="2"/>
  <c r="U66" i="2"/>
  <c r="AJ65" i="2"/>
  <c r="AI65" i="2"/>
  <c r="Q65" i="3"/>
  <c r="V66" i="2"/>
  <c r="P65" i="3"/>
  <c r="AQ65" i="2"/>
  <c r="AP65" i="2"/>
  <c r="O66" i="3" l="1"/>
  <c r="T66" i="3"/>
  <c r="E66" i="3" s="1"/>
  <c r="R65" i="3"/>
  <c r="F65" i="3" s="1"/>
  <c r="G65" i="3" s="1"/>
  <c r="H65" i="3" s="1"/>
  <c r="I65" i="2"/>
  <c r="BI65" i="2"/>
  <c r="AO66" i="2"/>
  <c r="AZ64" i="2"/>
  <c r="BA64" i="2" s="1"/>
  <c r="K64" i="2" s="1"/>
  <c r="L64" i="2" s="1"/>
  <c r="M64" i="2" s="1"/>
  <c r="BJ65" i="2"/>
  <c r="J65" i="2" s="1"/>
  <c r="AH66" i="2"/>
  <c r="T67" i="2"/>
  <c r="AS65" i="2"/>
  <c r="AT65" i="2" s="1"/>
  <c r="AL65" i="2"/>
  <c r="AM65" i="2" s="1"/>
  <c r="X66" i="2"/>
  <c r="Y66" i="2" s="1"/>
  <c r="AV65" i="2"/>
  <c r="AG65" i="2"/>
  <c r="E65" i="2"/>
  <c r="AB65" i="2"/>
  <c r="AC65" i="2"/>
  <c r="BD65" i="2"/>
  <c r="BE65" i="2"/>
  <c r="BG65" i="2" l="1"/>
  <c r="BH65" i="2" s="1"/>
  <c r="BC66" i="2"/>
  <c r="S66" i="3"/>
  <c r="I66" i="3" s="1"/>
  <c r="J66" i="3" s="1"/>
  <c r="K66" i="3" s="1"/>
  <c r="D66" i="3"/>
  <c r="M66" i="3" s="1"/>
  <c r="AA66" i="2"/>
  <c r="AE65" i="2"/>
  <c r="AF65" i="2" s="1"/>
  <c r="Z67" i="2"/>
  <c r="D67" i="2"/>
  <c r="AN66" i="2"/>
  <c r="F66" i="2"/>
  <c r="H65" i="2"/>
  <c r="R65" i="2" s="1"/>
  <c r="BB65" i="2"/>
  <c r="N65" i="2" s="1"/>
  <c r="O65" i="2" s="1"/>
  <c r="P65" i="2" s="1"/>
  <c r="AU66" i="2"/>
  <c r="G66" i="2"/>
  <c r="AX65" i="2"/>
  <c r="P66" i="3"/>
  <c r="Q66" i="3"/>
  <c r="AJ66" i="2"/>
  <c r="V67" i="2"/>
  <c r="U67" i="2"/>
  <c r="AI66" i="2"/>
  <c r="AQ66" i="2"/>
  <c r="AP66" i="2"/>
  <c r="AW65" i="2"/>
  <c r="O67" i="3" l="1"/>
  <c r="T67" i="3"/>
  <c r="E67" i="3" s="1"/>
  <c r="R66" i="3"/>
  <c r="F66" i="3" s="1"/>
  <c r="G66" i="3" s="1"/>
  <c r="H66" i="3" s="1"/>
  <c r="I66" i="2"/>
  <c r="BI66" i="2"/>
  <c r="AH67" i="2"/>
  <c r="AV66" i="2"/>
  <c r="AL66" i="2"/>
  <c r="AM66" i="2" s="1"/>
  <c r="AZ65" i="2"/>
  <c r="BA65" i="2" s="1"/>
  <c r="K65" i="2" s="1"/>
  <c r="L65" i="2" s="1"/>
  <c r="M65" i="2" s="1"/>
  <c r="BJ66" i="2"/>
  <c r="J66" i="2" s="1"/>
  <c r="T68" i="2"/>
  <c r="AO67" i="2"/>
  <c r="X67" i="2"/>
  <c r="Y67" i="2" s="1"/>
  <c r="AS66" i="2"/>
  <c r="AT66" i="2" s="1"/>
  <c r="AG66" i="2"/>
  <c r="E66" i="2"/>
  <c r="AB66" i="2"/>
  <c r="BE66" i="2"/>
  <c r="AC66" i="2"/>
  <c r="BD66" i="2"/>
  <c r="BC67" i="2" l="1"/>
  <c r="BG66" i="2"/>
  <c r="BH66" i="2" s="1"/>
  <c r="D67" i="3"/>
  <c r="M67" i="3" s="1"/>
  <c r="S67" i="3"/>
  <c r="I67" i="3" s="1"/>
  <c r="J67" i="3" s="1"/>
  <c r="K67" i="3" s="1"/>
  <c r="AA67" i="2"/>
  <c r="AE66" i="2"/>
  <c r="AF66" i="2" s="1"/>
  <c r="G67" i="2"/>
  <c r="AU67" i="2"/>
  <c r="D68" i="2"/>
  <c r="Z68" i="2"/>
  <c r="H66" i="2"/>
  <c r="R66" i="2" s="1"/>
  <c r="BB66" i="2"/>
  <c r="N66" i="2" s="1"/>
  <c r="O66" i="2" s="1"/>
  <c r="P66" i="2" s="1"/>
  <c r="F67" i="2"/>
  <c r="AN67" i="2"/>
  <c r="P67" i="3"/>
  <c r="U68" i="2"/>
  <c r="AJ67" i="2"/>
  <c r="AI67" i="2"/>
  <c r="AP67" i="2"/>
  <c r="Q67" i="3"/>
  <c r="V68" i="2"/>
  <c r="AX66" i="2"/>
  <c r="AQ67" i="2"/>
  <c r="AW66" i="2"/>
  <c r="T68" i="3" l="1"/>
  <c r="E68" i="3" s="1"/>
  <c r="R67" i="3"/>
  <c r="F67" i="3" s="1"/>
  <c r="G67" i="3" s="1"/>
  <c r="H67" i="3" s="1"/>
  <c r="O68" i="3"/>
  <c r="BI67" i="2"/>
  <c r="I67" i="2"/>
  <c r="X68" i="2"/>
  <c r="Y68" i="2" s="1"/>
  <c r="AS67" i="2"/>
  <c r="AT67" i="2" s="1"/>
  <c r="AV67" i="2"/>
  <c r="AO68" i="2"/>
  <c r="AZ66" i="2"/>
  <c r="BA66" i="2" s="1"/>
  <c r="K66" i="2" s="1"/>
  <c r="L66" i="2" s="1"/>
  <c r="M66" i="2" s="1"/>
  <c r="BJ67" i="2"/>
  <c r="J67" i="2" s="1"/>
  <c r="AL67" i="2"/>
  <c r="AM67" i="2" s="1"/>
  <c r="AH68" i="2"/>
  <c r="T69" i="2"/>
  <c r="AG67" i="2"/>
  <c r="E67" i="2"/>
  <c r="AB67" i="2"/>
  <c r="BD67" i="2"/>
  <c r="AC67" i="2"/>
  <c r="BE67" i="2"/>
  <c r="BC68" i="2" l="1"/>
  <c r="BG67" i="2"/>
  <c r="BH67" i="2" s="1"/>
  <c r="D68" i="3"/>
  <c r="M68" i="3" s="1"/>
  <c r="S68" i="3"/>
  <c r="I68" i="3" s="1"/>
  <c r="J68" i="3" s="1"/>
  <c r="K68" i="3" s="1"/>
  <c r="AA68" i="2"/>
  <c r="AE67" i="2"/>
  <c r="AF67" i="2" s="1"/>
  <c r="G68" i="2"/>
  <c r="AU68" i="2"/>
  <c r="BB67" i="2"/>
  <c r="N67" i="2" s="1"/>
  <c r="O67" i="2" s="1"/>
  <c r="P67" i="2" s="1"/>
  <c r="H67" i="2"/>
  <c r="R67" i="2" s="1"/>
  <c r="D69" i="2"/>
  <c r="Z69" i="2"/>
  <c r="AN68" i="2"/>
  <c r="F68" i="2"/>
  <c r="V69" i="2"/>
  <c r="AP68" i="2"/>
  <c r="P68" i="3"/>
  <c r="AJ68" i="2"/>
  <c r="AI68" i="2"/>
  <c r="AQ68" i="2"/>
  <c r="AX67" i="2"/>
  <c r="AW67" i="2"/>
  <c r="U69" i="2"/>
  <c r="Q68" i="3"/>
  <c r="T69" i="3" l="1"/>
  <c r="E69" i="3" s="1"/>
  <c r="R68" i="3"/>
  <c r="F68" i="3" s="1"/>
  <c r="G68" i="3" s="1"/>
  <c r="H68" i="3" s="1"/>
  <c r="O69" i="3"/>
  <c r="BI68" i="2"/>
  <c r="I68" i="2"/>
  <c r="AH69" i="2"/>
  <c r="AZ67" i="2"/>
  <c r="BA67" i="2" s="1"/>
  <c r="K67" i="2" s="1"/>
  <c r="L67" i="2" s="1"/>
  <c r="M67" i="2" s="1"/>
  <c r="BJ68" i="2"/>
  <c r="J68" i="2" s="1"/>
  <c r="AO69" i="2"/>
  <c r="AV68" i="2"/>
  <c r="AS68" i="2"/>
  <c r="AT68" i="2" s="1"/>
  <c r="X69" i="2"/>
  <c r="Y69" i="2" s="1"/>
  <c r="T70" i="2"/>
  <c r="AL68" i="2"/>
  <c r="AM68" i="2" s="1"/>
  <c r="AG68" i="2"/>
  <c r="E68" i="2"/>
  <c r="AB68" i="2"/>
  <c r="BE68" i="2"/>
  <c r="BD68" i="2"/>
  <c r="AC68" i="2"/>
  <c r="BG68" i="2" l="1"/>
  <c r="BH68" i="2" s="1"/>
  <c r="BC69" i="2"/>
  <c r="S69" i="3"/>
  <c r="I69" i="3" s="1"/>
  <c r="J69" i="3" s="1"/>
  <c r="K69" i="3" s="1"/>
  <c r="D69" i="3"/>
  <c r="M69" i="3" s="1"/>
  <c r="AE68" i="2"/>
  <c r="AF68" i="2" s="1"/>
  <c r="AA69" i="2"/>
  <c r="BB68" i="2"/>
  <c r="N68" i="2" s="1"/>
  <c r="O68" i="2" s="1"/>
  <c r="P68" i="2" s="1"/>
  <c r="H68" i="2"/>
  <c r="R68" i="2" s="1"/>
  <c r="G69" i="2"/>
  <c r="AU69" i="2"/>
  <c r="D70" i="2"/>
  <c r="Z70" i="2"/>
  <c r="F69" i="2"/>
  <c r="AN69" i="2"/>
  <c r="AW68" i="2"/>
  <c r="AQ69" i="2"/>
  <c r="AI69" i="2"/>
  <c r="AX68" i="2"/>
  <c r="V70" i="2"/>
  <c r="P69" i="3"/>
  <c r="U70" i="2"/>
  <c r="Q69" i="3"/>
  <c r="AJ69" i="2"/>
  <c r="AP69" i="2"/>
  <c r="O70" i="3" l="1"/>
  <c r="T70" i="3"/>
  <c r="E70" i="3" s="1"/>
  <c r="R69" i="3"/>
  <c r="F69" i="3" s="1"/>
  <c r="G69" i="3" s="1"/>
  <c r="H69" i="3" s="1"/>
  <c r="BI69" i="2"/>
  <c r="I69" i="2"/>
  <c r="AL69" i="2"/>
  <c r="AM69" i="2" s="1"/>
  <c r="T71" i="2"/>
  <c r="AO70" i="2"/>
  <c r="AS69" i="2"/>
  <c r="AT69" i="2" s="1"/>
  <c r="X70" i="2"/>
  <c r="Y70" i="2" s="1"/>
  <c r="AH70" i="2"/>
  <c r="AZ68" i="2"/>
  <c r="BA68" i="2" s="1"/>
  <c r="K68" i="2" s="1"/>
  <c r="L68" i="2" s="1"/>
  <c r="M68" i="2" s="1"/>
  <c r="BJ69" i="2"/>
  <c r="J69" i="2" s="1"/>
  <c r="AV69" i="2"/>
  <c r="E69" i="2"/>
  <c r="AG69" i="2"/>
  <c r="AC69" i="2"/>
  <c r="AB69" i="2"/>
  <c r="BE69" i="2"/>
  <c r="BD69" i="2"/>
  <c r="BG69" i="2" l="1"/>
  <c r="BH69" i="2" s="1"/>
  <c r="BC70" i="2"/>
  <c r="S70" i="3"/>
  <c r="I70" i="3" s="1"/>
  <c r="J70" i="3" s="1"/>
  <c r="K70" i="3" s="1"/>
  <c r="D70" i="3"/>
  <c r="M70" i="3" s="1"/>
  <c r="AA70" i="2"/>
  <c r="AE69" i="2"/>
  <c r="AF69" i="2" s="1"/>
  <c r="G70" i="2"/>
  <c r="AU70" i="2"/>
  <c r="H69" i="2"/>
  <c r="R69" i="2" s="1"/>
  <c r="BB69" i="2"/>
  <c r="N69" i="2" s="1"/>
  <c r="O69" i="2" s="1"/>
  <c r="P69" i="2" s="1"/>
  <c r="D71" i="2"/>
  <c r="Z71" i="2"/>
  <c r="AN70" i="2"/>
  <c r="F70" i="2"/>
  <c r="U71" i="2"/>
  <c r="AI70" i="2"/>
  <c r="AX69" i="2"/>
  <c r="V71" i="2"/>
  <c r="AJ70" i="2"/>
  <c r="AW69" i="2"/>
  <c r="P70" i="3"/>
  <c r="AP70" i="2"/>
  <c r="Q70" i="3"/>
  <c r="AQ70" i="2"/>
  <c r="O71" i="3" l="1"/>
  <c r="T71" i="3"/>
  <c r="E71" i="3" s="1"/>
  <c r="R70" i="3"/>
  <c r="F70" i="3" s="1"/>
  <c r="G70" i="3" s="1"/>
  <c r="H70" i="3" s="1"/>
  <c r="I70" i="2"/>
  <c r="BI70" i="2"/>
  <c r="AO71" i="2"/>
  <c r="AS70" i="2"/>
  <c r="AT70" i="2" s="1"/>
  <c r="AV70" i="2"/>
  <c r="AL70" i="2"/>
  <c r="AM70" i="2" s="1"/>
  <c r="X71" i="2"/>
  <c r="Y71" i="2" s="1"/>
  <c r="AZ69" i="2"/>
  <c r="BA69" i="2" s="1"/>
  <c r="K69" i="2" s="1"/>
  <c r="L69" i="2" s="1"/>
  <c r="M69" i="2" s="1"/>
  <c r="BJ70" i="2"/>
  <c r="J70" i="2" s="1"/>
  <c r="T72" i="2"/>
  <c r="AH71" i="2"/>
  <c r="AG70" i="2"/>
  <c r="E70" i="2"/>
  <c r="AC70" i="2"/>
  <c r="AB70" i="2"/>
  <c r="BD70" i="2"/>
  <c r="BE70" i="2"/>
  <c r="BG70" i="2" l="1"/>
  <c r="BH70" i="2" s="1"/>
  <c r="BC71" i="2"/>
  <c r="S71" i="3"/>
  <c r="I71" i="3" s="1"/>
  <c r="J71" i="3" s="1"/>
  <c r="K71" i="3" s="1"/>
  <c r="D71" i="3"/>
  <c r="M71" i="3" s="1"/>
  <c r="AA71" i="2"/>
  <c r="AE70" i="2"/>
  <c r="AF70" i="2" s="1"/>
  <c r="H70" i="2"/>
  <c r="R70" i="2" s="1"/>
  <c r="BB70" i="2"/>
  <c r="N70" i="2" s="1"/>
  <c r="O70" i="2" s="1"/>
  <c r="P70" i="2" s="1"/>
  <c r="F71" i="2"/>
  <c r="AN71" i="2"/>
  <c r="D72" i="2"/>
  <c r="Z72" i="2"/>
  <c r="G71" i="2"/>
  <c r="AU71" i="2"/>
  <c r="V72" i="2"/>
  <c r="AI71" i="2"/>
  <c r="AP71" i="2"/>
  <c r="AX70" i="2"/>
  <c r="AJ71" i="2"/>
  <c r="U72" i="2"/>
  <c r="AQ71" i="2"/>
  <c r="Q71" i="3"/>
  <c r="P71" i="3"/>
  <c r="AW70" i="2"/>
  <c r="T72" i="3" l="1"/>
  <c r="E72" i="3" s="1"/>
  <c r="R71" i="3"/>
  <c r="F71" i="3" s="1"/>
  <c r="G71" i="3" s="1"/>
  <c r="H71" i="3" s="1"/>
  <c r="O72" i="3"/>
  <c r="I71" i="2"/>
  <c r="BI71" i="2"/>
  <c r="AV71" i="2"/>
  <c r="X72" i="2"/>
  <c r="Y72" i="2" s="1"/>
  <c r="T73" i="2"/>
  <c r="AZ70" i="2"/>
  <c r="BA70" i="2" s="1"/>
  <c r="K70" i="2" s="1"/>
  <c r="L70" i="2" s="1"/>
  <c r="M70" i="2" s="1"/>
  <c r="BJ71" i="2"/>
  <c r="J71" i="2" s="1"/>
  <c r="AH72" i="2"/>
  <c r="AS71" i="2"/>
  <c r="AT71" i="2" s="1"/>
  <c r="AO72" i="2"/>
  <c r="AL71" i="2"/>
  <c r="AM71" i="2" s="1"/>
  <c r="AG71" i="2"/>
  <c r="E71" i="2"/>
  <c r="BD71" i="2"/>
  <c r="AC71" i="2"/>
  <c r="BE71" i="2"/>
  <c r="AB71" i="2"/>
  <c r="BC72" i="2" l="1"/>
  <c r="BG71" i="2"/>
  <c r="BH71" i="2" s="1"/>
  <c r="D72" i="3"/>
  <c r="M72" i="3" s="1"/>
  <c r="S72" i="3"/>
  <c r="I72" i="3" s="1"/>
  <c r="J72" i="3" s="1"/>
  <c r="K72" i="3" s="1"/>
  <c r="AE71" i="2"/>
  <c r="AF71" i="2" s="1"/>
  <c r="AA72" i="2"/>
  <c r="F72" i="2"/>
  <c r="AN72" i="2"/>
  <c r="Z73" i="2"/>
  <c r="D73" i="2"/>
  <c r="AU72" i="2"/>
  <c r="G72" i="2"/>
  <c r="BB71" i="2"/>
  <c r="N71" i="2" s="1"/>
  <c r="O71" i="2" s="1"/>
  <c r="P71" i="2" s="1"/>
  <c r="H71" i="2"/>
  <c r="R71" i="2" s="1"/>
  <c r="AW71" i="2"/>
  <c r="AJ72" i="2"/>
  <c r="AX71" i="2"/>
  <c r="Q72" i="3"/>
  <c r="AI72" i="2"/>
  <c r="U73" i="2"/>
  <c r="AQ72" i="2"/>
  <c r="V73" i="2"/>
  <c r="P72" i="3"/>
  <c r="AP72" i="2"/>
  <c r="O73" i="3" l="1"/>
  <c r="T73" i="3"/>
  <c r="E73" i="3" s="1"/>
  <c r="R72" i="3"/>
  <c r="F72" i="3" s="1"/>
  <c r="G72" i="3" s="1"/>
  <c r="H72" i="3" s="1"/>
  <c r="I72" i="2"/>
  <c r="BI72" i="2"/>
  <c r="X73" i="2"/>
  <c r="Y73" i="2" s="1"/>
  <c r="AO73" i="2"/>
  <c r="AS72" i="2"/>
  <c r="AT72" i="2" s="1"/>
  <c r="AL72" i="2"/>
  <c r="AM72" i="2" s="1"/>
  <c r="AZ71" i="2"/>
  <c r="BA71" i="2" s="1"/>
  <c r="K71" i="2" s="1"/>
  <c r="L71" i="2" s="1"/>
  <c r="M71" i="2" s="1"/>
  <c r="BJ72" i="2"/>
  <c r="J72" i="2" s="1"/>
  <c r="AH73" i="2"/>
  <c r="AV72" i="2"/>
  <c r="T74" i="2"/>
  <c r="E72" i="2"/>
  <c r="AG72" i="2"/>
  <c r="BE72" i="2"/>
  <c r="BD72" i="2"/>
  <c r="AC72" i="2"/>
  <c r="AB72" i="2"/>
  <c r="BC73" i="2" l="1"/>
  <c r="BG72" i="2"/>
  <c r="BH72" i="2" s="1"/>
  <c r="D73" i="3"/>
  <c r="M73" i="3" s="1"/>
  <c r="S73" i="3"/>
  <c r="I73" i="3" s="1"/>
  <c r="J73" i="3" s="1"/>
  <c r="K73" i="3" s="1"/>
  <c r="AA73" i="2"/>
  <c r="AE72" i="2"/>
  <c r="AF72" i="2" s="1"/>
  <c r="F73" i="2"/>
  <c r="AN73" i="2"/>
  <c r="G73" i="2"/>
  <c r="AU73" i="2"/>
  <c r="Z74" i="2"/>
  <c r="D74" i="2"/>
  <c r="H72" i="2"/>
  <c r="R72" i="2" s="1"/>
  <c r="BB72" i="2"/>
  <c r="N72" i="2" s="1"/>
  <c r="O72" i="2" s="1"/>
  <c r="P72" i="2" s="1"/>
  <c r="U74" i="2"/>
  <c r="V74" i="2"/>
  <c r="AX72" i="2"/>
  <c r="P73" i="3"/>
  <c r="AW72" i="2"/>
  <c r="AI73" i="2"/>
  <c r="AP73" i="2"/>
  <c r="Q73" i="3"/>
  <c r="AQ73" i="2"/>
  <c r="AJ73" i="2"/>
  <c r="T74" i="3" l="1"/>
  <c r="E74" i="3" s="1"/>
  <c r="R73" i="3"/>
  <c r="F73" i="3" s="1"/>
  <c r="G73" i="3" s="1"/>
  <c r="H73" i="3" s="1"/>
  <c r="O74" i="3"/>
  <c r="BI73" i="2"/>
  <c r="I73" i="2"/>
  <c r="X74" i="2"/>
  <c r="Y74" i="2" s="1"/>
  <c r="T75" i="2"/>
  <c r="AO74" i="2"/>
  <c r="AH74" i="2"/>
  <c r="AS73" i="2"/>
  <c r="AT73" i="2" s="1"/>
  <c r="AV73" i="2"/>
  <c r="AL73" i="2"/>
  <c r="AM73" i="2" s="1"/>
  <c r="AZ72" i="2"/>
  <c r="BA72" i="2" s="1"/>
  <c r="K72" i="2" s="1"/>
  <c r="L72" i="2" s="1"/>
  <c r="M72" i="2" s="1"/>
  <c r="BJ73" i="2"/>
  <c r="J73" i="2" s="1"/>
  <c r="E73" i="2"/>
  <c r="AG73" i="2"/>
  <c r="AC73" i="2"/>
  <c r="AB73" i="2"/>
  <c r="BE73" i="2"/>
  <c r="BD73" i="2"/>
  <c r="BC74" i="2" l="1"/>
  <c r="BG73" i="2"/>
  <c r="BH73" i="2" s="1"/>
  <c r="S74" i="3"/>
  <c r="I74" i="3" s="1"/>
  <c r="J74" i="3" s="1"/>
  <c r="K74" i="3" s="1"/>
  <c r="D74" i="3"/>
  <c r="M74" i="3" s="1"/>
  <c r="AA74" i="2"/>
  <c r="AE73" i="2"/>
  <c r="AF73" i="2" s="1"/>
  <c r="H73" i="2"/>
  <c r="R73" i="2" s="1"/>
  <c r="BB73" i="2"/>
  <c r="N73" i="2" s="1"/>
  <c r="O73" i="2" s="1"/>
  <c r="P73" i="2" s="1"/>
  <c r="AN74" i="2"/>
  <c r="F74" i="2"/>
  <c r="G74" i="2"/>
  <c r="AU74" i="2"/>
  <c r="D75" i="2"/>
  <c r="Z75" i="2"/>
  <c r="Q74" i="3"/>
  <c r="AW73" i="2"/>
  <c r="V75" i="2"/>
  <c r="AP74" i="2"/>
  <c r="P74" i="3"/>
  <c r="U75" i="2"/>
  <c r="AX73" i="2"/>
  <c r="AQ74" i="2"/>
  <c r="AI74" i="2"/>
  <c r="AJ74" i="2"/>
  <c r="T75" i="3" l="1"/>
  <c r="E75" i="3" s="1"/>
  <c r="R74" i="3"/>
  <c r="F74" i="3" s="1"/>
  <c r="G74" i="3" s="1"/>
  <c r="H74" i="3" s="1"/>
  <c r="O75" i="3"/>
  <c r="I74" i="2"/>
  <c r="BI74" i="2"/>
  <c r="T76" i="2"/>
  <c r="AL74" i="2"/>
  <c r="AM74" i="2" s="1"/>
  <c r="X75" i="2"/>
  <c r="Y75" i="2" s="1"/>
  <c r="AH75" i="2"/>
  <c r="AO75" i="2"/>
  <c r="AS74" i="2"/>
  <c r="AT74" i="2" s="1"/>
  <c r="AZ73" i="2"/>
  <c r="BA73" i="2" s="1"/>
  <c r="K73" i="2" s="1"/>
  <c r="L73" i="2" s="1"/>
  <c r="M73" i="2" s="1"/>
  <c r="BJ74" i="2"/>
  <c r="J74" i="2" s="1"/>
  <c r="AV74" i="2"/>
  <c r="E74" i="2"/>
  <c r="AG74" i="2"/>
  <c r="AC74" i="2"/>
  <c r="BE74" i="2"/>
  <c r="BD74" i="2"/>
  <c r="AB74" i="2"/>
  <c r="BC75" i="2" l="1"/>
  <c r="BG74" i="2"/>
  <c r="BH74" i="2" s="1"/>
  <c r="S75" i="3"/>
  <c r="I75" i="3" s="1"/>
  <c r="J75" i="3" s="1"/>
  <c r="K75" i="3" s="1"/>
  <c r="D75" i="3"/>
  <c r="M75" i="3" s="1"/>
  <c r="AE74" i="2"/>
  <c r="AF74" i="2" s="1"/>
  <c r="AA75" i="2"/>
  <c r="AU75" i="2"/>
  <c r="G75" i="2"/>
  <c r="F75" i="2"/>
  <c r="AN75" i="2"/>
  <c r="H74" i="2"/>
  <c r="R74" i="2" s="1"/>
  <c r="BB74" i="2"/>
  <c r="N74" i="2" s="1"/>
  <c r="O74" i="2" s="1"/>
  <c r="P74" i="2" s="1"/>
  <c r="D76" i="2"/>
  <c r="Z76" i="2"/>
  <c r="Q75" i="3"/>
  <c r="AX74" i="2"/>
  <c r="AP75" i="2"/>
  <c r="AW74" i="2"/>
  <c r="P75" i="3"/>
  <c r="V76" i="2"/>
  <c r="AQ75" i="2"/>
  <c r="U76" i="2"/>
  <c r="AI75" i="2"/>
  <c r="AJ75" i="2"/>
  <c r="O76" i="3" l="1"/>
  <c r="T76" i="3"/>
  <c r="E76" i="3" s="1"/>
  <c r="R75" i="3"/>
  <c r="F75" i="3" s="1"/>
  <c r="G75" i="3" s="1"/>
  <c r="H75" i="3" s="1"/>
  <c r="BI75" i="2"/>
  <c r="I75" i="2"/>
  <c r="AH76" i="2"/>
  <c r="AL75" i="2"/>
  <c r="AM75" i="2" s="1"/>
  <c r="AZ74" i="2"/>
  <c r="BA74" i="2" s="1"/>
  <c r="K74" i="2" s="1"/>
  <c r="L74" i="2" s="1"/>
  <c r="M74" i="2" s="1"/>
  <c r="BJ75" i="2"/>
  <c r="J75" i="2" s="1"/>
  <c r="AS75" i="2"/>
  <c r="AT75" i="2" s="1"/>
  <c r="AV75" i="2"/>
  <c r="X76" i="2"/>
  <c r="Y76" i="2" s="1"/>
  <c r="T77" i="2"/>
  <c r="AO76" i="2"/>
  <c r="E75" i="2"/>
  <c r="AG75" i="2"/>
  <c r="AB75" i="2"/>
  <c r="BD75" i="2"/>
  <c r="BE75" i="2"/>
  <c r="AC75" i="2"/>
  <c r="BC76" i="2" l="1"/>
  <c r="BG75" i="2"/>
  <c r="BH75" i="2" s="1"/>
  <c r="D76" i="3"/>
  <c r="M76" i="3" s="1"/>
  <c r="S76" i="3"/>
  <c r="I76" i="3" s="1"/>
  <c r="J76" i="3" s="1"/>
  <c r="K76" i="3" s="1"/>
  <c r="AE75" i="2"/>
  <c r="AF75" i="2" s="1"/>
  <c r="AA76" i="2"/>
  <c r="BB75" i="2"/>
  <c r="N75" i="2" s="1"/>
  <c r="O75" i="2" s="1"/>
  <c r="P75" i="2" s="1"/>
  <c r="H75" i="2"/>
  <c r="R75" i="2" s="1"/>
  <c r="AU76" i="2"/>
  <c r="G76" i="2"/>
  <c r="Z77" i="2"/>
  <c r="D77" i="2"/>
  <c r="F76" i="2"/>
  <c r="AN76" i="2"/>
  <c r="AP76" i="2"/>
  <c r="P76" i="3"/>
  <c r="AW75" i="2"/>
  <c r="AI76" i="2"/>
  <c r="AX75" i="2"/>
  <c r="Q76" i="3"/>
  <c r="AJ76" i="2"/>
  <c r="AQ76" i="2"/>
  <c r="V77" i="2"/>
  <c r="U77" i="2"/>
  <c r="O77" i="3" l="1"/>
  <c r="R76" i="3"/>
  <c r="F76" i="3" s="1"/>
  <c r="G76" i="3" s="1"/>
  <c r="H76" i="3" s="1"/>
  <c r="T77" i="3"/>
  <c r="E77" i="3" s="1"/>
  <c r="BI76" i="2"/>
  <c r="I76" i="2"/>
  <c r="AV76" i="2"/>
  <c r="AL76" i="2"/>
  <c r="AM76" i="2" s="1"/>
  <c r="AZ75" i="2"/>
  <c r="BA75" i="2" s="1"/>
  <c r="K75" i="2" s="1"/>
  <c r="L75" i="2" s="1"/>
  <c r="M75" i="2" s="1"/>
  <c r="BJ76" i="2"/>
  <c r="J76" i="2" s="1"/>
  <c r="T78" i="2"/>
  <c r="X77" i="2"/>
  <c r="Y77" i="2" s="1"/>
  <c r="AS76" i="2"/>
  <c r="AT76" i="2" s="1"/>
  <c r="AH77" i="2"/>
  <c r="AO77" i="2"/>
  <c r="E76" i="2"/>
  <c r="AG76" i="2"/>
  <c r="AB76" i="2"/>
  <c r="BD76" i="2"/>
  <c r="AC76" i="2"/>
  <c r="BE76" i="2"/>
  <c r="BC77" i="2" l="1"/>
  <c r="BG76" i="2"/>
  <c r="BH76" i="2" s="1"/>
  <c r="S77" i="3"/>
  <c r="I77" i="3" s="1"/>
  <c r="J77" i="3" s="1"/>
  <c r="K77" i="3" s="1"/>
  <c r="D77" i="3"/>
  <c r="M77" i="3" s="1"/>
  <c r="AA77" i="2"/>
  <c r="AE76" i="2"/>
  <c r="AF76" i="2" s="1"/>
  <c r="D78" i="2"/>
  <c r="Z78" i="2"/>
  <c r="G77" i="2"/>
  <c r="AU77" i="2"/>
  <c r="F77" i="2"/>
  <c r="AN77" i="2"/>
  <c r="BB76" i="2"/>
  <c r="N76" i="2" s="1"/>
  <c r="O76" i="2" s="1"/>
  <c r="P76" i="2" s="1"/>
  <c r="H76" i="2"/>
  <c r="R76" i="2" s="1"/>
  <c r="AI77" i="2"/>
  <c r="AP77" i="2"/>
  <c r="AW76" i="2"/>
  <c r="AJ77" i="2"/>
  <c r="AQ77" i="2"/>
  <c r="Q77" i="3"/>
  <c r="AX76" i="2"/>
  <c r="P77" i="3"/>
  <c r="V78" i="2"/>
  <c r="U78" i="2"/>
  <c r="O78" i="3" l="1"/>
  <c r="T78" i="3"/>
  <c r="E78" i="3" s="1"/>
  <c r="R77" i="3"/>
  <c r="F77" i="3" s="1"/>
  <c r="G77" i="3" s="1"/>
  <c r="H77" i="3" s="1"/>
  <c r="BI77" i="2"/>
  <c r="I77" i="2"/>
  <c r="AH78" i="2"/>
  <c r="AL77" i="2"/>
  <c r="AM77" i="2" s="1"/>
  <c r="X78" i="2"/>
  <c r="Y78" i="2" s="1"/>
  <c r="T79" i="2"/>
  <c r="AV77" i="2"/>
  <c r="AZ76" i="2"/>
  <c r="BA76" i="2" s="1"/>
  <c r="K76" i="2" s="1"/>
  <c r="L76" i="2" s="1"/>
  <c r="M76" i="2" s="1"/>
  <c r="BJ77" i="2"/>
  <c r="J77" i="2" s="1"/>
  <c r="AO78" i="2"/>
  <c r="AS77" i="2"/>
  <c r="AT77" i="2" s="1"/>
  <c r="E77" i="2"/>
  <c r="AG77" i="2"/>
  <c r="AB77" i="2"/>
  <c r="BD77" i="2"/>
  <c r="AC77" i="2"/>
  <c r="BE77" i="2"/>
  <c r="BC78" i="2" l="1"/>
  <c r="BG77" i="2"/>
  <c r="BH77" i="2" s="1"/>
  <c r="S78" i="3"/>
  <c r="I78" i="3" s="1"/>
  <c r="J78" i="3" s="1"/>
  <c r="K78" i="3" s="1"/>
  <c r="D78" i="3"/>
  <c r="M78" i="3" s="1"/>
  <c r="AA78" i="2"/>
  <c r="AE77" i="2"/>
  <c r="AF77" i="2" s="1"/>
  <c r="H77" i="2"/>
  <c r="R77" i="2" s="1"/>
  <c r="BB77" i="2"/>
  <c r="N77" i="2" s="1"/>
  <c r="O77" i="2" s="1"/>
  <c r="P77" i="2" s="1"/>
  <c r="Z79" i="2"/>
  <c r="D79" i="2"/>
  <c r="G78" i="2"/>
  <c r="AU78" i="2"/>
  <c r="F78" i="2"/>
  <c r="AN78" i="2"/>
  <c r="AP78" i="2"/>
  <c r="P78" i="3"/>
  <c r="AW77" i="2"/>
  <c r="AX77" i="2"/>
  <c r="V79" i="2"/>
  <c r="AI78" i="2"/>
  <c r="AJ78" i="2"/>
  <c r="U79" i="2"/>
  <c r="Q78" i="3"/>
  <c r="AQ78" i="2"/>
  <c r="R78" i="3" l="1"/>
  <c r="F78" i="3" s="1"/>
  <c r="G78" i="3" s="1"/>
  <c r="H78" i="3" s="1"/>
  <c r="T79" i="3"/>
  <c r="E79" i="3" s="1"/>
  <c r="O79" i="3"/>
  <c r="I78" i="2"/>
  <c r="BI78" i="2"/>
  <c r="X79" i="2"/>
  <c r="Y79" i="2" s="1"/>
  <c r="AS78" i="2"/>
  <c r="AT78" i="2" s="1"/>
  <c r="T80" i="2"/>
  <c r="AV78" i="2"/>
  <c r="AO79" i="2"/>
  <c r="AH79" i="2"/>
  <c r="AL78" i="2"/>
  <c r="AM78" i="2" s="1"/>
  <c r="AZ77" i="2"/>
  <c r="BA77" i="2" s="1"/>
  <c r="K77" i="2" s="1"/>
  <c r="L77" i="2" s="1"/>
  <c r="M77" i="2" s="1"/>
  <c r="BJ78" i="2"/>
  <c r="J78" i="2" s="1"/>
  <c r="E78" i="2"/>
  <c r="AG78" i="2"/>
  <c r="AB78" i="2"/>
  <c r="BE78" i="2"/>
  <c r="AC78" i="2"/>
  <c r="BD78" i="2"/>
  <c r="BC79" i="2" l="1"/>
  <c r="BG78" i="2"/>
  <c r="BH78" i="2" s="1"/>
  <c r="D79" i="3"/>
  <c r="M79" i="3" s="1"/>
  <c r="S79" i="3"/>
  <c r="I79" i="3" s="1"/>
  <c r="J79" i="3" s="1"/>
  <c r="K79" i="3" s="1"/>
  <c r="AA79" i="2"/>
  <c r="AE78" i="2"/>
  <c r="AF78" i="2" s="1"/>
  <c r="AN79" i="2"/>
  <c r="F79" i="2"/>
  <c r="AU79" i="2"/>
  <c r="G79" i="2"/>
  <c r="H78" i="2"/>
  <c r="R78" i="2" s="1"/>
  <c r="BB78" i="2"/>
  <c r="N78" i="2" s="1"/>
  <c r="O78" i="2" s="1"/>
  <c r="P78" i="2" s="1"/>
  <c r="D80" i="2"/>
  <c r="Z80" i="2"/>
  <c r="U80" i="2"/>
  <c r="P79" i="3"/>
  <c r="AW78" i="2"/>
  <c r="AQ79" i="2"/>
  <c r="AI79" i="2"/>
  <c r="Q79" i="3"/>
  <c r="V80" i="2"/>
  <c r="AP79" i="2"/>
  <c r="AX78" i="2"/>
  <c r="AJ79" i="2"/>
  <c r="R79" i="3" l="1"/>
  <c r="F79" i="3" s="1"/>
  <c r="G79" i="3" s="1"/>
  <c r="H79" i="3" s="1"/>
  <c r="T80" i="3"/>
  <c r="E80" i="3" s="1"/>
  <c r="O80" i="3"/>
  <c r="I79" i="2"/>
  <c r="BI79" i="2"/>
  <c r="AS79" i="2"/>
  <c r="AT79" i="2" s="1"/>
  <c r="X80" i="2"/>
  <c r="Y80" i="2" s="1"/>
  <c r="AZ78" i="2"/>
  <c r="BA78" i="2" s="1"/>
  <c r="K78" i="2" s="1"/>
  <c r="L78" i="2" s="1"/>
  <c r="M78" i="2" s="1"/>
  <c r="BJ79" i="2"/>
  <c r="J79" i="2" s="1"/>
  <c r="T81" i="2"/>
  <c r="AV79" i="2"/>
  <c r="AH80" i="2"/>
  <c r="AL79" i="2"/>
  <c r="AM79" i="2" s="1"/>
  <c r="AO80" i="2"/>
  <c r="AG79" i="2"/>
  <c r="E79" i="2"/>
  <c r="BE79" i="2"/>
  <c r="BD79" i="2"/>
  <c r="AB79" i="2"/>
  <c r="AC79" i="2"/>
  <c r="BC80" i="2" l="1"/>
  <c r="BG79" i="2"/>
  <c r="BH79" i="2" s="1"/>
  <c r="D80" i="3"/>
  <c r="M80" i="3" s="1"/>
  <c r="S80" i="3"/>
  <c r="I80" i="3" s="1"/>
  <c r="J80" i="3" s="1"/>
  <c r="K80" i="3" s="1"/>
  <c r="AA80" i="2"/>
  <c r="AE79" i="2"/>
  <c r="AF79" i="2" s="1"/>
  <c r="H79" i="2"/>
  <c r="R79" i="2" s="1"/>
  <c r="BB79" i="2"/>
  <c r="N79" i="2" s="1"/>
  <c r="O79" i="2" s="1"/>
  <c r="P79" i="2" s="1"/>
  <c r="Z81" i="2"/>
  <c r="D81" i="2"/>
  <c r="AN80" i="2"/>
  <c r="F80" i="2"/>
  <c r="G80" i="2"/>
  <c r="AU80" i="2"/>
  <c r="AP80" i="2"/>
  <c r="AW79" i="2"/>
  <c r="V81" i="2"/>
  <c r="AJ80" i="2"/>
  <c r="U81" i="2"/>
  <c r="AI80" i="2"/>
  <c r="Q80" i="3"/>
  <c r="AX79" i="2"/>
  <c r="AQ80" i="2"/>
  <c r="P80" i="3"/>
  <c r="O81" i="3" l="1"/>
  <c r="T81" i="3"/>
  <c r="E81" i="3" s="1"/>
  <c r="R80" i="3"/>
  <c r="F80" i="3" s="1"/>
  <c r="G80" i="3" s="1"/>
  <c r="H80" i="3" s="1"/>
  <c r="BI80" i="2"/>
  <c r="I80" i="2"/>
  <c r="AS80" i="2"/>
  <c r="AT80" i="2" s="1"/>
  <c r="X81" i="2"/>
  <c r="Y81" i="2" s="1"/>
  <c r="AO81" i="2"/>
  <c r="T82" i="2"/>
  <c r="AH81" i="2"/>
  <c r="AL80" i="2"/>
  <c r="AM80" i="2" s="1"/>
  <c r="AZ79" i="2"/>
  <c r="BA79" i="2" s="1"/>
  <c r="K79" i="2" s="1"/>
  <c r="L79" i="2" s="1"/>
  <c r="M79" i="2" s="1"/>
  <c r="BJ80" i="2"/>
  <c r="J80" i="2" s="1"/>
  <c r="AV80" i="2"/>
  <c r="E80" i="2"/>
  <c r="AG80" i="2"/>
  <c r="AC80" i="2"/>
  <c r="BD80" i="2"/>
  <c r="BE80" i="2"/>
  <c r="AB80" i="2"/>
  <c r="BC81" i="2" l="1"/>
  <c r="BG80" i="2"/>
  <c r="BH80" i="2" s="1"/>
  <c r="S81" i="3"/>
  <c r="I81" i="3" s="1"/>
  <c r="J81" i="3" s="1"/>
  <c r="K81" i="3" s="1"/>
  <c r="D81" i="3"/>
  <c r="M81" i="3" s="1"/>
  <c r="AA81" i="2"/>
  <c r="AE80" i="2"/>
  <c r="AF80" i="2" s="1"/>
  <c r="AN81" i="2"/>
  <c r="F81" i="2"/>
  <c r="D82" i="2"/>
  <c r="Z82" i="2"/>
  <c r="G81" i="2"/>
  <c r="AU81" i="2"/>
  <c r="BB80" i="2"/>
  <c r="N80" i="2" s="1"/>
  <c r="O80" i="2" s="1"/>
  <c r="P80" i="2" s="1"/>
  <c r="H80" i="2"/>
  <c r="R80" i="2" s="1"/>
  <c r="P81" i="3"/>
  <c r="Q81" i="3"/>
  <c r="AX80" i="2"/>
  <c r="AI81" i="2"/>
  <c r="V82" i="2"/>
  <c r="AQ81" i="2"/>
  <c r="AW80" i="2"/>
  <c r="AP81" i="2"/>
  <c r="AJ81" i="2"/>
  <c r="U82" i="2"/>
  <c r="R81" i="3" l="1"/>
  <c r="F81" i="3" s="1"/>
  <c r="G81" i="3" s="1"/>
  <c r="H81" i="3" s="1"/>
  <c r="T82" i="3"/>
  <c r="E82" i="3" s="1"/>
  <c r="O82" i="3"/>
  <c r="BI81" i="2"/>
  <c r="I81" i="2"/>
  <c r="X82" i="2"/>
  <c r="Y82" i="2" s="1"/>
  <c r="AZ80" i="2"/>
  <c r="BA80" i="2" s="1"/>
  <c r="K80" i="2" s="1"/>
  <c r="L80" i="2" s="1"/>
  <c r="M80" i="2" s="1"/>
  <c r="BJ81" i="2"/>
  <c r="J81" i="2" s="1"/>
  <c r="AO82" i="2"/>
  <c r="AS81" i="2"/>
  <c r="AT81" i="2" s="1"/>
  <c r="AH82" i="2"/>
  <c r="AV81" i="2"/>
  <c r="AL81" i="2"/>
  <c r="AM81" i="2" s="1"/>
  <c r="T83" i="2"/>
  <c r="AG81" i="2"/>
  <c r="E81" i="2"/>
  <c r="AB81" i="2"/>
  <c r="BD81" i="2"/>
  <c r="AC81" i="2"/>
  <c r="BE81" i="2"/>
  <c r="BC82" i="2" l="1"/>
  <c r="BG81" i="2"/>
  <c r="BH81" i="2" s="1"/>
  <c r="D82" i="3"/>
  <c r="M82" i="3" s="1"/>
  <c r="S82" i="3"/>
  <c r="I82" i="3" s="1"/>
  <c r="J82" i="3" s="1"/>
  <c r="K82" i="3" s="1"/>
  <c r="AA82" i="2"/>
  <c r="AE81" i="2"/>
  <c r="AF81" i="2" s="1"/>
  <c r="AN82" i="2"/>
  <c r="F82" i="2"/>
  <c r="G82" i="2"/>
  <c r="AU82" i="2"/>
  <c r="H81" i="2"/>
  <c r="R81" i="2" s="1"/>
  <c r="BB81" i="2"/>
  <c r="N81" i="2" s="1"/>
  <c r="O81" i="2" s="1"/>
  <c r="P81" i="2" s="1"/>
  <c r="Z83" i="2"/>
  <c r="D83" i="2"/>
  <c r="U83" i="2"/>
  <c r="P82" i="3"/>
  <c r="AP82" i="2"/>
  <c r="AQ82" i="2"/>
  <c r="AW81" i="2"/>
  <c r="AJ82" i="2"/>
  <c r="AI82" i="2"/>
  <c r="AX81" i="2"/>
  <c r="Q82" i="3"/>
  <c r="V83" i="2"/>
  <c r="O83" i="3" l="1"/>
  <c r="T83" i="3"/>
  <c r="E83" i="3" s="1"/>
  <c r="R82" i="3"/>
  <c r="F82" i="3" s="1"/>
  <c r="G82" i="3" s="1"/>
  <c r="H82" i="3" s="1"/>
  <c r="I82" i="2"/>
  <c r="BI82" i="2"/>
  <c r="AS82" i="2"/>
  <c r="AT82" i="2" s="1"/>
  <c r="AO83" i="2"/>
  <c r="AV82" i="2"/>
  <c r="X83" i="2"/>
  <c r="Y83" i="2" s="1"/>
  <c r="T84" i="2"/>
  <c r="AH83" i="2"/>
  <c r="AZ81" i="2"/>
  <c r="BA81" i="2" s="1"/>
  <c r="K81" i="2" s="1"/>
  <c r="L81" i="2" s="1"/>
  <c r="M81" i="2" s="1"/>
  <c r="BJ82" i="2"/>
  <c r="J82" i="2" s="1"/>
  <c r="AL82" i="2"/>
  <c r="AM82" i="2" s="1"/>
  <c r="E82" i="2"/>
  <c r="AG82" i="2"/>
  <c r="AC82" i="2"/>
  <c r="BD82" i="2"/>
  <c r="BE82" i="2"/>
  <c r="AB82" i="2"/>
  <c r="BC83" i="2" l="1"/>
  <c r="BG82" i="2"/>
  <c r="BH82" i="2" s="1"/>
  <c r="S83" i="3"/>
  <c r="I83" i="3" s="1"/>
  <c r="J83" i="3" s="1"/>
  <c r="K83" i="3" s="1"/>
  <c r="D83" i="3"/>
  <c r="M83" i="3" s="1"/>
  <c r="AA83" i="2"/>
  <c r="AE82" i="2"/>
  <c r="AF82" i="2" s="1"/>
  <c r="AN83" i="2"/>
  <c r="F83" i="2"/>
  <c r="Z84" i="2"/>
  <c r="D84" i="2"/>
  <c r="H82" i="2"/>
  <c r="R82" i="2" s="1"/>
  <c r="BB82" i="2"/>
  <c r="N82" i="2" s="1"/>
  <c r="O82" i="2" s="1"/>
  <c r="P82" i="2" s="1"/>
  <c r="AU83" i="2"/>
  <c r="G83" i="2"/>
  <c r="AQ83" i="2"/>
  <c r="AX82" i="2"/>
  <c r="AI83" i="2"/>
  <c r="AW82" i="2"/>
  <c r="P83" i="3"/>
  <c r="V84" i="2"/>
  <c r="U84" i="2"/>
  <c r="AP83" i="2"/>
  <c r="AJ83" i="2"/>
  <c r="Q83" i="3"/>
  <c r="T84" i="3" l="1"/>
  <c r="E84" i="3" s="1"/>
  <c r="R83" i="3"/>
  <c r="F83" i="3" s="1"/>
  <c r="G83" i="3" s="1"/>
  <c r="H83" i="3" s="1"/>
  <c r="O84" i="3"/>
  <c r="BI83" i="2"/>
  <c r="I83" i="2"/>
  <c r="AV83" i="2"/>
  <c r="AZ82" i="2"/>
  <c r="BA82" i="2" s="1"/>
  <c r="K82" i="2" s="1"/>
  <c r="L82" i="2" s="1"/>
  <c r="M82" i="2" s="1"/>
  <c r="BJ83" i="2"/>
  <c r="J83" i="2" s="1"/>
  <c r="AS83" i="2"/>
  <c r="AT83" i="2" s="1"/>
  <c r="AH84" i="2"/>
  <c r="T85" i="2"/>
  <c r="AL83" i="2"/>
  <c r="AM83" i="2" s="1"/>
  <c r="AO84" i="2"/>
  <c r="X84" i="2"/>
  <c r="Y84" i="2" s="1"/>
  <c r="E83" i="2"/>
  <c r="AG83" i="2"/>
  <c r="AC83" i="2"/>
  <c r="BD83" i="2"/>
  <c r="BE83" i="2"/>
  <c r="AB83" i="2"/>
  <c r="BG83" i="2" l="1"/>
  <c r="BH83" i="2" s="1"/>
  <c r="BC84" i="2"/>
  <c r="D84" i="3"/>
  <c r="M84" i="3" s="1"/>
  <c r="S84" i="3"/>
  <c r="I84" i="3" s="1"/>
  <c r="J84" i="3" s="1"/>
  <c r="K84" i="3" s="1"/>
  <c r="AA84" i="2"/>
  <c r="AE83" i="2"/>
  <c r="AF83" i="2" s="1"/>
  <c r="D85" i="2"/>
  <c r="Z85" i="2"/>
  <c r="G84" i="2"/>
  <c r="AU84" i="2"/>
  <c r="F84" i="2"/>
  <c r="AN84" i="2"/>
  <c r="H83" i="2"/>
  <c r="R83" i="2" s="1"/>
  <c r="BB83" i="2"/>
  <c r="N83" i="2" s="1"/>
  <c r="O83" i="2" s="1"/>
  <c r="P83" i="2" s="1"/>
  <c r="AW83" i="2"/>
  <c r="P84" i="3"/>
  <c r="AP84" i="2"/>
  <c r="V85" i="2"/>
  <c r="AX83" i="2"/>
  <c r="Q84" i="3"/>
  <c r="AI84" i="2"/>
  <c r="AQ84" i="2"/>
  <c r="AJ84" i="2"/>
  <c r="U85" i="2"/>
  <c r="T85" i="3" l="1"/>
  <c r="E85" i="3" s="1"/>
  <c r="R84" i="3"/>
  <c r="F84" i="3" s="1"/>
  <c r="G84" i="3" s="1"/>
  <c r="H84" i="3" s="1"/>
  <c r="O85" i="3"/>
  <c r="I84" i="2"/>
  <c r="BI84" i="2"/>
  <c r="AO85" i="2"/>
  <c r="AH85" i="2"/>
  <c r="AV84" i="2"/>
  <c r="T86" i="2"/>
  <c r="AZ83" i="2"/>
  <c r="BA83" i="2" s="1"/>
  <c r="K83" i="2" s="1"/>
  <c r="L83" i="2" s="1"/>
  <c r="M83" i="2" s="1"/>
  <c r="BJ84" i="2"/>
  <c r="J84" i="2" s="1"/>
  <c r="AL84" i="2"/>
  <c r="AM84" i="2" s="1"/>
  <c r="X85" i="2"/>
  <c r="Y85" i="2" s="1"/>
  <c r="AS84" i="2"/>
  <c r="AT84" i="2" s="1"/>
  <c r="E84" i="2"/>
  <c r="AG84" i="2"/>
  <c r="AB84" i="2"/>
  <c r="BE84" i="2"/>
  <c r="AC84" i="2"/>
  <c r="BD84" i="2"/>
  <c r="BG84" i="2" l="1"/>
  <c r="BH84" i="2" s="1"/>
  <c r="BC85" i="2"/>
  <c r="D85" i="3"/>
  <c r="M85" i="3" s="1"/>
  <c r="S85" i="3"/>
  <c r="I85" i="3" s="1"/>
  <c r="J85" i="3" s="1"/>
  <c r="K85" i="3" s="1"/>
  <c r="AE84" i="2"/>
  <c r="AF84" i="2" s="1"/>
  <c r="AA85" i="2"/>
  <c r="D86" i="2"/>
  <c r="Z86" i="2"/>
  <c r="H84" i="2"/>
  <c r="R84" i="2" s="1"/>
  <c r="BB84" i="2"/>
  <c r="N84" i="2" s="1"/>
  <c r="O84" i="2" s="1"/>
  <c r="P84" i="2" s="1"/>
  <c r="F85" i="2"/>
  <c r="AN85" i="2"/>
  <c r="AU85" i="2"/>
  <c r="G85" i="2"/>
  <c r="P85" i="3"/>
  <c r="U86" i="2"/>
  <c r="V86" i="2"/>
  <c r="AW84" i="2"/>
  <c r="AJ85" i="2"/>
  <c r="AI85" i="2"/>
  <c r="AQ85" i="2"/>
  <c r="Q85" i="3"/>
  <c r="AP85" i="2"/>
  <c r="AX84" i="2"/>
  <c r="O86" i="3" l="1"/>
  <c r="T86" i="3"/>
  <c r="E86" i="3" s="1"/>
  <c r="R85" i="3"/>
  <c r="F85" i="3" s="1"/>
  <c r="G85" i="3" s="1"/>
  <c r="H85" i="3" s="1"/>
  <c r="I85" i="2"/>
  <c r="BI85" i="2"/>
  <c r="X86" i="2"/>
  <c r="Y86" i="2" s="1"/>
  <c r="AO86" i="2"/>
  <c r="AV85" i="2"/>
  <c r="AS85" i="2"/>
  <c r="AT85" i="2" s="1"/>
  <c r="AZ84" i="2"/>
  <c r="BA84" i="2" s="1"/>
  <c r="K84" i="2" s="1"/>
  <c r="L84" i="2" s="1"/>
  <c r="M84" i="2" s="1"/>
  <c r="BJ85" i="2"/>
  <c r="J85" i="2" s="1"/>
  <c r="AH86" i="2"/>
  <c r="AL85" i="2"/>
  <c r="AM85" i="2" s="1"/>
  <c r="T87" i="2"/>
  <c r="E85" i="2"/>
  <c r="AG85" i="2"/>
  <c r="BD85" i="2"/>
  <c r="BE85" i="2"/>
  <c r="AB85" i="2"/>
  <c r="AC85" i="2"/>
  <c r="BG85" i="2" l="1"/>
  <c r="BH85" i="2" s="1"/>
  <c r="BC86" i="2"/>
  <c r="D86" i="3"/>
  <c r="M86" i="3" s="1"/>
  <c r="S86" i="3"/>
  <c r="I86" i="3" s="1"/>
  <c r="J86" i="3" s="1"/>
  <c r="K86" i="3" s="1"/>
  <c r="AA86" i="2"/>
  <c r="AE85" i="2"/>
  <c r="AF85" i="2" s="1"/>
  <c r="F86" i="2"/>
  <c r="AN86" i="2"/>
  <c r="H85" i="2"/>
  <c r="R85" i="2" s="1"/>
  <c r="BB85" i="2"/>
  <c r="N85" i="2" s="1"/>
  <c r="O85" i="2" s="1"/>
  <c r="P85" i="2" s="1"/>
  <c r="AU86" i="2"/>
  <c r="G86" i="2"/>
  <c r="Z87" i="2"/>
  <c r="D87" i="2"/>
  <c r="U87" i="2"/>
  <c r="AI86" i="2"/>
  <c r="AQ86" i="2"/>
  <c r="AJ86" i="2"/>
  <c r="Q86" i="3"/>
  <c r="V87" i="2"/>
  <c r="P86" i="3"/>
  <c r="AW85" i="2"/>
  <c r="AP86" i="2"/>
  <c r="AX85" i="2"/>
  <c r="O87" i="3" l="1"/>
  <c r="T87" i="3"/>
  <c r="E87" i="3" s="1"/>
  <c r="R86" i="3"/>
  <c r="F86" i="3" s="1"/>
  <c r="G86" i="3" s="1"/>
  <c r="H86" i="3" s="1"/>
  <c r="I86" i="2"/>
  <c r="BI86" i="2"/>
  <c r="AZ85" i="2"/>
  <c r="BA85" i="2" s="1"/>
  <c r="K85" i="2" s="1"/>
  <c r="L85" i="2" s="1"/>
  <c r="M85" i="2" s="1"/>
  <c r="BJ86" i="2"/>
  <c r="J86" i="2" s="1"/>
  <c r="AV86" i="2"/>
  <c r="AH87" i="2"/>
  <c r="AL86" i="2"/>
  <c r="AM86" i="2" s="1"/>
  <c r="AS86" i="2"/>
  <c r="AT86" i="2" s="1"/>
  <c r="X87" i="2"/>
  <c r="Y87" i="2" s="1"/>
  <c r="T88" i="2"/>
  <c r="AO87" i="2"/>
  <c r="AG86" i="2"/>
  <c r="E86" i="2"/>
  <c r="AC86" i="2"/>
  <c r="BE86" i="2"/>
  <c r="AB86" i="2"/>
  <c r="BD86" i="2"/>
  <c r="BC87" i="2" l="1"/>
  <c r="BG86" i="2"/>
  <c r="BH86" i="2" s="1"/>
  <c r="D87" i="3"/>
  <c r="M87" i="3" s="1"/>
  <c r="S87" i="3"/>
  <c r="I87" i="3" s="1"/>
  <c r="J87" i="3" s="1"/>
  <c r="K87" i="3" s="1"/>
  <c r="AA87" i="2"/>
  <c r="AE86" i="2"/>
  <c r="AF86" i="2" s="1"/>
  <c r="AN87" i="2"/>
  <c r="F87" i="2"/>
  <c r="H86" i="2"/>
  <c r="R86" i="2" s="1"/>
  <c r="BB86" i="2"/>
  <c r="N86" i="2" s="1"/>
  <c r="O86" i="2" s="1"/>
  <c r="P86" i="2" s="1"/>
  <c r="AU87" i="2"/>
  <c r="G87" i="2"/>
  <c r="Z88" i="2"/>
  <c r="D88" i="2"/>
  <c r="AP87" i="2"/>
  <c r="AW86" i="2"/>
  <c r="V88" i="2"/>
  <c r="AJ87" i="2"/>
  <c r="AQ87" i="2"/>
  <c r="AX86" i="2"/>
  <c r="AI87" i="2"/>
  <c r="Q87" i="3"/>
  <c r="P87" i="3"/>
  <c r="U88" i="2"/>
  <c r="T88" i="3" l="1"/>
  <c r="E88" i="3" s="1"/>
  <c r="R87" i="3"/>
  <c r="F87" i="3" s="1"/>
  <c r="G87" i="3" s="1"/>
  <c r="H87" i="3" s="1"/>
  <c r="O88" i="3"/>
  <c r="I87" i="2"/>
  <c r="BI87" i="2"/>
  <c r="AZ86" i="2"/>
  <c r="BA86" i="2" s="1"/>
  <c r="K86" i="2" s="1"/>
  <c r="L86" i="2" s="1"/>
  <c r="M86" i="2" s="1"/>
  <c r="BJ87" i="2"/>
  <c r="J87" i="2" s="1"/>
  <c r="AV87" i="2"/>
  <c r="X88" i="2"/>
  <c r="Y88" i="2" s="1"/>
  <c r="AS87" i="2"/>
  <c r="AT87" i="2" s="1"/>
  <c r="AO88" i="2"/>
  <c r="AH88" i="2"/>
  <c r="T89" i="2"/>
  <c r="AL87" i="2"/>
  <c r="AM87" i="2" s="1"/>
  <c r="E87" i="2"/>
  <c r="AG87" i="2"/>
  <c r="AB87" i="2"/>
  <c r="AC87" i="2"/>
  <c r="BE87" i="2"/>
  <c r="BD87" i="2"/>
  <c r="BC88" i="2" l="1"/>
  <c r="BG87" i="2"/>
  <c r="BH87" i="2" s="1"/>
  <c r="S88" i="3"/>
  <c r="I88" i="3" s="1"/>
  <c r="J88" i="3" s="1"/>
  <c r="K88" i="3" s="1"/>
  <c r="D88" i="3"/>
  <c r="M88" i="3" s="1"/>
  <c r="AA88" i="2"/>
  <c r="AE87" i="2"/>
  <c r="AF87" i="2" s="1"/>
  <c r="AU88" i="2"/>
  <c r="G88" i="2"/>
  <c r="H87" i="2"/>
  <c r="R87" i="2" s="1"/>
  <c r="BB87" i="2"/>
  <c r="N87" i="2" s="1"/>
  <c r="O87" i="2" s="1"/>
  <c r="P87" i="2" s="1"/>
  <c r="AN88" i="2"/>
  <c r="F88" i="2"/>
  <c r="Z89" i="2"/>
  <c r="D89" i="2"/>
  <c r="AI88" i="2"/>
  <c r="AP88" i="2"/>
  <c r="P88" i="3"/>
  <c r="AQ88" i="2"/>
  <c r="V89" i="2"/>
  <c r="AX87" i="2"/>
  <c r="Q88" i="3"/>
  <c r="U89" i="2"/>
  <c r="AJ88" i="2"/>
  <c r="AW87" i="2"/>
  <c r="T89" i="3" l="1"/>
  <c r="E89" i="3" s="1"/>
  <c r="R88" i="3"/>
  <c r="F88" i="3" s="1"/>
  <c r="O89" i="3"/>
  <c r="I88" i="2"/>
  <c r="BI88" i="2"/>
  <c r="X89" i="2"/>
  <c r="Y89" i="2" s="1"/>
  <c r="AV88" i="2"/>
  <c r="AS88" i="2"/>
  <c r="AT88" i="2" s="1"/>
  <c r="AZ87" i="2"/>
  <c r="BA87" i="2" s="1"/>
  <c r="K87" i="2" s="1"/>
  <c r="L87" i="2" s="1"/>
  <c r="M87" i="2" s="1"/>
  <c r="BJ88" i="2"/>
  <c r="J88" i="2" s="1"/>
  <c r="AO89" i="2"/>
  <c r="AL88" i="2"/>
  <c r="AM88" i="2" s="1"/>
  <c r="AH89" i="2"/>
  <c r="T90" i="2"/>
  <c r="E88" i="2"/>
  <c r="AG88" i="2"/>
  <c r="BD88" i="2"/>
  <c r="AC88" i="2"/>
  <c r="AB88" i="2"/>
  <c r="BE88" i="2"/>
  <c r="BC89" i="2" l="1"/>
  <c r="BG88" i="2"/>
  <c r="BH88" i="2" s="1"/>
  <c r="S89" i="3"/>
  <c r="I89" i="3" s="1"/>
  <c r="D89" i="3"/>
  <c r="M89" i="3" s="1"/>
  <c r="G88" i="3"/>
  <c r="AE88" i="2"/>
  <c r="AF88" i="2" s="1"/>
  <c r="AA89" i="2"/>
  <c r="AU89" i="2"/>
  <c r="G89" i="2"/>
  <c r="BB88" i="2"/>
  <c r="N88" i="2" s="1"/>
  <c r="O88" i="2" s="1"/>
  <c r="P88" i="2" s="1"/>
  <c r="H88" i="2"/>
  <c r="R88" i="2" s="1"/>
  <c r="D90" i="2"/>
  <c r="Z90" i="2"/>
  <c r="F89" i="2"/>
  <c r="AN89" i="2"/>
  <c r="AP89" i="2"/>
  <c r="Q89" i="3"/>
  <c r="AX88" i="2"/>
  <c r="P89" i="3"/>
  <c r="AQ89" i="2"/>
  <c r="AW88" i="2"/>
  <c r="AI89" i="2"/>
  <c r="AJ89" i="2"/>
  <c r="R89" i="3" l="1"/>
  <c r="F89" i="3" s="1"/>
  <c r="T90" i="3"/>
  <c r="E90" i="3" s="1"/>
  <c r="O90" i="3"/>
  <c r="H88" i="3"/>
  <c r="J89" i="3"/>
  <c r="I89" i="2"/>
  <c r="BI89" i="2"/>
  <c r="AS89" i="2"/>
  <c r="AT89" i="2" s="1"/>
  <c r="AL89" i="2"/>
  <c r="AM89" i="2" s="1"/>
  <c r="AO90" i="2"/>
  <c r="AH90" i="2"/>
  <c r="AV89" i="2"/>
  <c r="AZ88" i="2"/>
  <c r="BA88" i="2" s="1"/>
  <c r="K88" i="2" s="1"/>
  <c r="L88" i="2" s="1"/>
  <c r="M88" i="2" s="1"/>
  <c r="BJ89" i="2"/>
  <c r="J89" i="2" s="1"/>
  <c r="E89" i="2"/>
  <c r="AG89" i="2"/>
  <c r="BE89" i="2"/>
  <c r="AC89" i="2"/>
  <c r="AB89" i="2"/>
  <c r="BD89" i="2"/>
  <c r="BC90" i="2" l="1"/>
  <c r="BG89" i="2"/>
  <c r="BH89" i="2" s="1"/>
  <c r="K89" i="3"/>
  <c r="S90" i="3"/>
  <c r="I90" i="3" s="1"/>
  <c r="D90" i="3"/>
  <c r="M90" i="3" s="1"/>
  <c r="G89" i="3"/>
  <c r="G92" i="3" s="1"/>
  <c r="F92" i="3"/>
  <c r="AA90" i="2"/>
  <c r="AE89" i="2"/>
  <c r="AF89" i="2" s="1"/>
  <c r="BB89" i="2"/>
  <c r="N89" i="2" s="1"/>
  <c r="O89" i="2" s="1"/>
  <c r="P89" i="2" s="1"/>
  <c r="H89" i="2"/>
  <c r="R89" i="2" s="1"/>
  <c r="F90" i="2"/>
  <c r="AN90" i="2"/>
  <c r="AU90" i="2"/>
  <c r="G90" i="2"/>
  <c r="AX89" i="2"/>
  <c r="AW89" i="2"/>
  <c r="J90" i="3" l="1"/>
  <c r="J92" i="3" s="1"/>
  <c r="I92" i="3"/>
  <c r="H89" i="3"/>
  <c r="H90" i="3" s="1"/>
  <c r="H92" i="3" s="1"/>
  <c r="G17" i="1" s="1"/>
  <c r="H6" i="6" s="1"/>
  <c r="I90" i="2"/>
  <c r="BI90" i="2"/>
  <c r="AZ89" i="2"/>
  <c r="BA89" i="2" s="1"/>
  <c r="K89" i="2" s="1"/>
  <c r="BJ90" i="2"/>
  <c r="J90" i="2" s="1"/>
  <c r="AV90" i="2"/>
  <c r="E90" i="2"/>
  <c r="AG90" i="2"/>
  <c r="K90" i="3" l="1"/>
  <c r="K92" i="3" s="1"/>
  <c r="H17" i="1" s="1"/>
  <c r="I6" i="6" s="1"/>
  <c r="L89" i="2"/>
  <c r="K92" i="2"/>
  <c r="H90" i="2"/>
  <c r="R90" i="2" s="1"/>
  <c r="BB90" i="2"/>
  <c r="N90" i="2" s="1"/>
  <c r="O90" i="2" l="1"/>
  <c r="N92" i="2"/>
  <c r="M89" i="2"/>
  <c r="M90" i="2" s="1"/>
  <c r="M92" i="2" s="1"/>
  <c r="G18" i="1" s="1"/>
  <c r="L92" i="2"/>
  <c r="H7" i="6" l="1"/>
  <c r="H6" i="16"/>
  <c r="O92" i="2"/>
  <c r="P90" i="2"/>
  <c r="P92" i="2" s="1"/>
  <c r="H18" i="1" s="1"/>
  <c r="I7" i="6" l="1"/>
  <c r="H9" i="16"/>
  <c r="C6" i="15"/>
  <c r="C5" i="14"/>
  <c r="T18" i="14" l="1"/>
  <c r="U18" i="14" s="1"/>
  <c r="T26" i="14"/>
  <c r="U26" i="14" s="1"/>
  <c r="T34" i="14"/>
  <c r="U34" i="14" s="1"/>
  <c r="T42" i="14"/>
  <c r="U42" i="14" s="1"/>
  <c r="T50" i="14"/>
  <c r="U50" i="14" s="1"/>
  <c r="T58" i="14"/>
  <c r="U58" i="14" s="1"/>
  <c r="T66" i="14"/>
  <c r="U66" i="14" s="1"/>
  <c r="T74" i="14"/>
  <c r="U74" i="14" s="1"/>
  <c r="T27" i="14"/>
  <c r="U27" i="14" s="1"/>
  <c r="T35" i="14"/>
  <c r="U35" i="14" s="1"/>
  <c r="T51" i="14"/>
  <c r="U51" i="14" s="1"/>
  <c r="T59" i="14"/>
  <c r="U59" i="14" s="1"/>
  <c r="T75" i="14"/>
  <c r="U75" i="14" s="1"/>
  <c r="T19" i="14"/>
  <c r="U19" i="14" s="1"/>
  <c r="T43" i="14"/>
  <c r="U43" i="14" s="1"/>
  <c r="T67" i="14"/>
  <c r="U67" i="14" s="1"/>
  <c r="T20" i="14"/>
  <c r="U20" i="14" s="1"/>
  <c r="T28" i="14"/>
  <c r="U28" i="14" s="1"/>
  <c r="T36" i="14"/>
  <c r="U36" i="14" s="1"/>
  <c r="T44" i="14"/>
  <c r="U44" i="14" s="1"/>
  <c r="T52" i="14"/>
  <c r="U52" i="14" s="1"/>
  <c r="T60" i="14"/>
  <c r="U60" i="14" s="1"/>
  <c r="T68" i="14"/>
  <c r="U68" i="14" s="1"/>
  <c r="T21" i="14"/>
  <c r="U21" i="14" s="1"/>
  <c r="T29" i="14"/>
  <c r="U29" i="14" s="1"/>
  <c r="T37" i="14"/>
  <c r="U37" i="14" s="1"/>
  <c r="T45" i="14"/>
  <c r="U45" i="14" s="1"/>
  <c r="T53" i="14"/>
  <c r="U53" i="14" s="1"/>
  <c r="T61" i="14"/>
  <c r="U61" i="14" s="1"/>
  <c r="T69" i="14"/>
  <c r="U69" i="14" s="1"/>
  <c r="T22" i="14"/>
  <c r="U22" i="14" s="1"/>
  <c r="T38" i="14"/>
  <c r="U38" i="14" s="1"/>
  <c r="T46" i="14"/>
  <c r="U46" i="14" s="1"/>
  <c r="T62" i="14"/>
  <c r="U62" i="14" s="1"/>
  <c r="T49" i="14"/>
  <c r="U49" i="14" s="1"/>
  <c r="T30" i="14"/>
  <c r="U30" i="14" s="1"/>
  <c r="T54" i="14"/>
  <c r="U54" i="14" s="1"/>
  <c r="T70" i="14"/>
  <c r="U70" i="14" s="1"/>
  <c r="T25" i="14"/>
  <c r="U25" i="14" s="1"/>
  <c r="T73" i="14"/>
  <c r="U73" i="14" s="1"/>
  <c r="T15" i="14"/>
  <c r="U15" i="14" s="1"/>
  <c r="T23" i="14"/>
  <c r="U23" i="14" s="1"/>
  <c r="T31" i="14"/>
  <c r="U31" i="14" s="1"/>
  <c r="T39" i="14"/>
  <c r="U39" i="14" s="1"/>
  <c r="T47" i="14"/>
  <c r="U47" i="14" s="1"/>
  <c r="T55" i="14"/>
  <c r="U55" i="14" s="1"/>
  <c r="T63" i="14"/>
  <c r="U63" i="14" s="1"/>
  <c r="T71" i="14"/>
  <c r="U71" i="14" s="1"/>
  <c r="T24" i="14"/>
  <c r="U24" i="14" s="1"/>
  <c r="T32" i="14"/>
  <c r="U32" i="14" s="1"/>
  <c r="T48" i="14"/>
  <c r="U48" i="14" s="1"/>
  <c r="T64" i="14"/>
  <c r="U64" i="14" s="1"/>
  <c r="T17" i="14"/>
  <c r="U17" i="14" s="1"/>
  <c r="T41" i="14"/>
  <c r="U41" i="14" s="1"/>
  <c r="T57" i="14"/>
  <c r="U57" i="14" s="1"/>
  <c r="T16" i="14"/>
  <c r="U16" i="14" s="1"/>
  <c r="T40" i="14"/>
  <c r="U40" i="14" s="1"/>
  <c r="T56" i="14"/>
  <c r="U56" i="14" s="1"/>
  <c r="T72" i="14"/>
  <c r="U72" i="14" s="1"/>
  <c r="T33" i="14"/>
  <c r="U33" i="14" s="1"/>
  <c r="T65" i="14"/>
  <c r="U65" i="14" s="1"/>
  <c r="K76" i="15"/>
  <c r="L76" i="15" s="1"/>
  <c r="K140" i="15"/>
  <c r="L140" i="15" s="1"/>
  <c r="K57" i="15"/>
  <c r="L57" i="15" s="1"/>
  <c r="K46" i="15"/>
  <c r="L46" i="15" s="1"/>
  <c r="K27" i="15"/>
  <c r="L27" i="15" s="1"/>
  <c r="K91" i="15"/>
  <c r="L91" i="15" s="1"/>
  <c r="K155" i="15"/>
  <c r="L155" i="15" s="1"/>
  <c r="K72" i="15"/>
  <c r="L72" i="15" s="1"/>
  <c r="K136" i="15"/>
  <c r="L136" i="15" s="1"/>
  <c r="K42" i="15"/>
  <c r="L42" i="15" s="1"/>
  <c r="K102" i="15"/>
  <c r="L102" i="15" s="1"/>
  <c r="K185" i="15"/>
  <c r="L185" i="15" s="1"/>
  <c r="K249" i="15"/>
  <c r="L249" i="15" s="1"/>
  <c r="K37" i="15"/>
  <c r="L37" i="15" s="1"/>
  <c r="K105" i="15"/>
  <c r="L105" i="15" s="1"/>
  <c r="K174" i="15"/>
  <c r="L174" i="15" s="1"/>
  <c r="K238" i="15"/>
  <c r="L238" i="15" s="1"/>
  <c r="K302" i="15"/>
  <c r="L302" i="15" s="1"/>
  <c r="K227" i="15"/>
  <c r="L227" i="15" s="1"/>
  <c r="K101" i="15"/>
  <c r="L101" i="15" s="1"/>
  <c r="K162" i="15"/>
  <c r="L162" i="15" s="1"/>
  <c r="K232" i="15"/>
  <c r="L232" i="15" s="1"/>
  <c r="K126" i="15"/>
  <c r="L126" i="15" s="1"/>
  <c r="K20" i="15"/>
  <c r="L20" i="15" s="1"/>
  <c r="K84" i="15"/>
  <c r="L84" i="15" s="1"/>
  <c r="K148" i="15"/>
  <c r="L148" i="15" s="1"/>
  <c r="K65" i="15"/>
  <c r="L65" i="15" s="1"/>
  <c r="K54" i="15"/>
  <c r="L54" i="15" s="1"/>
  <c r="K35" i="15"/>
  <c r="L35" i="15" s="1"/>
  <c r="K99" i="15"/>
  <c r="L99" i="15" s="1"/>
  <c r="K16" i="15"/>
  <c r="L16" i="15" s="1"/>
  <c r="K80" i="15"/>
  <c r="L80" i="15" s="1"/>
  <c r="K144" i="15"/>
  <c r="L144" i="15" s="1"/>
  <c r="K50" i="15"/>
  <c r="L50" i="15" s="1"/>
  <c r="K118" i="15"/>
  <c r="L118" i="15" s="1"/>
  <c r="K193" i="15"/>
  <c r="L193" i="15" s="1"/>
  <c r="K257" i="15"/>
  <c r="L257" i="15" s="1"/>
  <c r="K45" i="15"/>
  <c r="L45" i="15" s="1"/>
  <c r="K114" i="15"/>
  <c r="L114" i="15" s="1"/>
  <c r="K182" i="15"/>
  <c r="L182" i="15" s="1"/>
  <c r="K246" i="15"/>
  <c r="L246" i="15" s="1"/>
  <c r="K169" i="15"/>
  <c r="L169" i="15" s="1"/>
  <c r="K235" i="15"/>
  <c r="L235" i="15" s="1"/>
  <c r="K103" i="15"/>
  <c r="L103" i="15" s="1"/>
  <c r="K176" i="15"/>
  <c r="L176" i="15" s="1"/>
  <c r="K240" i="15"/>
  <c r="L240" i="15" s="1"/>
  <c r="K142" i="15"/>
  <c r="L142" i="15" s="1"/>
  <c r="K28" i="15"/>
  <c r="L28" i="15" s="1"/>
  <c r="K92" i="15"/>
  <c r="L92" i="15" s="1"/>
  <c r="K156" i="15"/>
  <c r="L156" i="15" s="1"/>
  <c r="K73" i="15"/>
  <c r="L73" i="15" s="1"/>
  <c r="K62" i="15"/>
  <c r="L62" i="15" s="1"/>
  <c r="K43" i="15"/>
  <c r="L43" i="15" s="1"/>
  <c r="K107" i="15"/>
  <c r="L107" i="15" s="1"/>
  <c r="K24" i="15"/>
  <c r="L24" i="15" s="1"/>
  <c r="K88" i="15"/>
  <c r="L88" i="15" s="1"/>
  <c r="K152" i="15"/>
  <c r="L152" i="15" s="1"/>
  <c r="K58" i="15"/>
  <c r="L58" i="15" s="1"/>
  <c r="K134" i="15"/>
  <c r="L134" i="15" s="1"/>
  <c r="K201" i="15"/>
  <c r="L201" i="15" s="1"/>
  <c r="K265" i="15"/>
  <c r="L265" i="15" s="1"/>
  <c r="K53" i="15"/>
  <c r="L53" i="15" s="1"/>
  <c r="K121" i="15"/>
  <c r="L121" i="15" s="1"/>
  <c r="K190" i="15"/>
  <c r="L190" i="15" s="1"/>
  <c r="K254" i="15"/>
  <c r="L254" i="15" s="1"/>
  <c r="K179" i="15"/>
  <c r="L179" i="15" s="1"/>
  <c r="K243" i="15"/>
  <c r="L243" i="15" s="1"/>
  <c r="K117" i="15"/>
  <c r="L117" i="15" s="1"/>
  <c r="K184" i="15"/>
  <c r="L184" i="15" s="1"/>
  <c r="K248" i="15"/>
  <c r="L248" i="15" s="1"/>
  <c r="K158" i="15"/>
  <c r="L158" i="15" s="1"/>
  <c r="K36" i="15"/>
  <c r="L36" i="15" s="1"/>
  <c r="K100" i="15"/>
  <c r="L100" i="15" s="1"/>
  <c r="K17" i="15"/>
  <c r="L17" i="15" s="1"/>
  <c r="K81" i="15"/>
  <c r="L81" i="15" s="1"/>
  <c r="K70" i="15"/>
  <c r="L70" i="15" s="1"/>
  <c r="K51" i="15"/>
  <c r="L51" i="15" s="1"/>
  <c r="K115" i="15"/>
  <c r="L115" i="15" s="1"/>
  <c r="K32" i="15"/>
  <c r="L32" i="15" s="1"/>
  <c r="K96" i="15"/>
  <c r="L96" i="15" s="1"/>
  <c r="K160" i="15"/>
  <c r="L160" i="15" s="1"/>
  <c r="K66" i="15"/>
  <c r="L66" i="15" s="1"/>
  <c r="K150" i="15"/>
  <c r="L150" i="15" s="1"/>
  <c r="K209" i="15"/>
  <c r="L209" i="15" s="1"/>
  <c r="K273" i="15"/>
  <c r="L273" i="15" s="1"/>
  <c r="K61" i="15"/>
  <c r="L61" i="15" s="1"/>
  <c r="K130" i="15"/>
  <c r="L130" i="15" s="1"/>
  <c r="K198" i="15"/>
  <c r="L198" i="15" s="1"/>
  <c r="K262" i="15"/>
  <c r="L262" i="15" s="1"/>
  <c r="K187" i="15"/>
  <c r="L187" i="15" s="1"/>
  <c r="K251" i="15"/>
  <c r="L251" i="15" s="1"/>
  <c r="K119" i="15"/>
  <c r="L119" i="15" s="1"/>
  <c r="K192" i="15"/>
  <c r="L192" i="15" s="1"/>
  <c r="K256" i="15"/>
  <c r="L256" i="15" s="1"/>
  <c r="K164" i="15"/>
  <c r="L164" i="15" s="1"/>
  <c r="K44" i="15"/>
  <c r="L44" i="15" s="1"/>
  <c r="K108" i="15"/>
  <c r="L108" i="15" s="1"/>
  <c r="K25" i="15"/>
  <c r="L25" i="15" s="1"/>
  <c r="K14" i="15"/>
  <c r="K78" i="15"/>
  <c r="L78" i="15" s="1"/>
  <c r="K59" i="15"/>
  <c r="L59" i="15" s="1"/>
  <c r="K123" i="15"/>
  <c r="L123" i="15" s="1"/>
  <c r="K40" i="15"/>
  <c r="L40" i="15" s="1"/>
  <c r="K104" i="15"/>
  <c r="L104" i="15" s="1"/>
  <c r="K168" i="15"/>
  <c r="L168" i="15" s="1"/>
  <c r="K74" i="15"/>
  <c r="L74" i="15" s="1"/>
  <c r="K163" i="15"/>
  <c r="L163" i="15" s="1"/>
  <c r="K217" i="15"/>
  <c r="L217" i="15" s="1"/>
  <c r="K281" i="15"/>
  <c r="L281" i="15" s="1"/>
  <c r="K69" i="15"/>
  <c r="L69" i="15" s="1"/>
  <c r="K137" i="15"/>
  <c r="L137" i="15" s="1"/>
  <c r="K206" i="15"/>
  <c r="L206" i="15" s="1"/>
  <c r="K270" i="15"/>
  <c r="L270" i="15" s="1"/>
  <c r="K195" i="15"/>
  <c r="L195" i="15" s="1"/>
  <c r="K259" i="15"/>
  <c r="L259" i="15" s="1"/>
  <c r="K133" i="15"/>
  <c r="L133" i="15" s="1"/>
  <c r="K200" i="15"/>
  <c r="L200" i="15" s="1"/>
  <c r="K264" i="15"/>
  <c r="L264" i="15" s="1"/>
  <c r="K171" i="15"/>
  <c r="L171" i="15" s="1"/>
  <c r="K52" i="15"/>
  <c r="L52" i="15" s="1"/>
  <c r="K116" i="15"/>
  <c r="L116" i="15" s="1"/>
  <c r="K33" i="15"/>
  <c r="L33" i="15" s="1"/>
  <c r="K22" i="15"/>
  <c r="L22" i="15" s="1"/>
  <c r="K86" i="15"/>
  <c r="L86" i="15" s="1"/>
  <c r="K67" i="15"/>
  <c r="L67" i="15" s="1"/>
  <c r="K131" i="15"/>
  <c r="L131" i="15" s="1"/>
  <c r="K48" i="15"/>
  <c r="L48" i="15" s="1"/>
  <c r="K112" i="15"/>
  <c r="L112" i="15" s="1"/>
  <c r="K18" i="15"/>
  <c r="L18" i="15" s="1"/>
  <c r="K82" i="15"/>
  <c r="L82" i="15" s="1"/>
  <c r="K60" i="15"/>
  <c r="L60" i="15" s="1"/>
  <c r="K124" i="15"/>
  <c r="L124" i="15" s="1"/>
  <c r="K41" i="15"/>
  <c r="L41" i="15" s="1"/>
  <c r="K30" i="15"/>
  <c r="L30" i="15" s="1"/>
  <c r="K94" i="15"/>
  <c r="L94" i="15" s="1"/>
  <c r="K75" i="15"/>
  <c r="L75" i="15" s="1"/>
  <c r="K139" i="15"/>
  <c r="L139" i="15" s="1"/>
  <c r="K56" i="15"/>
  <c r="L56" i="15" s="1"/>
  <c r="K120" i="15"/>
  <c r="L120" i="15" s="1"/>
  <c r="K26" i="15"/>
  <c r="L26" i="15" s="1"/>
  <c r="K90" i="15"/>
  <c r="L90" i="15" s="1"/>
  <c r="K172" i="15"/>
  <c r="L172" i="15" s="1"/>
  <c r="K233" i="15"/>
  <c r="L233" i="15" s="1"/>
  <c r="K21" i="15"/>
  <c r="L21" i="15" s="1"/>
  <c r="K85" i="15"/>
  <c r="L85" i="15" s="1"/>
  <c r="K153" i="15"/>
  <c r="L153" i="15" s="1"/>
  <c r="K222" i="15"/>
  <c r="L222" i="15" s="1"/>
  <c r="K286" i="15"/>
  <c r="L286" i="15" s="1"/>
  <c r="K211" i="15"/>
  <c r="L211" i="15" s="1"/>
  <c r="K275" i="15"/>
  <c r="L275" i="15" s="1"/>
  <c r="K149" i="15"/>
  <c r="L149" i="15" s="1"/>
  <c r="K216" i="15"/>
  <c r="L216" i="15" s="1"/>
  <c r="K280" i="15"/>
  <c r="L280" i="15" s="1"/>
  <c r="K181" i="15"/>
  <c r="L181" i="15" s="1"/>
  <c r="K38" i="15"/>
  <c r="L38" i="15" s="1"/>
  <c r="K165" i="15"/>
  <c r="L165" i="15" s="1"/>
  <c r="K146" i="15"/>
  <c r="L146" i="15" s="1"/>
  <c r="K267" i="15"/>
  <c r="L267" i="15" s="1"/>
  <c r="K173" i="15"/>
  <c r="L173" i="15" s="1"/>
  <c r="K245" i="15"/>
  <c r="L245" i="15" s="1"/>
  <c r="K175" i="15"/>
  <c r="L175" i="15" s="1"/>
  <c r="K239" i="15"/>
  <c r="L239" i="15" s="1"/>
  <c r="K95" i="15"/>
  <c r="L95" i="15" s="1"/>
  <c r="K159" i="15"/>
  <c r="L159" i="15" s="1"/>
  <c r="K228" i="15"/>
  <c r="L228" i="15" s="1"/>
  <c r="K129" i="15"/>
  <c r="L129" i="15" s="1"/>
  <c r="K338" i="15"/>
  <c r="L338" i="15" s="1"/>
  <c r="K402" i="15"/>
  <c r="L402" i="15" s="1"/>
  <c r="K154" i="15"/>
  <c r="L154" i="15" s="1"/>
  <c r="K319" i="15"/>
  <c r="L319" i="15" s="1"/>
  <c r="K383" i="15"/>
  <c r="L383" i="15" s="1"/>
  <c r="K138" i="15"/>
  <c r="L138" i="15" s="1"/>
  <c r="K332" i="15"/>
  <c r="L332" i="15" s="1"/>
  <c r="K396" i="15"/>
  <c r="L396" i="15" s="1"/>
  <c r="K321" i="15"/>
  <c r="L321" i="15" s="1"/>
  <c r="K385" i="15"/>
  <c r="L385" i="15" s="1"/>
  <c r="K218" i="15"/>
  <c r="L218" i="15" s="1"/>
  <c r="K342" i="15"/>
  <c r="L342" i="15" s="1"/>
  <c r="K406" i="15"/>
  <c r="L406" i="15" s="1"/>
  <c r="K392" i="15"/>
  <c r="L392" i="15" s="1"/>
  <c r="K477" i="15"/>
  <c r="L477" i="15" s="1"/>
  <c r="K47" i="15"/>
  <c r="L47" i="15" s="1"/>
  <c r="K405" i="15"/>
  <c r="L405" i="15" s="1"/>
  <c r="K490" i="15"/>
  <c r="L490" i="15" s="1"/>
  <c r="K266" i="15"/>
  <c r="L266" i="15" s="1"/>
  <c r="K428" i="15"/>
  <c r="L428" i="15" s="1"/>
  <c r="K479" i="15"/>
  <c r="L479" i="15" s="1"/>
  <c r="K79" i="15"/>
  <c r="L79" i="15" s="1"/>
  <c r="K452" i="15"/>
  <c r="L452" i="15" s="1"/>
  <c r="K516" i="15"/>
  <c r="L516" i="15" s="1"/>
  <c r="K436" i="15"/>
  <c r="L436" i="15" s="1"/>
  <c r="K497" i="15"/>
  <c r="L497" i="15" s="1"/>
  <c r="K368" i="15"/>
  <c r="L368" i="15" s="1"/>
  <c r="K462" i="15"/>
  <c r="L462" i="15" s="1"/>
  <c r="K526" i="15"/>
  <c r="L526" i="15" s="1"/>
  <c r="K376" i="15"/>
  <c r="L376" i="15" s="1"/>
  <c r="K483" i="15"/>
  <c r="L483" i="15" s="1"/>
  <c r="K435" i="15"/>
  <c r="L435" i="15" s="1"/>
  <c r="K592" i="15"/>
  <c r="L592" i="15" s="1"/>
  <c r="K656" i="15"/>
  <c r="L656" i="15" s="1"/>
  <c r="K720" i="15"/>
  <c r="L720" i="15" s="1"/>
  <c r="K581" i="15"/>
  <c r="L581" i="15" s="1"/>
  <c r="K645" i="15"/>
  <c r="L645" i="15" s="1"/>
  <c r="K299" i="15"/>
  <c r="L299" i="15" s="1"/>
  <c r="K578" i="15"/>
  <c r="L578" i="15" s="1"/>
  <c r="K642" i="15"/>
  <c r="L642" i="15" s="1"/>
  <c r="K706" i="15"/>
  <c r="L706" i="15" s="1"/>
  <c r="K591" i="15"/>
  <c r="L591" i="15" s="1"/>
  <c r="K655" i="15"/>
  <c r="L655" i="15" s="1"/>
  <c r="K504" i="15"/>
  <c r="L504" i="15" s="1"/>
  <c r="K596" i="15"/>
  <c r="L596" i="15" s="1"/>
  <c r="K660" i="15"/>
  <c r="L660" i="15" s="1"/>
  <c r="K389" i="15"/>
  <c r="L389" i="15" s="1"/>
  <c r="K577" i="15"/>
  <c r="L577" i="15" s="1"/>
  <c r="K641" i="15"/>
  <c r="L641" i="15" s="1"/>
  <c r="K488" i="15"/>
  <c r="L488" i="15" s="1"/>
  <c r="K606" i="15"/>
  <c r="L606" i="15" s="1"/>
  <c r="K670" i="15"/>
  <c r="L670" i="15" s="1"/>
  <c r="K448" i="15"/>
  <c r="L448" i="15" s="1"/>
  <c r="K579" i="15"/>
  <c r="L579" i="15" s="1"/>
  <c r="K643" i="15"/>
  <c r="L643" i="15" s="1"/>
  <c r="K718" i="15"/>
  <c r="L718" i="15" s="1"/>
  <c r="K781" i="15"/>
  <c r="L781" i="15" s="1"/>
  <c r="K845" i="15"/>
  <c r="L845" i="15" s="1"/>
  <c r="K730" i="15"/>
  <c r="L730" i="15" s="1"/>
  <c r="K794" i="15"/>
  <c r="L794" i="15" s="1"/>
  <c r="K709" i="15"/>
  <c r="L709" i="15" s="1"/>
  <c r="K767" i="15"/>
  <c r="L767" i="15" s="1"/>
  <c r="K831" i="15"/>
  <c r="L831" i="15" s="1"/>
  <c r="K724" i="15"/>
  <c r="L724" i="15" s="1"/>
  <c r="K788" i="15"/>
  <c r="L788" i="15" s="1"/>
  <c r="K19" i="15"/>
  <c r="L19" i="15" s="1"/>
  <c r="K177" i="15"/>
  <c r="L177" i="15" s="1"/>
  <c r="K167" i="15"/>
  <c r="L167" i="15" s="1"/>
  <c r="K283" i="15"/>
  <c r="L283" i="15" s="1"/>
  <c r="K189" i="15"/>
  <c r="L189" i="15" s="1"/>
  <c r="K253" i="15"/>
  <c r="L253" i="15" s="1"/>
  <c r="K183" i="15"/>
  <c r="L183" i="15" s="1"/>
  <c r="K247" i="15"/>
  <c r="L247" i="15" s="1"/>
  <c r="K109" i="15"/>
  <c r="L109" i="15" s="1"/>
  <c r="K170" i="15"/>
  <c r="L170" i="15" s="1"/>
  <c r="K236" i="15"/>
  <c r="L236" i="15" s="1"/>
  <c r="K186" i="15"/>
  <c r="L186" i="15" s="1"/>
  <c r="K346" i="15"/>
  <c r="L346" i="15" s="1"/>
  <c r="K410" i="15"/>
  <c r="L410" i="15" s="1"/>
  <c r="K210" i="15"/>
  <c r="L210" i="15" s="1"/>
  <c r="K327" i="15"/>
  <c r="L327" i="15" s="1"/>
  <c r="K391" i="15"/>
  <c r="L391" i="15" s="1"/>
  <c r="K166" i="15"/>
  <c r="L166" i="15" s="1"/>
  <c r="K340" i="15"/>
  <c r="L340" i="15" s="1"/>
  <c r="K404" i="15"/>
  <c r="L404" i="15" s="1"/>
  <c r="K329" i="15"/>
  <c r="L329" i="15" s="1"/>
  <c r="K393" i="15"/>
  <c r="L393" i="15" s="1"/>
  <c r="K282" i="15"/>
  <c r="L282" i="15" s="1"/>
  <c r="K350" i="15"/>
  <c r="L350" i="15" s="1"/>
  <c r="K414" i="15"/>
  <c r="L414" i="15" s="1"/>
  <c r="K397" i="15"/>
  <c r="L397" i="15" s="1"/>
  <c r="K485" i="15"/>
  <c r="L485" i="15" s="1"/>
  <c r="K202" i="15"/>
  <c r="L202" i="15" s="1"/>
  <c r="K426" i="15"/>
  <c r="L426" i="15" s="1"/>
  <c r="K498" i="15"/>
  <c r="L498" i="15" s="1"/>
  <c r="K339" i="15"/>
  <c r="L339" i="15" s="1"/>
  <c r="K430" i="15"/>
  <c r="L430" i="15" s="1"/>
  <c r="K487" i="15"/>
  <c r="L487" i="15" s="1"/>
  <c r="K347" i="15"/>
  <c r="L347" i="15" s="1"/>
  <c r="K460" i="15"/>
  <c r="L460" i="15" s="1"/>
  <c r="K524" i="15"/>
  <c r="L524" i="15" s="1"/>
  <c r="K441" i="15"/>
  <c r="L441" i="15" s="1"/>
  <c r="K505" i="15"/>
  <c r="L505" i="15" s="1"/>
  <c r="K373" i="15"/>
  <c r="L373" i="15" s="1"/>
  <c r="K470" i="15"/>
  <c r="L470" i="15" s="1"/>
  <c r="K534" i="15"/>
  <c r="L534" i="15" s="1"/>
  <c r="K381" i="15"/>
  <c r="L381" i="15" s="1"/>
  <c r="K491" i="15"/>
  <c r="L491" i="15" s="1"/>
  <c r="K472" i="15"/>
  <c r="L472" i="15" s="1"/>
  <c r="K600" i="15"/>
  <c r="L600" i="15" s="1"/>
  <c r="K664" i="15"/>
  <c r="L664" i="15" s="1"/>
  <c r="K320" i="15"/>
  <c r="L320" i="15" s="1"/>
  <c r="K589" i="15"/>
  <c r="L589" i="15" s="1"/>
  <c r="K653" i="15"/>
  <c r="L653" i="15" s="1"/>
  <c r="K384" i="15"/>
  <c r="L384" i="15" s="1"/>
  <c r="K586" i="15"/>
  <c r="L586" i="15" s="1"/>
  <c r="K650" i="15"/>
  <c r="L650" i="15" s="1"/>
  <c r="K480" i="15"/>
  <c r="L480" i="15" s="1"/>
  <c r="K599" i="15"/>
  <c r="L599" i="15" s="1"/>
  <c r="K663" i="15"/>
  <c r="L663" i="15" s="1"/>
  <c r="K541" i="15"/>
  <c r="L541" i="15" s="1"/>
  <c r="K604" i="15"/>
  <c r="L604" i="15" s="1"/>
  <c r="K668" i="15"/>
  <c r="L668" i="15" s="1"/>
  <c r="K464" i="15"/>
  <c r="L464" i="15" s="1"/>
  <c r="K585" i="15"/>
  <c r="L585" i="15" s="1"/>
  <c r="K649" i="15"/>
  <c r="L649" i="15" s="1"/>
  <c r="K550" i="15"/>
  <c r="L550" i="15" s="1"/>
  <c r="K614" i="15"/>
  <c r="L614" i="15" s="1"/>
  <c r="K678" i="15"/>
  <c r="L678" i="15" s="1"/>
  <c r="K512" i="15"/>
  <c r="L512" i="15" s="1"/>
  <c r="K587" i="15"/>
  <c r="L587" i="15" s="1"/>
  <c r="K651" i="15"/>
  <c r="L651" i="15" s="1"/>
  <c r="K725" i="15"/>
  <c r="L725" i="15" s="1"/>
  <c r="K789" i="15"/>
  <c r="L789" i="15" s="1"/>
  <c r="K853" i="15"/>
  <c r="L853" i="15" s="1"/>
  <c r="K738" i="15"/>
  <c r="L738" i="15" s="1"/>
  <c r="K802" i="15"/>
  <c r="L802" i="15" s="1"/>
  <c r="K711" i="15"/>
  <c r="L711" i="15" s="1"/>
  <c r="K775" i="15"/>
  <c r="L775" i="15" s="1"/>
  <c r="K839" i="15"/>
  <c r="L839" i="15" s="1"/>
  <c r="K732" i="15"/>
  <c r="L732" i="15" s="1"/>
  <c r="K796" i="15"/>
  <c r="L796" i="15" s="1"/>
  <c r="K83" i="15"/>
  <c r="L83" i="15" s="1"/>
  <c r="K225" i="15"/>
  <c r="L225" i="15" s="1"/>
  <c r="K214" i="15"/>
  <c r="L214" i="15" s="1"/>
  <c r="K135" i="15"/>
  <c r="L135" i="15" s="1"/>
  <c r="K197" i="15"/>
  <c r="L197" i="15" s="1"/>
  <c r="K261" i="15"/>
  <c r="L261" i="15" s="1"/>
  <c r="K191" i="15"/>
  <c r="L191" i="15" s="1"/>
  <c r="K255" i="15"/>
  <c r="L255" i="15" s="1"/>
  <c r="K111" i="15"/>
  <c r="L111" i="15" s="1"/>
  <c r="K180" i="15"/>
  <c r="L180" i="15" s="1"/>
  <c r="K244" i="15"/>
  <c r="L244" i="15" s="1"/>
  <c r="K250" i="15"/>
  <c r="L250" i="15" s="1"/>
  <c r="K354" i="15"/>
  <c r="L354" i="15" s="1"/>
  <c r="K418" i="15"/>
  <c r="L418" i="15" s="1"/>
  <c r="K274" i="15"/>
  <c r="L274" i="15" s="1"/>
  <c r="K335" i="15"/>
  <c r="L335" i="15" s="1"/>
  <c r="K399" i="15"/>
  <c r="L399" i="15" s="1"/>
  <c r="K234" i="15"/>
  <c r="L234" i="15" s="1"/>
  <c r="K348" i="15"/>
  <c r="L348" i="15" s="1"/>
  <c r="K412" i="15"/>
  <c r="L412" i="15" s="1"/>
  <c r="K337" i="15"/>
  <c r="L337" i="15" s="1"/>
  <c r="K401" i="15"/>
  <c r="L401" i="15" s="1"/>
  <c r="K295" i="15"/>
  <c r="L295" i="15" s="1"/>
  <c r="K358" i="15"/>
  <c r="L358" i="15" s="1"/>
  <c r="K422" i="15"/>
  <c r="L422" i="15" s="1"/>
  <c r="K424" i="15"/>
  <c r="L424" i="15" s="1"/>
  <c r="K493" i="15"/>
  <c r="L493" i="15" s="1"/>
  <c r="K297" i="15"/>
  <c r="L297" i="15" s="1"/>
  <c r="K442" i="15"/>
  <c r="L442" i="15" s="1"/>
  <c r="K506" i="15"/>
  <c r="L506" i="15" s="1"/>
  <c r="K344" i="15"/>
  <c r="L344" i="15" s="1"/>
  <c r="K432" i="15"/>
  <c r="L432" i="15" s="1"/>
  <c r="K495" i="15"/>
  <c r="L495" i="15" s="1"/>
  <c r="K352" i="15"/>
  <c r="L352" i="15" s="1"/>
  <c r="K468" i="15"/>
  <c r="L468" i="15" s="1"/>
  <c r="K532" i="15"/>
  <c r="L532" i="15" s="1"/>
  <c r="K449" i="15"/>
  <c r="L449" i="15" s="1"/>
  <c r="K513" i="15"/>
  <c r="L513" i="15" s="1"/>
  <c r="K419" i="15"/>
  <c r="L419" i="15" s="1"/>
  <c r="K478" i="15"/>
  <c r="L478" i="15" s="1"/>
  <c r="K63" i="15"/>
  <c r="L63" i="15" s="1"/>
  <c r="K429" i="15"/>
  <c r="L429" i="15" s="1"/>
  <c r="K499" i="15"/>
  <c r="L499" i="15" s="1"/>
  <c r="K544" i="15"/>
  <c r="L544" i="15" s="1"/>
  <c r="K608" i="15"/>
  <c r="L608" i="15" s="1"/>
  <c r="K672" i="15"/>
  <c r="L672" i="15" s="1"/>
  <c r="K496" i="15"/>
  <c r="L496" i="15" s="1"/>
  <c r="K597" i="15"/>
  <c r="L597" i="15" s="1"/>
  <c r="K661" i="15"/>
  <c r="L661" i="15" s="1"/>
  <c r="K456" i="15"/>
  <c r="L456" i="15" s="1"/>
  <c r="K594" i="15"/>
  <c r="L594" i="15" s="1"/>
  <c r="K658" i="15"/>
  <c r="L658" i="15" s="1"/>
  <c r="K543" i="15"/>
  <c r="L543" i="15" s="1"/>
  <c r="K607" i="15"/>
  <c r="L607" i="15" s="1"/>
  <c r="K671" i="15"/>
  <c r="L671" i="15" s="1"/>
  <c r="K548" i="15"/>
  <c r="L548" i="15" s="1"/>
  <c r="K612" i="15"/>
  <c r="L612" i="15" s="1"/>
  <c r="K676" i="15"/>
  <c r="L676" i="15" s="1"/>
  <c r="K528" i="15"/>
  <c r="L528" i="15" s="1"/>
  <c r="K593" i="15"/>
  <c r="L593" i="15" s="1"/>
  <c r="K657" i="15"/>
  <c r="L657" i="15" s="1"/>
  <c r="K558" i="15"/>
  <c r="L558" i="15" s="1"/>
  <c r="K622" i="15"/>
  <c r="L622" i="15" s="1"/>
  <c r="K686" i="15"/>
  <c r="L686" i="15" s="1"/>
  <c r="K540" i="15"/>
  <c r="L540" i="15" s="1"/>
  <c r="K595" i="15"/>
  <c r="L595" i="15" s="1"/>
  <c r="K659" i="15"/>
  <c r="L659" i="15" s="1"/>
  <c r="K733" i="15"/>
  <c r="L733" i="15" s="1"/>
  <c r="K797" i="15"/>
  <c r="L797" i="15" s="1"/>
  <c r="K861" i="15"/>
  <c r="L861" i="15" s="1"/>
  <c r="K746" i="15"/>
  <c r="L746" i="15" s="1"/>
  <c r="K810" i="15"/>
  <c r="L810" i="15" s="1"/>
  <c r="K713" i="15"/>
  <c r="L713" i="15" s="1"/>
  <c r="K783" i="15"/>
  <c r="L783" i="15" s="1"/>
  <c r="K847" i="15"/>
  <c r="L847" i="15" s="1"/>
  <c r="K740" i="15"/>
  <c r="L740" i="15" s="1"/>
  <c r="K804" i="15"/>
  <c r="L804" i="15" s="1"/>
  <c r="K147" i="15"/>
  <c r="L147" i="15" s="1"/>
  <c r="K241" i="15"/>
  <c r="L241" i="15" s="1"/>
  <c r="K230" i="15"/>
  <c r="L230" i="15" s="1"/>
  <c r="K151" i="15"/>
  <c r="L151" i="15" s="1"/>
  <c r="K205" i="15"/>
  <c r="L205" i="15" s="1"/>
  <c r="K269" i="15"/>
  <c r="L269" i="15" s="1"/>
  <c r="K199" i="15"/>
  <c r="L199" i="15" s="1"/>
  <c r="K263" i="15"/>
  <c r="L263" i="15" s="1"/>
  <c r="K125" i="15"/>
  <c r="L125" i="15" s="1"/>
  <c r="K188" i="15"/>
  <c r="L188" i="15" s="1"/>
  <c r="K252" i="15"/>
  <c r="L252" i="15" s="1"/>
  <c r="K301" i="15"/>
  <c r="L301" i="15" s="1"/>
  <c r="K362" i="15"/>
  <c r="L362" i="15" s="1"/>
  <c r="K23" i="15"/>
  <c r="L23" i="15" s="1"/>
  <c r="K290" i="15"/>
  <c r="L290" i="15" s="1"/>
  <c r="K343" i="15"/>
  <c r="L343" i="15" s="1"/>
  <c r="K407" i="15"/>
  <c r="L407" i="15" s="1"/>
  <c r="K288" i="15"/>
  <c r="L288" i="15" s="1"/>
  <c r="K356" i="15"/>
  <c r="L356" i="15" s="1"/>
  <c r="K122" i="15"/>
  <c r="L122" i="15" s="1"/>
  <c r="K345" i="15"/>
  <c r="L345" i="15" s="1"/>
  <c r="K409" i="15"/>
  <c r="L409" i="15" s="1"/>
  <c r="K300" i="15"/>
  <c r="L300" i="15" s="1"/>
  <c r="K366" i="15"/>
  <c r="L366" i="15" s="1"/>
  <c r="K291" i="15"/>
  <c r="L291" i="15" s="1"/>
  <c r="K437" i="15"/>
  <c r="L437" i="15" s="1"/>
  <c r="K501" i="15"/>
  <c r="L501" i="15" s="1"/>
  <c r="K331" i="15"/>
  <c r="L331" i="15" s="1"/>
  <c r="K450" i="15"/>
  <c r="L450" i="15" s="1"/>
  <c r="K514" i="15"/>
  <c r="L514" i="15" s="1"/>
  <c r="K349" i="15"/>
  <c r="L349" i="15" s="1"/>
  <c r="K439" i="15"/>
  <c r="L439" i="15" s="1"/>
  <c r="K503" i="15"/>
  <c r="L503" i="15" s="1"/>
  <c r="K357" i="15"/>
  <c r="L357" i="15" s="1"/>
  <c r="K476" i="15"/>
  <c r="L476" i="15" s="1"/>
  <c r="K31" i="15"/>
  <c r="L31" i="15" s="1"/>
  <c r="K457" i="15"/>
  <c r="L457" i="15" s="1"/>
  <c r="K521" i="15"/>
  <c r="L521" i="15" s="1"/>
  <c r="K421" i="15"/>
  <c r="L421" i="15" s="1"/>
  <c r="K486" i="15"/>
  <c r="L486" i="15" s="1"/>
  <c r="K178" i="15"/>
  <c r="L178" i="15" s="1"/>
  <c r="K443" i="15"/>
  <c r="L443" i="15" s="1"/>
  <c r="K507" i="15"/>
  <c r="L507" i="15" s="1"/>
  <c r="K552" i="15"/>
  <c r="L552" i="15" s="1"/>
  <c r="K616" i="15"/>
  <c r="L616" i="15" s="1"/>
  <c r="K680" i="15"/>
  <c r="L680" i="15" s="1"/>
  <c r="K536" i="15"/>
  <c r="L536" i="15" s="1"/>
  <c r="K605" i="15"/>
  <c r="L605" i="15" s="1"/>
  <c r="K669" i="15"/>
  <c r="L669" i="15" s="1"/>
  <c r="K520" i="15"/>
  <c r="L520" i="15" s="1"/>
  <c r="K602" i="15"/>
  <c r="L602" i="15" s="1"/>
  <c r="K666" i="15"/>
  <c r="L666" i="15" s="1"/>
  <c r="K551" i="15"/>
  <c r="L551" i="15" s="1"/>
  <c r="K615" i="15"/>
  <c r="L615" i="15" s="1"/>
  <c r="K679" i="15"/>
  <c r="L679" i="15" s="1"/>
  <c r="K556" i="15"/>
  <c r="L556" i="15" s="1"/>
  <c r="K620" i="15"/>
  <c r="L620" i="15" s="1"/>
  <c r="K684" i="15"/>
  <c r="L684" i="15" s="1"/>
  <c r="K537" i="15"/>
  <c r="L537" i="15" s="1"/>
  <c r="K601" i="15"/>
  <c r="L601" i="15" s="1"/>
  <c r="K665" i="15"/>
  <c r="L665" i="15" s="1"/>
  <c r="K566" i="15"/>
  <c r="L566" i="15" s="1"/>
  <c r="K630" i="15"/>
  <c r="L630" i="15" s="1"/>
  <c r="K694" i="15"/>
  <c r="L694" i="15" s="1"/>
  <c r="K542" i="15"/>
  <c r="L542" i="15" s="1"/>
  <c r="K603" i="15"/>
  <c r="L603" i="15" s="1"/>
  <c r="K667" i="15"/>
  <c r="L667" i="15" s="1"/>
  <c r="K741" i="15"/>
  <c r="L741" i="15" s="1"/>
  <c r="K805" i="15"/>
  <c r="L805" i="15" s="1"/>
  <c r="K869" i="15"/>
  <c r="L869" i="15" s="1"/>
  <c r="K754" i="15"/>
  <c r="L754" i="15" s="1"/>
  <c r="K818" i="15"/>
  <c r="L818" i="15" s="1"/>
  <c r="K727" i="15"/>
  <c r="L727" i="15" s="1"/>
  <c r="K791" i="15"/>
  <c r="L791" i="15" s="1"/>
  <c r="K855" i="15"/>
  <c r="L855" i="15" s="1"/>
  <c r="K748" i="15"/>
  <c r="L748" i="15" s="1"/>
  <c r="K812" i="15"/>
  <c r="L812" i="15" s="1"/>
  <c r="K719" i="15"/>
  <c r="L719" i="15" s="1"/>
  <c r="K64" i="15"/>
  <c r="L64" i="15" s="1"/>
  <c r="K289" i="15"/>
  <c r="L289" i="15" s="1"/>
  <c r="K278" i="15"/>
  <c r="L278" i="15" s="1"/>
  <c r="K208" i="15"/>
  <c r="L208" i="15" s="1"/>
  <c r="K213" i="15"/>
  <c r="L213" i="15" s="1"/>
  <c r="K277" i="15"/>
  <c r="L277" i="15" s="1"/>
  <c r="K207" i="15"/>
  <c r="L207" i="15" s="1"/>
  <c r="K271" i="15"/>
  <c r="L271" i="15" s="1"/>
  <c r="K127" i="15"/>
  <c r="L127" i="15" s="1"/>
  <c r="K196" i="15"/>
  <c r="L196" i="15" s="1"/>
  <c r="K260" i="15"/>
  <c r="L260" i="15" s="1"/>
  <c r="K306" i="15"/>
  <c r="L306" i="15" s="1"/>
  <c r="K370" i="15"/>
  <c r="L370" i="15" s="1"/>
  <c r="K39" i="15"/>
  <c r="L39" i="15" s="1"/>
  <c r="K292" i="15"/>
  <c r="L292" i="15" s="1"/>
  <c r="K351" i="15"/>
  <c r="L351" i="15" s="1"/>
  <c r="K415" i="15"/>
  <c r="L415" i="15" s="1"/>
  <c r="K298" i="15"/>
  <c r="L298" i="15" s="1"/>
  <c r="K364" i="15"/>
  <c r="L364" i="15" s="1"/>
  <c r="K194" i="15"/>
  <c r="L194" i="15" s="1"/>
  <c r="K353" i="15"/>
  <c r="L353" i="15" s="1"/>
  <c r="K417" i="15"/>
  <c r="L417" i="15" s="1"/>
  <c r="K310" i="15"/>
  <c r="L310" i="15" s="1"/>
  <c r="K374" i="15"/>
  <c r="L374" i="15" s="1"/>
  <c r="K323" i="15"/>
  <c r="L323" i="15" s="1"/>
  <c r="K445" i="15"/>
  <c r="L445" i="15" s="1"/>
  <c r="K509" i="15"/>
  <c r="L509" i="15" s="1"/>
  <c r="K336" i="15"/>
  <c r="L336" i="15" s="1"/>
  <c r="K458" i="15"/>
  <c r="L458" i="15" s="1"/>
  <c r="K522" i="15"/>
  <c r="L522" i="15" s="1"/>
  <c r="K403" i="15"/>
  <c r="L403" i="15" s="1"/>
  <c r="K447" i="15"/>
  <c r="L447" i="15" s="1"/>
  <c r="K511" i="15"/>
  <c r="L511" i="15" s="1"/>
  <c r="K411" i="15"/>
  <c r="L411" i="15" s="1"/>
  <c r="K484" i="15"/>
  <c r="L484" i="15" s="1"/>
  <c r="K226" i="15"/>
  <c r="L226" i="15" s="1"/>
  <c r="K465" i="15"/>
  <c r="L465" i="15" s="1"/>
  <c r="K529" i="15"/>
  <c r="L529" i="15" s="1"/>
  <c r="K427" i="15"/>
  <c r="L427" i="15" s="1"/>
  <c r="K494" i="15"/>
  <c r="L494" i="15" s="1"/>
  <c r="K307" i="15"/>
  <c r="L307" i="15" s="1"/>
  <c r="K451" i="15"/>
  <c r="L451" i="15" s="1"/>
  <c r="K515" i="15"/>
  <c r="L515" i="15" s="1"/>
  <c r="K560" i="15"/>
  <c r="L560" i="15" s="1"/>
  <c r="K624" i="15"/>
  <c r="L624" i="15" s="1"/>
  <c r="K688" i="15"/>
  <c r="L688" i="15" s="1"/>
  <c r="K549" i="15"/>
  <c r="L549" i="15" s="1"/>
  <c r="K613" i="15"/>
  <c r="L613" i="15" s="1"/>
  <c r="K677" i="15"/>
  <c r="L677" i="15" s="1"/>
  <c r="K546" i="15"/>
  <c r="L546" i="15" s="1"/>
  <c r="K610" i="15"/>
  <c r="L610" i="15" s="1"/>
  <c r="K674" i="15"/>
  <c r="L674" i="15" s="1"/>
  <c r="K559" i="15"/>
  <c r="L559" i="15" s="1"/>
  <c r="K623" i="15"/>
  <c r="L623" i="15" s="1"/>
  <c r="K687" i="15"/>
  <c r="L687" i="15" s="1"/>
  <c r="K564" i="15"/>
  <c r="L564" i="15" s="1"/>
  <c r="K628" i="15"/>
  <c r="L628" i="15" s="1"/>
  <c r="K692" i="15"/>
  <c r="L692" i="15" s="1"/>
  <c r="K545" i="15"/>
  <c r="L545" i="15" s="1"/>
  <c r="K609" i="15"/>
  <c r="L609" i="15" s="1"/>
  <c r="K673" i="15"/>
  <c r="L673" i="15" s="1"/>
  <c r="K574" i="15"/>
  <c r="L574" i="15" s="1"/>
  <c r="K638" i="15"/>
  <c r="L638" i="15" s="1"/>
  <c r="K702" i="15"/>
  <c r="L702" i="15" s="1"/>
  <c r="K547" i="15"/>
  <c r="L547" i="15" s="1"/>
  <c r="K611" i="15"/>
  <c r="L611" i="15" s="1"/>
  <c r="K675" i="15"/>
  <c r="L675" i="15" s="1"/>
  <c r="K749" i="15"/>
  <c r="L749" i="15" s="1"/>
  <c r="K813" i="15"/>
  <c r="L813" i="15" s="1"/>
  <c r="K877" i="15"/>
  <c r="L877" i="15" s="1"/>
  <c r="K762" i="15"/>
  <c r="L762" i="15" s="1"/>
  <c r="K826" i="15"/>
  <c r="L826" i="15" s="1"/>
  <c r="K735" i="15"/>
  <c r="L735" i="15" s="1"/>
  <c r="K799" i="15"/>
  <c r="L799" i="15" s="1"/>
  <c r="K863" i="15"/>
  <c r="L863" i="15" s="1"/>
  <c r="K756" i="15"/>
  <c r="L756" i="15" s="1"/>
  <c r="K820" i="15"/>
  <c r="L820" i="15" s="1"/>
  <c r="K68" i="15"/>
  <c r="L68" i="15" s="1"/>
  <c r="K128" i="15"/>
  <c r="L128" i="15" s="1"/>
  <c r="K29" i="15"/>
  <c r="L29" i="15" s="1"/>
  <c r="K294" i="15"/>
  <c r="L294" i="15" s="1"/>
  <c r="K224" i="15"/>
  <c r="L224" i="15" s="1"/>
  <c r="K221" i="15"/>
  <c r="L221" i="15" s="1"/>
  <c r="K285" i="15"/>
  <c r="L285" i="15" s="1"/>
  <c r="K215" i="15"/>
  <c r="L215" i="15" s="1"/>
  <c r="K279" i="15"/>
  <c r="L279" i="15" s="1"/>
  <c r="K141" i="15"/>
  <c r="L141" i="15" s="1"/>
  <c r="K204" i="15"/>
  <c r="L204" i="15" s="1"/>
  <c r="K268" i="15"/>
  <c r="L268" i="15" s="1"/>
  <c r="K314" i="15"/>
  <c r="L314" i="15" s="1"/>
  <c r="K378" i="15"/>
  <c r="L378" i="15" s="1"/>
  <c r="K55" i="15"/>
  <c r="L55" i="15" s="1"/>
  <c r="K296" i="15"/>
  <c r="L296" i="15" s="1"/>
  <c r="K359" i="15"/>
  <c r="L359" i="15" s="1"/>
  <c r="K423" i="15"/>
  <c r="L423" i="15" s="1"/>
  <c r="K308" i="15"/>
  <c r="L308" i="15" s="1"/>
  <c r="K372" i="15"/>
  <c r="L372" i="15" s="1"/>
  <c r="K258" i="15"/>
  <c r="L258" i="15" s="1"/>
  <c r="K361" i="15"/>
  <c r="L361" i="15" s="1"/>
  <c r="K425" i="15"/>
  <c r="L425" i="15" s="1"/>
  <c r="K318" i="15"/>
  <c r="L318" i="15" s="1"/>
  <c r="K382" i="15"/>
  <c r="L382" i="15" s="1"/>
  <c r="K328" i="15"/>
  <c r="L328" i="15" s="1"/>
  <c r="K453" i="15"/>
  <c r="L453" i="15" s="1"/>
  <c r="K517" i="15"/>
  <c r="L517" i="15" s="1"/>
  <c r="K341" i="15"/>
  <c r="L341" i="15" s="1"/>
  <c r="K466" i="15"/>
  <c r="L466" i="15" s="1"/>
  <c r="K530" i="15"/>
  <c r="L530" i="15" s="1"/>
  <c r="K408" i="15"/>
  <c r="L408" i="15" s="1"/>
  <c r="K455" i="15"/>
  <c r="L455" i="15" s="1"/>
  <c r="K519" i="15"/>
  <c r="L519" i="15" s="1"/>
  <c r="K416" i="15"/>
  <c r="L416" i="15" s="1"/>
  <c r="K492" i="15"/>
  <c r="L492" i="15" s="1"/>
  <c r="K355" i="15"/>
  <c r="L355" i="15" s="1"/>
  <c r="K473" i="15"/>
  <c r="L473" i="15" s="1"/>
  <c r="K304" i="15"/>
  <c r="L304" i="15" s="1"/>
  <c r="K438" i="15"/>
  <c r="L438" i="15" s="1"/>
  <c r="K502" i="15"/>
  <c r="L502" i="15" s="1"/>
  <c r="K312" i="15"/>
  <c r="L312" i="15" s="1"/>
  <c r="K459" i="15"/>
  <c r="L459" i="15" s="1"/>
  <c r="K523" i="15"/>
  <c r="L523" i="15" s="1"/>
  <c r="K568" i="15"/>
  <c r="L568" i="15" s="1"/>
  <c r="K632" i="15"/>
  <c r="L632" i="15" s="1"/>
  <c r="K696" i="15"/>
  <c r="L696" i="15" s="1"/>
  <c r="K557" i="15"/>
  <c r="L557" i="15" s="1"/>
  <c r="K621" i="15"/>
  <c r="L621" i="15" s="1"/>
  <c r="K685" i="15"/>
  <c r="L685" i="15" s="1"/>
  <c r="K554" i="15"/>
  <c r="L554" i="15" s="1"/>
  <c r="K618" i="15"/>
  <c r="L618" i="15" s="1"/>
  <c r="K682" i="15"/>
  <c r="L682" i="15" s="1"/>
  <c r="K567" i="15"/>
  <c r="L567" i="15" s="1"/>
  <c r="K631" i="15"/>
  <c r="L631" i="15" s="1"/>
  <c r="K695" i="15"/>
  <c r="L695" i="15" s="1"/>
  <c r="K572" i="15"/>
  <c r="L572" i="15" s="1"/>
  <c r="K636" i="15"/>
  <c r="L636" i="15" s="1"/>
  <c r="K700" i="15"/>
  <c r="L700" i="15" s="1"/>
  <c r="K553" i="15"/>
  <c r="L553" i="15" s="1"/>
  <c r="K617" i="15"/>
  <c r="L617" i="15" s="1"/>
  <c r="K681" i="15"/>
  <c r="L681" i="15" s="1"/>
  <c r="K582" i="15"/>
  <c r="L582" i="15" s="1"/>
  <c r="K646" i="15"/>
  <c r="L646" i="15" s="1"/>
  <c r="K15" i="15"/>
  <c r="L15" i="15" s="1"/>
  <c r="K555" i="15"/>
  <c r="L555" i="15" s="1"/>
  <c r="K619" i="15"/>
  <c r="L619" i="15" s="1"/>
  <c r="K683" i="15"/>
  <c r="L683" i="15" s="1"/>
  <c r="K757" i="15"/>
  <c r="L757" i="15" s="1"/>
  <c r="K132" i="15"/>
  <c r="L132" i="15" s="1"/>
  <c r="K34" i="15"/>
  <c r="L34" i="15" s="1"/>
  <c r="K77" i="15"/>
  <c r="L77" i="15" s="1"/>
  <c r="K203" i="15"/>
  <c r="L203" i="15" s="1"/>
  <c r="K272" i="15"/>
  <c r="L272" i="15" s="1"/>
  <c r="K229" i="15"/>
  <c r="L229" i="15" s="1"/>
  <c r="K293" i="15"/>
  <c r="L293" i="15" s="1"/>
  <c r="K223" i="15"/>
  <c r="L223" i="15" s="1"/>
  <c r="K287" i="15"/>
  <c r="L287" i="15" s="1"/>
  <c r="K143" i="15"/>
  <c r="L143" i="15" s="1"/>
  <c r="K212" i="15"/>
  <c r="L212" i="15" s="1"/>
  <c r="K276" i="15"/>
  <c r="L276" i="15" s="1"/>
  <c r="K322" i="15"/>
  <c r="L322" i="15" s="1"/>
  <c r="K386" i="15"/>
  <c r="L386" i="15" s="1"/>
  <c r="K71" i="15"/>
  <c r="L71" i="15" s="1"/>
  <c r="K303" i="15"/>
  <c r="L303" i="15" s="1"/>
  <c r="K367" i="15"/>
  <c r="L367" i="15" s="1"/>
  <c r="K431" i="15"/>
  <c r="L431" i="15" s="1"/>
  <c r="K316" i="15"/>
  <c r="L316" i="15" s="1"/>
  <c r="K380" i="15"/>
  <c r="L380" i="15" s="1"/>
  <c r="K305" i="15"/>
  <c r="L305" i="15" s="1"/>
  <c r="K369" i="15"/>
  <c r="L369" i="15" s="1"/>
  <c r="K433" i="15"/>
  <c r="L433" i="15" s="1"/>
  <c r="K326" i="15"/>
  <c r="L326" i="15" s="1"/>
  <c r="K390" i="15"/>
  <c r="L390" i="15" s="1"/>
  <c r="K333" i="15"/>
  <c r="L333" i="15" s="1"/>
  <c r="K461" i="15"/>
  <c r="L461" i="15" s="1"/>
  <c r="K525" i="15"/>
  <c r="L525" i="15" s="1"/>
  <c r="K395" i="15"/>
  <c r="L395" i="15" s="1"/>
  <c r="K474" i="15"/>
  <c r="L474" i="15" s="1"/>
  <c r="K538" i="15"/>
  <c r="L538" i="15" s="1"/>
  <c r="K413" i="15"/>
  <c r="L413" i="15" s="1"/>
  <c r="K463" i="15"/>
  <c r="L463" i="15" s="1"/>
  <c r="K527" i="15"/>
  <c r="L527" i="15" s="1"/>
  <c r="K434" i="15"/>
  <c r="L434" i="15" s="1"/>
  <c r="K500" i="15"/>
  <c r="L500" i="15" s="1"/>
  <c r="K360" i="15"/>
  <c r="L360" i="15" s="1"/>
  <c r="K481" i="15"/>
  <c r="L481" i="15" s="1"/>
  <c r="K309" i="15"/>
  <c r="L309" i="15" s="1"/>
  <c r="K446" i="15"/>
  <c r="L446" i="15" s="1"/>
  <c r="K510" i="15"/>
  <c r="L510" i="15" s="1"/>
  <c r="K317" i="15"/>
  <c r="L317" i="15" s="1"/>
  <c r="K467" i="15"/>
  <c r="L467" i="15" s="1"/>
  <c r="K531" i="15"/>
  <c r="L531" i="15" s="1"/>
  <c r="K576" i="15"/>
  <c r="L576" i="15" s="1"/>
  <c r="K640" i="15"/>
  <c r="L640" i="15" s="1"/>
  <c r="K704" i="15"/>
  <c r="L704" i="15" s="1"/>
  <c r="K565" i="15"/>
  <c r="L565" i="15" s="1"/>
  <c r="K629" i="15"/>
  <c r="L629" i="15" s="1"/>
  <c r="K693" i="15"/>
  <c r="L693" i="15" s="1"/>
  <c r="K562" i="15"/>
  <c r="L562" i="15" s="1"/>
  <c r="K626" i="15"/>
  <c r="L626" i="15" s="1"/>
  <c r="K690" i="15"/>
  <c r="L690" i="15" s="1"/>
  <c r="K575" i="15"/>
  <c r="L575" i="15" s="1"/>
  <c r="K639" i="15"/>
  <c r="L639" i="15" s="1"/>
  <c r="K325" i="15"/>
  <c r="L325" i="15" s="1"/>
  <c r="K580" i="15"/>
  <c r="L580" i="15" s="1"/>
  <c r="K644" i="15"/>
  <c r="L644" i="15" s="1"/>
  <c r="K708" i="15"/>
  <c r="L708" i="15" s="1"/>
  <c r="K561" i="15"/>
  <c r="L561" i="15" s="1"/>
  <c r="K625" i="15"/>
  <c r="L625" i="15" s="1"/>
  <c r="K689" i="15"/>
  <c r="L689" i="15" s="1"/>
  <c r="K590" i="15"/>
  <c r="L590" i="15" s="1"/>
  <c r="K654" i="15"/>
  <c r="L654" i="15" s="1"/>
  <c r="K242" i="15"/>
  <c r="L242" i="15" s="1"/>
  <c r="K563" i="15"/>
  <c r="L563" i="15" s="1"/>
  <c r="K627" i="15"/>
  <c r="L627" i="15" s="1"/>
  <c r="K691" i="15"/>
  <c r="L691" i="15" s="1"/>
  <c r="K765" i="15"/>
  <c r="L765" i="15" s="1"/>
  <c r="K829" i="15"/>
  <c r="L829" i="15" s="1"/>
  <c r="K697" i="15"/>
  <c r="L697" i="15" s="1"/>
  <c r="K778" i="15"/>
  <c r="L778" i="15" s="1"/>
  <c r="K842" i="15"/>
  <c r="L842" i="15" s="1"/>
  <c r="K751" i="15"/>
  <c r="L751" i="15" s="1"/>
  <c r="K815" i="15"/>
  <c r="L815" i="15" s="1"/>
  <c r="K715" i="15"/>
  <c r="L715" i="15" s="1"/>
  <c r="K772" i="15"/>
  <c r="L772" i="15" s="1"/>
  <c r="K836" i="15"/>
  <c r="L836" i="15" s="1"/>
  <c r="K93" i="15"/>
  <c r="L93" i="15" s="1"/>
  <c r="K157" i="15"/>
  <c r="L157" i="15" s="1"/>
  <c r="K97" i="15"/>
  <c r="L97" i="15" s="1"/>
  <c r="K387" i="15"/>
  <c r="L387" i="15" s="1"/>
  <c r="K535" i="15"/>
  <c r="L535" i="15" s="1"/>
  <c r="K371" i="15"/>
  <c r="L371" i="15" s="1"/>
  <c r="K145" i="15"/>
  <c r="L145" i="15" s="1"/>
  <c r="K652" i="15"/>
  <c r="L652" i="15" s="1"/>
  <c r="K571" i="15"/>
  <c r="L571" i="15" s="1"/>
  <c r="K770" i="15"/>
  <c r="L770" i="15" s="1"/>
  <c r="K705" i="15"/>
  <c r="L705" i="15" s="1"/>
  <c r="K703" i="15"/>
  <c r="L703" i="15" s="1"/>
  <c r="K777" i="15"/>
  <c r="L777" i="15" s="1"/>
  <c r="K841" i="15"/>
  <c r="L841" i="15" s="1"/>
  <c r="K750" i="15"/>
  <c r="L750" i="15" s="1"/>
  <c r="K814" i="15"/>
  <c r="L814" i="15" s="1"/>
  <c r="K878" i="15"/>
  <c r="L878" i="15" s="1"/>
  <c r="K819" i="15"/>
  <c r="L819" i="15" s="1"/>
  <c r="K914" i="15"/>
  <c r="L914" i="15" s="1"/>
  <c r="K978" i="15"/>
  <c r="L978" i="15" s="1"/>
  <c r="K895" i="15"/>
  <c r="L895" i="15" s="1"/>
  <c r="K959" i="15"/>
  <c r="L959" i="15" s="1"/>
  <c r="K776" i="15"/>
  <c r="L776" i="15" s="1"/>
  <c r="K868" i="15"/>
  <c r="L868" i="15" s="1"/>
  <c r="K932" i="15"/>
  <c r="L932" i="15" s="1"/>
  <c r="K996" i="15"/>
  <c r="L996" i="15" s="1"/>
  <c r="K905" i="15"/>
  <c r="L905" i="15" s="1"/>
  <c r="K969" i="15"/>
  <c r="L969" i="15" s="1"/>
  <c r="K771" i="15"/>
  <c r="L771" i="15" s="1"/>
  <c r="K910" i="15"/>
  <c r="L910" i="15" s="1"/>
  <c r="K974" i="15"/>
  <c r="L974" i="15" s="1"/>
  <c r="K899" i="15"/>
  <c r="L899" i="15" s="1"/>
  <c r="K963" i="15"/>
  <c r="L963" i="15" s="1"/>
  <c r="K763" i="15"/>
  <c r="L763" i="15" s="1"/>
  <c r="K896" i="15"/>
  <c r="L896" i="15" s="1"/>
  <c r="K960" i="15"/>
  <c r="L960" i="15" s="1"/>
  <c r="K850" i="15"/>
  <c r="L850" i="15" s="1"/>
  <c r="K933" i="15"/>
  <c r="L933" i="15" s="1"/>
  <c r="K997" i="15"/>
  <c r="L997" i="15" s="1"/>
  <c r="K1005" i="15"/>
  <c r="L1005" i="15" s="1"/>
  <c r="K1012" i="15"/>
  <c r="L1012" i="15" s="1"/>
  <c r="K867" i="15"/>
  <c r="L867" i="15" s="1"/>
  <c r="K909" i="15"/>
  <c r="L909" i="15" s="1"/>
  <c r="K471" i="15"/>
  <c r="L471" i="15" s="1"/>
  <c r="K742" i="15"/>
  <c r="L742" i="15" s="1"/>
  <c r="K924" i="15"/>
  <c r="L924" i="15" s="1"/>
  <c r="K891" i="15"/>
  <c r="L891" i="15" s="1"/>
  <c r="K989" i="15"/>
  <c r="L989" i="15" s="1"/>
  <c r="K98" i="15"/>
  <c r="L98" i="15" s="1"/>
  <c r="K220" i="15"/>
  <c r="L220" i="15" s="1"/>
  <c r="K324" i="15"/>
  <c r="L324" i="15" s="1"/>
  <c r="K469" i="15"/>
  <c r="L469" i="15" s="1"/>
  <c r="K444" i="15"/>
  <c r="L444" i="15" s="1"/>
  <c r="K475" i="15"/>
  <c r="L475" i="15" s="1"/>
  <c r="K570" i="15"/>
  <c r="L570" i="15" s="1"/>
  <c r="K716" i="15"/>
  <c r="L716" i="15" s="1"/>
  <c r="K635" i="15"/>
  <c r="L635" i="15" s="1"/>
  <c r="K786" i="15"/>
  <c r="L786" i="15" s="1"/>
  <c r="K717" i="15"/>
  <c r="L717" i="15" s="1"/>
  <c r="K721" i="15"/>
  <c r="L721" i="15" s="1"/>
  <c r="K785" i="15"/>
  <c r="L785" i="15" s="1"/>
  <c r="K849" i="15"/>
  <c r="L849" i="15" s="1"/>
  <c r="K758" i="15"/>
  <c r="L758" i="15" s="1"/>
  <c r="K822" i="15"/>
  <c r="L822" i="15" s="1"/>
  <c r="K886" i="15"/>
  <c r="L886" i="15" s="1"/>
  <c r="K848" i="15"/>
  <c r="L848" i="15" s="1"/>
  <c r="K922" i="15"/>
  <c r="L922" i="15" s="1"/>
  <c r="K986" i="15"/>
  <c r="L986" i="15" s="1"/>
  <c r="K903" i="15"/>
  <c r="L903" i="15" s="1"/>
  <c r="K967" i="15"/>
  <c r="L967" i="15" s="1"/>
  <c r="K779" i="15"/>
  <c r="L779" i="15" s="1"/>
  <c r="K883" i="15"/>
  <c r="L883" i="15" s="1"/>
  <c r="K940" i="15"/>
  <c r="L940" i="15" s="1"/>
  <c r="K1004" i="15"/>
  <c r="L1004" i="15" s="1"/>
  <c r="K913" i="15"/>
  <c r="L913" i="15" s="1"/>
  <c r="K977" i="15"/>
  <c r="L977" i="15" s="1"/>
  <c r="K800" i="15"/>
  <c r="L800" i="15" s="1"/>
  <c r="K918" i="15"/>
  <c r="L918" i="15" s="1"/>
  <c r="K982" i="15"/>
  <c r="L982" i="15" s="1"/>
  <c r="K907" i="15"/>
  <c r="L907" i="15" s="1"/>
  <c r="K971" i="15"/>
  <c r="L971" i="15" s="1"/>
  <c r="K792" i="15"/>
  <c r="L792" i="15" s="1"/>
  <c r="K904" i="15"/>
  <c r="L904" i="15" s="1"/>
  <c r="K968" i="15"/>
  <c r="L968" i="15" s="1"/>
  <c r="K873" i="15"/>
  <c r="L873" i="15" s="1"/>
  <c r="K941" i="15"/>
  <c r="L941" i="15" s="1"/>
  <c r="K939" i="15"/>
  <c r="L939" i="15" s="1"/>
  <c r="K375" i="15"/>
  <c r="L375" i="15" s="1"/>
  <c r="K769" i="15"/>
  <c r="L769" i="15" s="1"/>
  <c r="K881" i="15"/>
  <c r="L881" i="15" s="1"/>
  <c r="K961" i="15"/>
  <c r="L961" i="15" s="1"/>
  <c r="K952" i="15"/>
  <c r="L952" i="15" s="1"/>
  <c r="K219" i="15"/>
  <c r="L219" i="15" s="1"/>
  <c r="K284" i="15"/>
  <c r="L284" i="15" s="1"/>
  <c r="K388" i="15"/>
  <c r="L388" i="15" s="1"/>
  <c r="K533" i="15"/>
  <c r="L533" i="15" s="1"/>
  <c r="K508" i="15"/>
  <c r="L508" i="15" s="1"/>
  <c r="K539" i="15"/>
  <c r="L539" i="15" s="1"/>
  <c r="K634" i="15"/>
  <c r="L634" i="15" s="1"/>
  <c r="K569" i="15"/>
  <c r="L569" i="15" s="1"/>
  <c r="K699" i="15"/>
  <c r="L699" i="15" s="1"/>
  <c r="K834" i="15"/>
  <c r="L834" i="15" s="1"/>
  <c r="K764" i="15"/>
  <c r="L764" i="15" s="1"/>
  <c r="K729" i="15"/>
  <c r="L729" i="15" s="1"/>
  <c r="K793" i="15"/>
  <c r="L793" i="15" s="1"/>
  <c r="K857" i="15"/>
  <c r="L857" i="15" s="1"/>
  <c r="K766" i="15"/>
  <c r="L766" i="15" s="1"/>
  <c r="K830" i="15"/>
  <c r="L830" i="15" s="1"/>
  <c r="K723" i="15"/>
  <c r="L723" i="15" s="1"/>
  <c r="K858" i="15"/>
  <c r="L858" i="15" s="1"/>
  <c r="K930" i="15"/>
  <c r="L930" i="15" s="1"/>
  <c r="K994" i="15"/>
  <c r="L994" i="15" s="1"/>
  <c r="K911" i="15"/>
  <c r="L911" i="15" s="1"/>
  <c r="K975" i="15"/>
  <c r="L975" i="15" s="1"/>
  <c r="K808" i="15"/>
  <c r="L808" i="15" s="1"/>
  <c r="K887" i="15"/>
  <c r="L887" i="15" s="1"/>
  <c r="K948" i="15"/>
  <c r="L948" i="15" s="1"/>
  <c r="K714" i="15"/>
  <c r="L714" i="15" s="1"/>
  <c r="K921" i="15"/>
  <c r="L921" i="15" s="1"/>
  <c r="K985" i="15"/>
  <c r="L985" i="15" s="1"/>
  <c r="K803" i="15"/>
  <c r="L803" i="15" s="1"/>
  <c r="K926" i="15"/>
  <c r="L926" i="15" s="1"/>
  <c r="K990" i="15"/>
  <c r="L990" i="15" s="1"/>
  <c r="K915" i="15"/>
  <c r="L915" i="15" s="1"/>
  <c r="K979" i="15"/>
  <c r="L979" i="15" s="1"/>
  <c r="K795" i="15"/>
  <c r="L795" i="15" s="1"/>
  <c r="K912" i="15"/>
  <c r="L912" i="15" s="1"/>
  <c r="K976" i="15"/>
  <c r="L976" i="15" s="1"/>
  <c r="K888" i="15"/>
  <c r="L888" i="15" s="1"/>
  <c r="K949" i="15"/>
  <c r="L949" i="15" s="1"/>
  <c r="K1013" i="15"/>
  <c r="L1013" i="15" s="1"/>
  <c r="K1007" i="15"/>
  <c r="L1007" i="15" s="1"/>
  <c r="K965" i="15"/>
  <c r="L965" i="15" s="1"/>
  <c r="K728" i="15"/>
  <c r="L728" i="15" s="1"/>
  <c r="K973" i="15"/>
  <c r="L973" i="15" s="1"/>
  <c r="K398" i="15"/>
  <c r="L398" i="15" s="1"/>
  <c r="K816" i="15"/>
  <c r="L816" i="15" s="1"/>
  <c r="K988" i="15"/>
  <c r="L988" i="15" s="1"/>
  <c r="K955" i="15"/>
  <c r="L955" i="15" s="1"/>
  <c r="K1011" i="15"/>
  <c r="L1011" i="15" s="1"/>
  <c r="K110" i="15"/>
  <c r="L110" i="15" s="1"/>
  <c r="K330" i="15"/>
  <c r="L330" i="15" s="1"/>
  <c r="K313" i="15"/>
  <c r="L313" i="15" s="1"/>
  <c r="K400" i="15"/>
  <c r="L400" i="15" s="1"/>
  <c r="K365" i="15"/>
  <c r="L365" i="15" s="1"/>
  <c r="K584" i="15"/>
  <c r="L584" i="15" s="1"/>
  <c r="K698" i="15"/>
  <c r="L698" i="15" s="1"/>
  <c r="K633" i="15"/>
  <c r="L633" i="15" s="1"/>
  <c r="K773" i="15"/>
  <c r="L773" i="15" s="1"/>
  <c r="K707" i="15"/>
  <c r="L707" i="15" s="1"/>
  <c r="K780" i="15"/>
  <c r="L780" i="15" s="1"/>
  <c r="K737" i="15"/>
  <c r="L737" i="15" s="1"/>
  <c r="K801" i="15"/>
  <c r="L801" i="15" s="1"/>
  <c r="K865" i="15"/>
  <c r="L865" i="15" s="1"/>
  <c r="K774" i="15"/>
  <c r="L774" i="15" s="1"/>
  <c r="K838" i="15"/>
  <c r="L838" i="15" s="1"/>
  <c r="K752" i="15"/>
  <c r="L752" i="15" s="1"/>
  <c r="K875" i="15"/>
  <c r="L875" i="15" s="1"/>
  <c r="K938" i="15"/>
  <c r="L938" i="15" s="1"/>
  <c r="K1002" i="15"/>
  <c r="L1002" i="15" s="1"/>
  <c r="K919" i="15"/>
  <c r="L919" i="15" s="1"/>
  <c r="K983" i="15"/>
  <c r="L983" i="15" s="1"/>
  <c r="K811" i="15"/>
  <c r="L811" i="15" s="1"/>
  <c r="K892" i="15"/>
  <c r="L892" i="15" s="1"/>
  <c r="K956" i="15"/>
  <c r="L956" i="15" s="1"/>
  <c r="K859" i="15"/>
  <c r="L859" i="15" s="1"/>
  <c r="K929" i="15"/>
  <c r="L929" i="15" s="1"/>
  <c r="K993" i="15"/>
  <c r="L993" i="15" s="1"/>
  <c r="K832" i="15"/>
  <c r="L832" i="15" s="1"/>
  <c r="K934" i="15"/>
  <c r="L934" i="15" s="1"/>
  <c r="K998" i="15"/>
  <c r="L998" i="15" s="1"/>
  <c r="K923" i="15"/>
  <c r="L923" i="15" s="1"/>
  <c r="K987" i="15"/>
  <c r="L987" i="15" s="1"/>
  <c r="K824" i="15"/>
  <c r="L824" i="15" s="1"/>
  <c r="K920" i="15"/>
  <c r="L920" i="15" s="1"/>
  <c r="K984" i="15"/>
  <c r="L984" i="15" s="1"/>
  <c r="K893" i="15"/>
  <c r="L893" i="15" s="1"/>
  <c r="K957" i="15"/>
  <c r="L957" i="15" s="1"/>
  <c r="K880" i="15"/>
  <c r="L880" i="15" s="1"/>
  <c r="K1003" i="15"/>
  <c r="L1003" i="15" s="1"/>
  <c r="K518" i="15"/>
  <c r="L518" i="15" s="1"/>
  <c r="K588" i="15"/>
  <c r="L588" i="15" s="1"/>
  <c r="K860" i="15"/>
  <c r="L860" i="15" s="1"/>
  <c r="K906" i="15"/>
  <c r="L906" i="15" s="1"/>
  <c r="K864" i="15"/>
  <c r="L864" i="15" s="1"/>
  <c r="K966" i="15"/>
  <c r="L966" i="15" s="1"/>
  <c r="K925" i="15"/>
  <c r="L925" i="15" s="1"/>
  <c r="K237" i="15"/>
  <c r="L237" i="15" s="1"/>
  <c r="K394" i="15"/>
  <c r="L394" i="15" s="1"/>
  <c r="K377" i="15"/>
  <c r="L377" i="15" s="1"/>
  <c r="K482" i="15"/>
  <c r="L482" i="15" s="1"/>
  <c r="K489" i="15"/>
  <c r="L489" i="15" s="1"/>
  <c r="K648" i="15"/>
  <c r="L648" i="15" s="1"/>
  <c r="K583" i="15"/>
  <c r="L583" i="15" s="1"/>
  <c r="K315" i="15"/>
  <c r="L315" i="15" s="1"/>
  <c r="K821" i="15"/>
  <c r="L821" i="15" s="1"/>
  <c r="K743" i="15"/>
  <c r="L743" i="15" s="1"/>
  <c r="K828" i="15"/>
  <c r="L828" i="15" s="1"/>
  <c r="K745" i="15"/>
  <c r="L745" i="15" s="1"/>
  <c r="K809" i="15"/>
  <c r="L809" i="15" s="1"/>
  <c r="K701" i="15"/>
  <c r="L701" i="15" s="1"/>
  <c r="K782" i="15"/>
  <c r="L782" i="15" s="1"/>
  <c r="K846" i="15"/>
  <c r="L846" i="15" s="1"/>
  <c r="K755" i="15"/>
  <c r="L755" i="15" s="1"/>
  <c r="K879" i="15"/>
  <c r="L879" i="15" s="1"/>
  <c r="K946" i="15"/>
  <c r="L946" i="15" s="1"/>
  <c r="K1010" i="15"/>
  <c r="L1010" i="15" s="1"/>
  <c r="K927" i="15"/>
  <c r="L927" i="15" s="1"/>
  <c r="K991" i="15"/>
  <c r="L991" i="15" s="1"/>
  <c r="K840" i="15"/>
  <c r="L840" i="15" s="1"/>
  <c r="K900" i="15"/>
  <c r="L900" i="15" s="1"/>
  <c r="K964" i="15"/>
  <c r="L964" i="15" s="1"/>
  <c r="K872" i="15"/>
  <c r="L872" i="15" s="1"/>
  <c r="K937" i="15"/>
  <c r="L937" i="15" s="1"/>
  <c r="K1001" i="15"/>
  <c r="L1001" i="15" s="1"/>
  <c r="K835" i="15"/>
  <c r="L835" i="15" s="1"/>
  <c r="K942" i="15"/>
  <c r="L942" i="15" s="1"/>
  <c r="K1006" i="15"/>
  <c r="L1006" i="15" s="1"/>
  <c r="K931" i="15"/>
  <c r="L931" i="15" s="1"/>
  <c r="K995" i="15"/>
  <c r="L995" i="15" s="1"/>
  <c r="K827" i="15"/>
  <c r="L827" i="15" s="1"/>
  <c r="K928" i="15"/>
  <c r="L928" i="15" s="1"/>
  <c r="K992" i="15"/>
  <c r="L992" i="15" s="1"/>
  <c r="K901" i="15"/>
  <c r="L901" i="15" s="1"/>
  <c r="K1000" i="15"/>
  <c r="L1000" i="15" s="1"/>
  <c r="K87" i="15"/>
  <c r="L87" i="15" s="1"/>
  <c r="K379" i="15"/>
  <c r="L379" i="15" s="1"/>
  <c r="K870" i="15"/>
  <c r="L870" i="15" s="1"/>
  <c r="K951" i="15"/>
  <c r="L951" i="15" s="1"/>
  <c r="K768" i="15"/>
  <c r="L768" i="15" s="1"/>
  <c r="K884" i="15"/>
  <c r="L884" i="15" s="1"/>
  <c r="K161" i="15"/>
  <c r="L161" i="15" s="1"/>
  <c r="K113" i="15"/>
  <c r="L113" i="15" s="1"/>
  <c r="K106" i="15"/>
  <c r="L106" i="15" s="1"/>
  <c r="K89" i="15"/>
  <c r="L89" i="15" s="1"/>
  <c r="K363" i="15"/>
  <c r="L363" i="15" s="1"/>
  <c r="K712" i="15"/>
  <c r="L712" i="15" s="1"/>
  <c r="K647" i="15"/>
  <c r="L647" i="15" s="1"/>
  <c r="K598" i="15"/>
  <c r="L598" i="15" s="1"/>
  <c r="K837" i="15"/>
  <c r="L837" i="15" s="1"/>
  <c r="K759" i="15"/>
  <c r="L759" i="15" s="1"/>
  <c r="K844" i="15"/>
  <c r="L844" i="15" s="1"/>
  <c r="K753" i="15"/>
  <c r="L753" i="15" s="1"/>
  <c r="K817" i="15"/>
  <c r="L817" i="15" s="1"/>
  <c r="K726" i="15"/>
  <c r="L726" i="15" s="1"/>
  <c r="K790" i="15"/>
  <c r="L790" i="15" s="1"/>
  <c r="K854" i="15"/>
  <c r="L854" i="15" s="1"/>
  <c r="K784" i="15"/>
  <c r="L784" i="15" s="1"/>
  <c r="K890" i="15"/>
  <c r="L890" i="15" s="1"/>
  <c r="K954" i="15"/>
  <c r="L954" i="15" s="1"/>
  <c r="K856" i="15"/>
  <c r="L856" i="15" s="1"/>
  <c r="K935" i="15"/>
  <c r="L935" i="15" s="1"/>
  <c r="K999" i="15"/>
  <c r="L999" i="15" s="1"/>
  <c r="K843" i="15"/>
  <c r="L843" i="15" s="1"/>
  <c r="K908" i="15"/>
  <c r="L908" i="15" s="1"/>
  <c r="K972" i="15"/>
  <c r="L972" i="15" s="1"/>
  <c r="K874" i="15"/>
  <c r="L874" i="15" s="1"/>
  <c r="K945" i="15"/>
  <c r="L945" i="15" s="1"/>
  <c r="K736" i="15"/>
  <c r="L736" i="15" s="1"/>
  <c r="K876" i="15"/>
  <c r="L876" i="15" s="1"/>
  <c r="K950" i="15"/>
  <c r="L950" i="15" s="1"/>
  <c r="K936" i="15"/>
  <c r="L936" i="15" s="1"/>
  <c r="K637" i="15"/>
  <c r="L637" i="15" s="1"/>
  <c r="K823" i="15"/>
  <c r="L823" i="15" s="1"/>
  <c r="K833" i="15"/>
  <c r="L833" i="15" s="1"/>
  <c r="K970" i="15"/>
  <c r="L970" i="15" s="1"/>
  <c r="K897" i="15"/>
  <c r="L897" i="15" s="1"/>
  <c r="K760" i="15"/>
  <c r="L760" i="15" s="1"/>
  <c r="K231" i="15"/>
  <c r="L231" i="15" s="1"/>
  <c r="K311" i="15"/>
  <c r="L311" i="15" s="1"/>
  <c r="K334" i="15"/>
  <c r="L334" i="15" s="1"/>
  <c r="K420" i="15"/>
  <c r="L420" i="15" s="1"/>
  <c r="K454" i="15"/>
  <c r="L454" i="15" s="1"/>
  <c r="K573" i="15"/>
  <c r="L573" i="15" s="1"/>
  <c r="K440" i="15"/>
  <c r="L440" i="15" s="1"/>
  <c r="K662" i="15"/>
  <c r="L662" i="15" s="1"/>
  <c r="K885" i="15"/>
  <c r="L885" i="15" s="1"/>
  <c r="K807" i="15"/>
  <c r="L807" i="15" s="1"/>
  <c r="K852" i="15"/>
  <c r="L852" i="15" s="1"/>
  <c r="K761" i="15"/>
  <c r="L761" i="15" s="1"/>
  <c r="K825" i="15"/>
  <c r="L825" i="15" s="1"/>
  <c r="K734" i="15"/>
  <c r="L734" i="15" s="1"/>
  <c r="K798" i="15"/>
  <c r="L798" i="15" s="1"/>
  <c r="K862" i="15"/>
  <c r="L862" i="15" s="1"/>
  <c r="K787" i="15"/>
  <c r="L787" i="15" s="1"/>
  <c r="K898" i="15"/>
  <c r="L898" i="15" s="1"/>
  <c r="K962" i="15"/>
  <c r="L962" i="15" s="1"/>
  <c r="K866" i="15"/>
  <c r="L866" i="15" s="1"/>
  <c r="K943" i="15"/>
  <c r="L943" i="15" s="1"/>
  <c r="K744" i="15"/>
  <c r="L744" i="15" s="1"/>
  <c r="K851" i="15"/>
  <c r="L851" i="15" s="1"/>
  <c r="K916" i="15"/>
  <c r="L916" i="15" s="1"/>
  <c r="K980" i="15"/>
  <c r="L980" i="15" s="1"/>
  <c r="K889" i="15"/>
  <c r="L889" i="15" s="1"/>
  <c r="K953" i="15"/>
  <c r="L953" i="15" s="1"/>
  <c r="K739" i="15"/>
  <c r="L739" i="15" s="1"/>
  <c r="K894" i="15"/>
  <c r="L894" i="15" s="1"/>
  <c r="K958" i="15"/>
  <c r="L958" i="15" s="1"/>
  <c r="K882" i="15"/>
  <c r="L882" i="15" s="1"/>
  <c r="K947" i="15"/>
  <c r="L947" i="15" s="1"/>
  <c r="K731" i="15"/>
  <c r="L731" i="15" s="1"/>
  <c r="K871" i="15"/>
  <c r="L871" i="15" s="1"/>
  <c r="K944" i="15"/>
  <c r="L944" i="15" s="1"/>
  <c r="K1008" i="15"/>
  <c r="L1008" i="15" s="1"/>
  <c r="K917" i="15"/>
  <c r="L917" i="15" s="1"/>
  <c r="K981" i="15"/>
  <c r="L981" i="15" s="1"/>
  <c r="K1009" i="15"/>
  <c r="L1009" i="15" s="1"/>
  <c r="K49" i="15"/>
  <c r="L49" i="15" s="1"/>
  <c r="K722" i="15"/>
  <c r="L722" i="15" s="1"/>
  <c r="K806" i="15"/>
  <c r="L806" i="15" s="1"/>
  <c r="K747" i="15"/>
  <c r="L747" i="15" s="1"/>
  <c r="K902" i="15"/>
  <c r="L902" i="15" s="1"/>
  <c r="K710" i="15"/>
  <c r="L710" i="15" s="1"/>
  <c r="C10" i="15"/>
  <c r="C9" i="14"/>
  <c r="K15" i="14"/>
  <c r="L15" i="14" s="1"/>
  <c r="K47" i="14"/>
  <c r="L47" i="14" s="1"/>
  <c r="K93" i="14"/>
  <c r="L93" i="14" s="1"/>
  <c r="K125" i="14"/>
  <c r="L125" i="14" s="1"/>
  <c r="K157" i="14"/>
  <c r="L157" i="14" s="1"/>
  <c r="K189" i="14"/>
  <c r="L189" i="14" s="1"/>
  <c r="K221" i="14"/>
  <c r="L221" i="14" s="1"/>
  <c r="K253" i="14"/>
  <c r="L253" i="14" s="1"/>
  <c r="K37" i="14"/>
  <c r="L37" i="14" s="1"/>
  <c r="K16" i="14"/>
  <c r="L16" i="14" s="1"/>
  <c r="K48" i="14"/>
  <c r="L48" i="14" s="1"/>
  <c r="K80" i="14"/>
  <c r="L80" i="14" s="1"/>
  <c r="K112" i="14"/>
  <c r="L112" i="14" s="1"/>
  <c r="K144" i="14"/>
  <c r="L144" i="14" s="1"/>
  <c r="K176" i="14"/>
  <c r="L176" i="14" s="1"/>
  <c r="K208" i="14"/>
  <c r="L208" i="14" s="1"/>
  <c r="K240" i="14"/>
  <c r="L240" i="14" s="1"/>
  <c r="K35" i="14"/>
  <c r="L35" i="14" s="1"/>
  <c r="K14" i="14"/>
  <c r="L14" i="14" s="1"/>
  <c r="K46" i="14"/>
  <c r="L46" i="14" s="1"/>
  <c r="K75" i="14"/>
  <c r="L75" i="14" s="1"/>
  <c r="K107" i="14"/>
  <c r="L107" i="14" s="1"/>
  <c r="K139" i="14"/>
  <c r="L139" i="14" s="1"/>
  <c r="K171" i="14"/>
  <c r="L171" i="14" s="1"/>
  <c r="K203" i="14"/>
  <c r="L203" i="14" s="1"/>
  <c r="K235" i="14"/>
  <c r="L235" i="14" s="1"/>
  <c r="K86" i="14"/>
  <c r="L86" i="14" s="1"/>
  <c r="K242" i="14"/>
  <c r="L242" i="14" s="1"/>
  <c r="K303" i="14"/>
  <c r="L303" i="14" s="1"/>
  <c r="K335" i="14"/>
  <c r="L335" i="14" s="1"/>
  <c r="K367" i="14"/>
  <c r="L367" i="14" s="1"/>
  <c r="K41" i="14"/>
  <c r="L41" i="14" s="1"/>
  <c r="K276" i="14"/>
  <c r="L276" i="14" s="1"/>
  <c r="K266" i="14"/>
  <c r="L266" i="14" s="1"/>
  <c r="K306" i="14"/>
  <c r="L306" i="14" s="1"/>
  <c r="K338" i="14"/>
  <c r="L338" i="14" s="1"/>
  <c r="K370" i="14"/>
  <c r="L370" i="14" s="1"/>
  <c r="K230" i="14"/>
  <c r="L230" i="14" s="1"/>
  <c r="K259" i="14"/>
  <c r="L259" i="14" s="1"/>
  <c r="K297" i="14"/>
  <c r="L297" i="14" s="1"/>
  <c r="K329" i="14"/>
  <c r="L329" i="14" s="1"/>
  <c r="K361" i="14"/>
  <c r="L361" i="14" s="1"/>
  <c r="K393" i="14"/>
  <c r="L393" i="14" s="1"/>
  <c r="K222" i="14"/>
  <c r="L222" i="14" s="1"/>
  <c r="K254" i="14"/>
  <c r="L254" i="14" s="1"/>
  <c r="K304" i="14"/>
  <c r="L304" i="14" s="1"/>
  <c r="K336" i="14"/>
  <c r="L336" i="14" s="1"/>
  <c r="K246" i="14"/>
  <c r="L246" i="14" s="1"/>
  <c r="K386" i="14"/>
  <c r="L386" i="14" s="1"/>
  <c r="K417" i="14"/>
  <c r="L417" i="14" s="1"/>
  <c r="K449" i="14"/>
  <c r="L449" i="14" s="1"/>
  <c r="K481" i="14"/>
  <c r="L481" i="14" s="1"/>
  <c r="K513" i="14"/>
  <c r="L513" i="14" s="1"/>
  <c r="K545" i="14"/>
  <c r="L545" i="14" s="1"/>
  <c r="K577" i="14"/>
  <c r="L577" i="14" s="1"/>
  <c r="K609" i="14"/>
  <c r="L609" i="14" s="1"/>
  <c r="K641" i="14"/>
  <c r="L641" i="14" s="1"/>
  <c r="K673" i="14"/>
  <c r="L673" i="14" s="1"/>
  <c r="K376" i="14"/>
  <c r="L376" i="14" s="1"/>
  <c r="K420" i="14"/>
  <c r="L420" i="14" s="1"/>
  <c r="K452" i="14"/>
  <c r="L452" i="14" s="1"/>
  <c r="K484" i="14"/>
  <c r="L484" i="14" s="1"/>
  <c r="K516" i="14"/>
  <c r="L516" i="14" s="1"/>
  <c r="K548" i="14"/>
  <c r="L548" i="14" s="1"/>
  <c r="K580" i="14"/>
  <c r="L580" i="14" s="1"/>
  <c r="K612" i="14"/>
  <c r="L612" i="14" s="1"/>
  <c r="K644" i="14"/>
  <c r="L644" i="14" s="1"/>
  <c r="K676" i="14"/>
  <c r="L676" i="14" s="1"/>
  <c r="K380" i="14"/>
  <c r="L380" i="14" s="1"/>
  <c r="K419" i="14"/>
  <c r="L419" i="14" s="1"/>
  <c r="K451" i="14"/>
  <c r="L451" i="14" s="1"/>
  <c r="K483" i="14"/>
  <c r="L483" i="14" s="1"/>
  <c r="K515" i="14"/>
  <c r="L515" i="14" s="1"/>
  <c r="K547" i="14"/>
  <c r="L547" i="14" s="1"/>
  <c r="K579" i="14"/>
  <c r="L579" i="14" s="1"/>
  <c r="K611" i="14"/>
  <c r="L611" i="14" s="1"/>
  <c r="K643" i="14"/>
  <c r="L643" i="14" s="1"/>
  <c r="K675" i="14"/>
  <c r="L675" i="14" s="1"/>
  <c r="K34" i="14"/>
  <c r="L34" i="14" s="1"/>
  <c r="K65" i="14"/>
  <c r="L65" i="14" s="1"/>
  <c r="K97" i="14"/>
  <c r="L97" i="14" s="1"/>
  <c r="K129" i="14"/>
  <c r="L129" i="14" s="1"/>
  <c r="K161" i="14"/>
  <c r="L161" i="14" s="1"/>
  <c r="K193" i="14"/>
  <c r="L193" i="14" s="1"/>
  <c r="K225" i="14"/>
  <c r="L225" i="14" s="1"/>
  <c r="K257" i="14"/>
  <c r="L257" i="14" s="1"/>
  <c r="K84" i="14"/>
  <c r="L84" i="14" s="1"/>
  <c r="K116" i="14"/>
  <c r="L116" i="14" s="1"/>
  <c r="K148" i="14"/>
  <c r="L148" i="14" s="1"/>
  <c r="K180" i="14"/>
  <c r="L180" i="14" s="1"/>
  <c r="K212" i="14"/>
  <c r="L212" i="14" s="1"/>
  <c r="K244" i="14"/>
  <c r="L244" i="14" s="1"/>
  <c r="K79" i="14"/>
  <c r="L79" i="14" s="1"/>
  <c r="K111" i="14"/>
  <c r="L111" i="14" s="1"/>
  <c r="K143" i="14"/>
  <c r="L143" i="14" s="1"/>
  <c r="K175" i="14"/>
  <c r="L175" i="14" s="1"/>
  <c r="K207" i="14"/>
  <c r="L207" i="14" s="1"/>
  <c r="K239" i="14"/>
  <c r="L239" i="14" s="1"/>
  <c r="K28" i="14"/>
  <c r="L28" i="14" s="1"/>
  <c r="K60" i="14"/>
  <c r="L60" i="14" s="1"/>
  <c r="K90" i="14"/>
  <c r="L90" i="14" s="1"/>
  <c r="K270" i="14"/>
  <c r="L270" i="14" s="1"/>
  <c r="K307" i="14"/>
  <c r="L307" i="14" s="1"/>
  <c r="K339" i="14"/>
  <c r="L339" i="14" s="1"/>
  <c r="K371" i="14"/>
  <c r="L371" i="14" s="1"/>
  <c r="K279" i="14"/>
  <c r="L279" i="14" s="1"/>
  <c r="K269" i="14"/>
  <c r="L269" i="14" s="1"/>
  <c r="K310" i="14"/>
  <c r="L310" i="14" s="1"/>
  <c r="K342" i="14"/>
  <c r="L342" i="14" s="1"/>
  <c r="K374" i="14"/>
  <c r="L374" i="14" s="1"/>
  <c r="K272" i="14"/>
  <c r="L272" i="14" s="1"/>
  <c r="K262" i="14"/>
  <c r="L262" i="14" s="1"/>
  <c r="K301" i="14"/>
  <c r="L301" i="14" s="1"/>
  <c r="K333" i="14"/>
  <c r="L333" i="14" s="1"/>
  <c r="K365" i="14"/>
  <c r="L365" i="14" s="1"/>
  <c r="K25" i="14"/>
  <c r="L25" i="14" s="1"/>
  <c r="K268" i="14"/>
  <c r="L268" i="14" s="1"/>
  <c r="K274" i="14"/>
  <c r="L274" i="14" s="1"/>
  <c r="K308" i="14"/>
  <c r="L308" i="14" s="1"/>
  <c r="K340" i="14"/>
  <c r="L340" i="14" s="1"/>
  <c r="K256" i="14"/>
  <c r="L256" i="14" s="1"/>
  <c r="K352" i="14"/>
  <c r="L352" i="14" s="1"/>
  <c r="K421" i="14"/>
  <c r="L421" i="14" s="1"/>
  <c r="K453" i="14"/>
  <c r="L453" i="14" s="1"/>
  <c r="K485" i="14"/>
  <c r="L485" i="14" s="1"/>
  <c r="K517" i="14"/>
  <c r="L517" i="14" s="1"/>
  <c r="K549" i="14"/>
  <c r="L549" i="14" s="1"/>
  <c r="K581" i="14"/>
  <c r="L581" i="14" s="1"/>
  <c r="K613" i="14"/>
  <c r="L613" i="14" s="1"/>
  <c r="K645" i="14"/>
  <c r="L645" i="14" s="1"/>
  <c r="K677" i="14"/>
  <c r="L677" i="14" s="1"/>
  <c r="K390" i="14"/>
  <c r="L390" i="14" s="1"/>
  <c r="K424" i="14"/>
  <c r="L424" i="14" s="1"/>
  <c r="K456" i="14"/>
  <c r="L456" i="14" s="1"/>
  <c r="K488" i="14"/>
  <c r="L488" i="14" s="1"/>
  <c r="K520" i="14"/>
  <c r="L520" i="14" s="1"/>
  <c r="K552" i="14"/>
  <c r="L552" i="14" s="1"/>
  <c r="K584" i="14"/>
  <c r="L584" i="14" s="1"/>
  <c r="K616" i="14"/>
  <c r="L616" i="14" s="1"/>
  <c r="K648" i="14"/>
  <c r="L648" i="14" s="1"/>
  <c r="K680" i="14"/>
  <c r="L680" i="14" s="1"/>
  <c r="K392" i="14"/>
  <c r="L392" i="14" s="1"/>
  <c r="K423" i="14"/>
  <c r="L423" i="14" s="1"/>
  <c r="K455" i="14"/>
  <c r="L455" i="14" s="1"/>
  <c r="K487" i="14"/>
  <c r="L487" i="14" s="1"/>
  <c r="K519" i="14"/>
  <c r="L519" i="14" s="1"/>
  <c r="K551" i="14"/>
  <c r="L551" i="14" s="1"/>
  <c r="K583" i="14"/>
  <c r="L583" i="14" s="1"/>
  <c r="K615" i="14"/>
  <c r="L615" i="14" s="1"/>
  <c r="K23" i="14"/>
  <c r="L23" i="14" s="1"/>
  <c r="K55" i="14"/>
  <c r="L55" i="14" s="1"/>
  <c r="K69" i="14"/>
  <c r="L69" i="14" s="1"/>
  <c r="K101" i="14"/>
  <c r="L101" i="14" s="1"/>
  <c r="K133" i="14"/>
  <c r="L133" i="14" s="1"/>
  <c r="K165" i="14"/>
  <c r="L165" i="14" s="1"/>
  <c r="K197" i="14"/>
  <c r="L197" i="14" s="1"/>
  <c r="K229" i="14"/>
  <c r="L229" i="14" s="1"/>
  <c r="K13" i="14"/>
  <c r="K45" i="14"/>
  <c r="L45" i="14" s="1"/>
  <c r="K24" i="14"/>
  <c r="L24" i="14" s="1"/>
  <c r="K56" i="14"/>
  <c r="L56" i="14" s="1"/>
  <c r="K88" i="14"/>
  <c r="L88" i="14" s="1"/>
  <c r="K120" i="14"/>
  <c r="L120" i="14" s="1"/>
  <c r="K152" i="14"/>
  <c r="L152" i="14" s="1"/>
  <c r="K184" i="14"/>
  <c r="L184" i="14" s="1"/>
  <c r="K216" i="14"/>
  <c r="L216" i="14" s="1"/>
  <c r="K248" i="14"/>
  <c r="L248" i="14" s="1"/>
  <c r="K43" i="14"/>
  <c r="L43" i="14" s="1"/>
  <c r="K22" i="14"/>
  <c r="L22" i="14" s="1"/>
  <c r="K54" i="14"/>
  <c r="L54" i="14" s="1"/>
  <c r="K83" i="14"/>
  <c r="L83" i="14" s="1"/>
  <c r="K115" i="14"/>
  <c r="L115" i="14" s="1"/>
  <c r="K147" i="14"/>
  <c r="L147" i="14" s="1"/>
  <c r="K179" i="14"/>
  <c r="L179" i="14" s="1"/>
  <c r="K211" i="14"/>
  <c r="L211" i="14" s="1"/>
  <c r="K243" i="14"/>
  <c r="L243" i="14" s="1"/>
  <c r="K94" i="14"/>
  <c r="L94" i="14" s="1"/>
  <c r="K273" i="14"/>
  <c r="L273" i="14" s="1"/>
  <c r="K311" i="14"/>
  <c r="L311" i="14" s="1"/>
  <c r="K343" i="14"/>
  <c r="L343" i="14" s="1"/>
  <c r="K375" i="14"/>
  <c r="L375" i="14" s="1"/>
  <c r="K110" i="14"/>
  <c r="L110" i="14" s="1"/>
  <c r="K106" i="14"/>
  <c r="L106" i="14" s="1"/>
  <c r="K282" i="14"/>
  <c r="L282" i="14" s="1"/>
  <c r="K314" i="14"/>
  <c r="L314" i="14" s="1"/>
  <c r="K346" i="14"/>
  <c r="L346" i="14" s="1"/>
  <c r="K33" i="14"/>
  <c r="L33" i="14" s="1"/>
  <c r="K275" i="14"/>
  <c r="L275" i="14" s="1"/>
  <c r="K265" i="14"/>
  <c r="L265" i="14" s="1"/>
  <c r="K305" i="14"/>
  <c r="L305" i="14" s="1"/>
  <c r="K337" i="14"/>
  <c r="L337" i="14" s="1"/>
  <c r="K369" i="14"/>
  <c r="L369" i="14" s="1"/>
  <c r="K271" i="14"/>
  <c r="L271" i="14" s="1"/>
  <c r="K277" i="14"/>
  <c r="L277" i="14" s="1"/>
  <c r="K312" i="14"/>
  <c r="L312" i="14" s="1"/>
  <c r="K49" i="14"/>
  <c r="L49" i="14" s="1"/>
  <c r="K258" i="14"/>
  <c r="L258" i="14" s="1"/>
  <c r="K388" i="14"/>
  <c r="L388" i="14" s="1"/>
  <c r="K425" i="14"/>
  <c r="L425" i="14" s="1"/>
  <c r="K457" i="14"/>
  <c r="L457" i="14" s="1"/>
  <c r="K489" i="14"/>
  <c r="L489" i="14" s="1"/>
  <c r="K521" i="14"/>
  <c r="L521" i="14" s="1"/>
  <c r="K553" i="14"/>
  <c r="L553" i="14" s="1"/>
  <c r="K585" i="14"/>
  <c r="L585" i="14" s="1"/>
  <c r="K617" i="14"/>
  <c r="L617" i="14" s="1"/>
  <c r="K649" i="14"/>
  <c r="L649" i="14" s="1"/>
  <c r="K681" i="14"/>
  <c r="L681" i="14" s="1"/>
  <c r="K396" i="14"/>
  <c r="L396" i="14" s="1"/>
  <c r="K428" i="14"/>
  <c r="L428" i="14" s="1"/>
  <c r="K460" i="14"/>
  <c r="L460" i="14" s="1"/>
  <c r="K492" i="14"/>
  <c r="L492" i="14" s="1"/>
  <c r="K524" i="14"/>
  <c r="L524" i="14" s="1"/>
  <c r="K556" i="14"/>
  <c r="L556" i="14" s="1"/>
  <c r="K588" i="14"/>
  <c r="L588" i="14" s="1"/>
  <c r="K620" i="14"/>
  <c r="L620" i="14" s="1"/>
  <c r="K652" i="14"/>
  <c r="L652" i="14" s="1"/>
  <c r="K684" i="14"/>
  <c r="L684" i="14" s="1"/>
  <c r="K395" i="14"/>
  <c r="L395" i="14" s="1"/>
  <c r="K427" i="14"/>
  <c r="L427" i="14" s="1"/>
  <c r="K459" i="14"/>
  <c r="L459" i="14" s="1"/>
  <c r="K491" i="14"/>
  <c r="L491" i="14" s="1"/>
  <c r="K523" i="14"/>
  <c r="L523" i="14" s="1"/>
  <c r="K555" i="14"/>
  <c r="L555" i="14" s="1"/>
  <c r="K587" i="14"/>
  <c r="L587" i="14" s="1"/>
  <c r="K619" i="14"/>
  <c r="L619" i="14" s="1"/>
  <c r="K42" i="14"/>
  <c r="L42" i="14" s="1"/>
  <c r="K73" i="14"/>
  <c r="L73" i="14" s="1"/>
  <c r="K105" i="14"/>
  <c r="L105" i="14" s="1"/>
  <c r="K137" i="14"/>
  <c r="L137" i="14" s="1"/>
  <c r="K169" i="14"/>
  <c r="L169" i="14" s="1"/>
  <c r="K201" i="14"/>
  <c r="L201" i="14" s="1"/>
  <c r="K233" i="14"/>
  <c r="L233" i="14" s="1"/>
  <c r="T14" i="14"/>
  <c r="U14" i="14" s="1"/>
  <c r="K92" i="14"/>
  <c r="L92" i="14" s="1"/>
  <c r="K124" i="14"/>
  <c r="L124" i="14" s="1"/>
  <c r="K156" i="14"/>
  <c r="L156" i="14" s="1"/>
  <c r="K188" i="14"/>
  <c r="L188" i="14" s="1"/>
  <c r="K220" i="14"/>
  <c r="L220" i="14" s="1"/>
  <c r="K252" i="14"/>
  <c r="L252" i="14" s="1"/>
  <c r="K87" i="14"/>
  <c r="L87" i="14" s="1"/>
  <c r="K119" i="14"/>
  <c r="L119" i="14" s="1"/>
  <c r="K151" i="14"/>
  <c r="L151" i="14" s="1"/>
  <c r="K183" i="14"/>
  <c r="L183" i="14" s="1"/>
  <c r="K215" i="14"/>
  <c r="L215" i="14" s="1"/>
  <c r="K247" i="14"/>
  <c r="L247" i="14" s="1"/>
  <c r="K36" i="14"/>
  <c r="L36" i="14" s="1"/>
  <c r="K66" i="14"/>
  <c r="L66" i="14" s="1"/>
  <c r="K283" i="14"/>
  <c r="L283" i="14" s="1"/>
  <c r="K315" i="14"/>
  <c r="L315" i="14" s="1"/>
  <c r="K347" i="14"/>
  <c r="L347" i="14" s="1"/>
  <c r="K379" i="14"/>
  <c r="L379" i="14" s="1"/>
  <c r="K142" i="14"/>
  <c r="L142" i="14" s="1"/>
  <c r="K138" i="14"/>
  <c r="L138" i="14" s="1"/>
  <c r="K286" i="14"/>
  <c r="L286" i="14" s="1"/>
  <c r="K318" i="14"/>
  <c r="L318" i="14" s="1"/>
  <c r="K350" i="14"/>
  <c r="L350" i="14" s="1"/>
  <c r="K98" i="14"/>
  <c r="L98" i="14" s="1"/>
  <c r="K278" i="14"/>
  <c r="L278" i="14" s="1"/>
  <c r="K309" i="14"/>
  <c r="L309" i="14" s="1"/>
  <c r="K341" i="14"/>
  <c r="L341" i="14" s="1"/>
  <c r="K373" i="14"/>
  <c r="L373" i="14" s="1"/>
  <c r="K57" i="14"/>
  <c r="L57" i="14" s="1"/>
  <c r="K122" i="14"/>
  <c r="L122" i="14" s="1"/>
  <c r="K284" i="14"/>
  <c r="L284" i="14" s="1"/>
  <c r="K316" i="14"/>
  <c r="L316" i="14" s="1"/>
  <c r="K261" i="14"/>
  <c r="L261" i="14" s="1"/>
  <c r="K397" i="14"/>
  <c r="L397" i="14" s="1"/>
  <c r="K429" i="14"/>
  <c r="L429" i="14" s="1"/>
  <c r="K461" i="14"/>
  <c r="L461" i="14" s="1"/>
  <c r="K493" i="14"/>
  <c r="L493" i="14" s="1"/>
  <c r="K525" i="14"/>
  <c r="L525" i="14" s="1"/>
  <c r="K557" i="14"/>
  <c r="L557" i="14" s="1"/>
  <c r="K589" i="14"/>
  <c r="L589" i="14" s="1"/>
  <c r="K621" i="14"/>
  <c r="L621" i="14" s="1"/>
  <c r="K653" i="14"/>
  <c r="L653" i="14" s="1"/>
  <c r="K685" i="14"/>
  <c r="L685" i="14" s="1"/>
  <c r="K400" i="14"/>
  <c r="L400" i="14" s="1"/>
  <c r="K432" i="14"/>
  <c r="L432" i="14" s="1"/>
  <c r="K464" i="14"/>
  <c r="L464" i="14" s="1"/>
  <c r="K496" i="14"/>
  <c r="L496" i="14" s="1"/>
  <c r="K528" i="14"/>
  <c r="L528" i="14" s="1"/>
  <c r="K560" i="14"/>
  <c r="L560" i="14" s="1"/>
  <c r="K592" i="14"/>
  <c r="L592" i="14" s="1"/>
  <c r="K624" i="14"/>
  <c r="L624" i="14" s="1"/>
  <c r="K656" i="14"/>
  <c r="L656" i="14" s="1"/>
  <c r="K688" i="14"/>
  <c r="L688" i="14" s="1"/>
  <c r="K399" i="14"/>
  <c r="L399" i="14" s="1"/>
  <c r="K431" i="14"/>
  <c r="L431" i="14" s="1"/>
  <c r="K463" i="14"/>
  <c r="L463" i="14" s="1"/>
  <c r="K495" i="14"/>
  <c r="L495" i="14" s="1"/>
  <c r="K527" i="14"/>
  <c r="L527" i="14" s="1"/>
  <c r="K559" i="14"/>
  <c r="L559" i="14" s="1"/>
  <c r="K591" i="14"/>
  <c r="L591" i="14" s="1"/>
  <c r="K623" i="14"/>
  <c r="L623" i="14" s="1"/>
  <c r="K655" i="14"/>
  <c r="L655" i="14" s="1"/>
  <c r="K687" i="14"/>
  <c r="L687" i="14" s="1"/>
  <c r="K394" i="14"/>
  <c r="L394" i="14" s="1"/>
  <c r="K426" i="14"/>
  <c r="L426" i="14" s="1"/>
  <c r="K458" i="14"/>
  <c r="L458" i="14" s="1"/>
  <c r="K31" i="14"/>
  <c r="L31" i="14" s="1"/>
  <c r="K63" i="14"/>
  <c r="L63" i="14" s="1"/>
  <c r="K77" i="14"/>
  <c r="L77" i="14" s="1"/>
  <c r="K109" i="14"/>
  <c r="L109" i="14" s="1"/>
  <c r="K141" i="14"/>
  <c r="L141" i="14" s="1"/>
  <c r="K173" i="14"/>
  <c r="L173" i="14" s="1"/>
  <c r="K205" i="14"/>
  <c r="L205" i="14" s="1"/>
  <c r="K237" i="14"/>
  <c r="L237" i="14" s="1"/>
  <c r="K21" i="14"/>
  <c r="L21" i="14" s="1"/>
  <c r="K53" i="14"/>
  <c r="L53" i="14" s="1"/>
  <c r="K32" i="14"/>
  <c r="L32" i="14" s="1"/>
  <c r="K64" i="14"/>
  <c r="L64" i="14" s="1"/>
  <c r="K96" i="14"/>
  <c r="L96" i="14" s="1"/>
  <c r="K128" i="14"/>
  <c r="L128" i="14" s="1"/>
  <c r="K160" i="14"/>
  <c r="L160" i="14" s="1"/>
  <c r="K192" i="14"/>
  <c r="L192" i="14" s="1"/>
  <c r="K224" i="14"/>
  <c r="L224" i="14" s="1"/>
  <c r="K19" i="14"/>
  <c r="L19" i="14" s="1"/>
  <c r="K51" i="14"/>
  <c r="L51" i="14" s="1"/>
  <c r="K30" i="14"/>
  <c r="L30" i="14" s="1"/>
  <c r="K62" i="14"/>
  <c r="L62" i="14" s="1"/>
  <c r="K91" i="14"/>
  <c r="L91" i="14" s="1"/>
  <c r="K123" i="14"/>
  <c r="L123" i="14" s="1"/>
  <c r="K155" i="14"/>
  <c r="L155" i="14" s="1"/>
  <c r="K187" i="14"/>
  <c r="L187" i="14" s="1"/>
  <c r="K219" i="14"/>
  <c r="L219" i="14" s="1"/>
  <c r="K251" i="14"/>
  <c r="L251" i="14" s="1"/>
  <c r="K70" i="14"/>
  <c r="L70" i="14" s="1"/>
  <c r="K114" i="14"/>
  <c r="L114" i="14" s="1"/>
  <c r="K287" i="14"/>
  <c r="L287" i="14" s="1"/>
  <c r="K319" i="14"/>
  <c r="L319" i="14" s="1"/>
  <c r="K351" i="14"/>
  <c r="L351" i="14" s="1"/>
  <c r="K383" i="14"/>
  <c r="L383" i="14" s="1"/>
  <c r="K174" i="14"/>
  <c r="L174" i="14" s="1"/>
  <c r="K170" i="14"/>
  <c r="L170" i="14" s="1"/>
  <c r="K290" i="14"/>
  <c r="L290" i="14" s="1"/>
  <c r="K322" i="14"/>
  <c r="L322" i="14" s="1"/>
  <c r="K354" i="14"/>
  <c r="L354" i="14" s="1"/>
  <c r="K102" i="14"/>
  <c r="L102" i="14" s="1"/>
  <c r="K130" i="14"/>
  <c r="L130" i="14" s="1"/>
  <c r="K281" i="14"/>
  <c r="L281" i="14" s="1"/>
  <c r="K313" i="14"/>
  <c r="L313" i="14" s="1"/>
  <c r="K345" i="14"/>
  <c r="L345" i="14" s="1"/>
  <c r="K377" i="14"/>
  <c r="L377" i="14" s="1"/>
  <c r="K154" i="14"/>
  <c r="L154" i="14" s="1"/>
  <c r="K288" i="14"/>
  <c r="L288" i="14" s="1"/>
  <c r="K320" i="14"/>
  <c r="L320" i="14" s="1"/>
  <c r="K118" i="14"/>
  <c r="L118" i="14" s="1"/>
  <c r="K264" i="14"/>
  <c r="L264" i="14" s="1"/>
  <c r="K401" i="14"/>
  <c r="L401" i="14" s="1"/>
  <c r="K433" i="14"/>
  <c r="L433" i="14" s="1"/>
  <c r="K465" i="14"/>
  <c r="L465" i="14" s="1"/>
  <c r="K497" i="14"/>
  <c r="L497" i="14" s="1"/>
  <c r="K529" i="14"/>
  <c r="L529" i="14" s="1"/>
  <c r="K561" i="14"/>
  <c r="L561" i="14" s="1"/>
  <c r="K593" i="14"/>
  <c r="L593" i="14" s="1"/>
  <c r="K625" i="14"/>
  <c r="L625" i="14" s="1"/>
  <c r="K657" i="14"/>
  <c r="L657" i="14" s="1"/>
  <c r="K689" i="14"/>
  <c r="L689" i="14" s="1"/>
  <c r="K404" i="14"/>
  <c r="L404" i="14" s="1"/>
  <c r="K436" i="14"/>
  <c r="L436" i="14" s="1"/>
  <c r="K468" i="14"/>
  <c r="L468" i="14" s="1"/>
  <c r="K500" i="14"/>
  <c r="L500" i="14" s="1"/>
  <c r="K532" i="14"/>
  <c r="L532" i="14" s="1"/>
  <c r="K564" i="14"/>
  <c r="L564" i="14" s="1"/>
  <c r="K596" i="14"/>
  <c r="L596" i="14" s="1"/>
  <c r="K628" i="14"/>
  <c r="L628" i="14" s="1"/>
  <c r="K660" i="14"/>
  <c r="L660" i="14" s="1"/>
  <c r="K692" i="14"/>
  <c r="L692" i="14" s="1"/>
  <c r="K403" i="14"/>
  <c r="L403" i="14" s="1"/>
  <c r="K435" i="14"/>
  <c r="L435" i="14" s="1"/>
  <c r="K467" i="14"/>
  <c r="L467" i="14" s="1"/>
  <c r="K499" i="14"/>
  <c r="L499" i="14" s="1"/>
  <c r="K531" i="14"/>
  <c r="L531" i="14" s="1"/>
  <c r="K563" i="14"/>
  <c r="L563" i="14" s="1"/>
  <c r="K595" i="14"/>
  <c r="L595" i="14" s="1"/>
  <c r="K627" i="14"/>
  <c r="L627" i="14" s="1"/>
  <c r="K659" i="14"/>
  <c r="L659" i="14" s="1"/>
  <c r="K691" i="14"/>
  <c r="L691" i="14" s="1"/>
  <c r="K18" i="14"/>
  <c r="L18" i="14" s="1"/>
  <c r="K50" i="14"/>
  <c r="L50" i="14" s="1"/>
  <c r="K81" i="14"/>
  <c r="L81" i="14" s="1"/>
  <c r="K113" i="14"/>
  <c r="L113" i="14" s="1"/>
  <c r="K145" i="14"/>
  <c r="L145" i="14" s="1"/>
  <c r="K177" i="14"/>
  <c r="L177" i="14" s="1"/>
  <c r="K209" i="14"/>
  <c r="L209" i="14" s="1"/>
  <c r="K241" i="14"/>
  <c r="L241" i="14" s="1"/>
  <c r="K68" i="14"/>
  <c r="L68" i="14" s="1"/>
  <c r="K100" i="14"/>
  <c r="L100" i="14" s="1"/>
  <c r="K132" i="14"/>
  <c r="L132" i="14" s="1"/>
  <c r="K164" i="14"/>
  <c r="L164" i="14" s="1"/>
  <c r="K196" i="14"/>
  <c r="L196" i="14" s="1"/>
  <c r="K228" i="14"/>
  <c r="L228" i="14" s="1"/>
  <c r="K95" i="14"/>
  <c r="L95" i="14" s="1"/>
  <c r="K127" i="14"/>
  <c r="L127" i="14" s="1"/>
  <c r="K159" i="14"/>
  <c r="L159" i="14" s="1"/>
  <c r="K191" i="14"/>
  <c r="L191" i="14" s="1"/>
  <c r="K223" i="14"/>
  <c r="L223" i="14" s="1"/>
  <c r="K255" i="14"/>
  <c r="L255" i="14" s="1"/>
  <c r="K44" i="14"/>
  <c r="L44" i="14" s="1"/>
  <c r="K74" i="14"/>
  <c r="L74" i="14" s="1"/>
  <c r="K146" i="14"/>
  <c r="L146" i="14" s="1"/>
  <c r="K291" i="14"/>
  <c r="L291" i="14" s="1"/>
  <c r="K323" i="14"/>
  <c r="L323" i="14" s="1"/>
  <c r="K355" i="14"/>
  <c r="L355" i="14" s="1"/>
  <c r="K387" i="14"/>
  <c r="L387" i="14" s="1"/>
  <c r="K206" i="14"/>
  <c r="L206" i="14" s="1"/>
  <c r="K202" i="14"/>
  <c r="L202" i="14" s="1"/>
  <c r="K294" i="14"/>
  <c r="L294" i="14" s="1"/>
  <c r="K326" i="14"/>
  <c r="L326" i="14" s="1"/>
  <c r="K358" i="14"/>
  <c r="L358" i="14" s="1"/>
  <c r="K134" i="14"/>
  <c r="L134" i="14" s="1"/>
  <c r="K162" i="14"/>
  <c r="L162" i="14" s="1"/>
  <c r="K285" i="14"/>
  <c r="L285" i="14" s="1"/>
  <c r="K317" i="14"/>
  <c r="L317" i="14" s="1"/>
  <c r="K349" i="14"/>
  <c r="L349" i="14" s="1"/>
  <c r="K381" i="14"/>
  <c r="L381" i="14" s="1"/>
  <c r="K126" i="14"/>
  <c r="L126" i="14" s="1"/>
  <c r="K186" i="14"/>
  <c r="L186" i="14" s="1"/>
  <c r="K292" i="14"/>
  <c r="L292" i="14" s="1"/>
  <c r="K324" i="14"/>
  <c r="L324" i="14" s="1"/>
  <c r="K150" i="14"/>
  <c r="L150" i="14" s="1"/>
  <c r="K267" i="14"/>
  <c r="L267" i="14" s="1"/>
  <c r="K405" i="14"/>
  <c r="L405" i="14" s="1"/>
  <c r="K437" i="14"/>
  <c r="L437" i="14" s="1"/>
  <c r="K469" i="14"/>
  <c r="L469" i="14" s="1"/>
  <c r="K501" i="14"/>
  <c r="L501" i="14" s="1"/>
  <c r="K533" i="14"/>
  <c r="L533" i="14" s="1"/>
  <c r="K565" i="14"/>
  <c r="L565" i="14" s="1"/>
  <c r="K597" i="14"/>
  <c r="L597" i="14" s="1"/>
  <c r="K629" i="14"/>
  <c r="L629" i="14" s="1"/>
  <c r="K661" i="14"/>
  <c r="L661" i="14" s="1"/>
  <c r="K693" i="14"/>
  <c r="L693" i="14" s="1"/>
  <c r="K408" i="14"/>
  <c r="L408" i="14" s="1"/>
  <c r="K440" i="14"/>
  <c r="L440" i="14" s="1"/>
  <c r="K472" i="14"/>
  <c r="L472" i="14" s="1"/>
  <c r="K504" i="14"/>
  <c r="L504" i="14" s="1"/>
  <c r="K536" i="14"/>
  <c r="L536" i="14" s="1"/>
  <c r="K568" i="14"/>
  <c r="L568" i="14" s="1"/>
  <c r="K39" i="14"/>
  <c r="L39" i="14" s="1"/>
  <c r="K85" i="14"/>
  <c r="L85" i="14" s="1"/>
  <c r="K117" i="14"/>
  <c r="L117" i="14" s="1"/>
  <c r="K149" i="14"/>
  <c r="L149" i="14" s="1"/>
  <c r="K181" i="14"/>
  <c r="L181" i="14" s="1"/>
  <c r="K213" i="14"/>
  <c r="L213" i="14" s="1"/>
  <c r="K245" i="14"/>
  <c r="L245" i="14" s="1"/>
  <c r="K29" i="14"/>
  <c r="L29" i="14" s="1"/>
  <c r="K61" i="14"/>
  <c r="L61" i="14" s="1"/>
  <c r="K40" i="14"/>
  <c r="L40" i="14" s="1"/>
  <c r="K72" i="14"/>
  <c r="L72" i="14" s="1"/>
  <c r="K104" i="14"/>
  <c r="L104" i="14" s="1"/>
  <c r="K136" i="14"/>
  <c r="L136" i="14" s="1"/>
  <c r="K168" i="14"/>
  <c r="L168" i="14" s="1"/>
  <c r="K200" i="14"/>
  <c r="L200" i="14" s="1"/>
  <c r="K232" i="14"/>
  <c r="L232" i="14" s="1"/>
  <c r="K27" i="14"/>
  <c r="L27" i="14" s="1"/>
  <c r="K59" i="14"/>
  <c r="L59" i="14" s="1"/>
  <c r="K38" i="14"/>
  <c r="L38" i="14" s="1"/>
  <c r="K67" i="14"/>
  <c r="L67" i="14" s="1"/>
  <c r="K99" i="14"/>
  <c r="L99" i="14" s="1"/>
  <c r="K131" i="14"/>
  <c r="L131" i="14" s="1"/>
  <c r="K163" i="14"/>
  <c r="L163" i="14" s="1"/>
  <c r="K195" i="14"/>
  <c r="L195" i="14" s="1"/>
  <c r="K227" i="14"/>
  <c r="L227" i="14" s="1"/>
  <c r="T13" i="14"/>
  <c r="K78" i="14"/>
  <c r="L78" i="14" s="1"/>
  <c r="K178" i="14"/>
  <c r="L178" i="14" s="1"/>
  <c r="K295" i="14"/>
  <c r="L295" i="14" s="1"/>
  <c r="K327" i="14"/>
  <c r="L327" i="14" s="1"/>
  <c r="K359" i="14"/>
  <c r="L359" i="14" s="1"/>
  <c r="K391" i="14"/>
  <c r="L391" i="14" s="1"/>
  <c r="K238" i="14"/>
  <c r="L238" i="14" s="1"/>
  <c r="K234" i="14"/>
  <c r="L234" i="14" s="1"/>
  <c r="K298" i="14"/>
  <c r="L298" i="14" s="1"/>
  <c r="K330" i="14"/>
  <c r="L330" i="14" s="1"/>
  <c r="K362" i="14"/>
  <c r="L362" i="14" s="1"/>
  <c r="K166" i="14"/>
  <c r="L166" i="14" s="1"/>
  <c r="K194" i="14"/>
  <c r="L194" i="14" s="1"/>
  <c r="K289" i="14"/>
  <c r="L289" i="14" s="1"/>
  <c r="K321" i="14"/>
  <c r="L321" i="14" s="1"/>
  <c r="K353" i="14"/>
  <c r="L353" i="14" s="1"/>
  <c r="K385" i="14"/>
  <c r="L385" i="14" s="1"/>
  <c r="K158" i="14"/>
  <c r="L158" i="14" s="1"/>
  <c r="K218" i="14"/>
  <c r="L218" i="14" s="1"/>
  <c r="K296" i="14"/>
  <c r="L296" i="14" s="1"/>
  <c r="K328" i="14"/>
  <c r="L328" i="14" s="1"/>
  <c r="K182" i="14"/>
  <c r="L182" i="14" s="1"/>
  <c r="K280" i="14"/>
  <c r="L280" i="14" s="1"/>
  <c r="K409" i="14"/>
  <c r="L409" i="14" s="1"/>
  <c r="K441" i="14"/>
  <c r="L441" i="14" s="1"/>
  <c r="K473" i="14"/>
  <c r="L473" i="14" s="1"/>
  <c r="K505" i="14"/>
  <c r="L505" i="14" s="1"/>
  <c r="K537" i="14"/>
  <c r="L537" i="14" s="1"/>
  <c r="K569" i="14"/>
  <c r="L569" i="14" s="1"/>
  <c r="K601" i="14"/>
  <c r="L601" i="14" s="1"/>
  <c r="K633" i="14"/>
  <c r="L633" i="14" s="1"/>
  <c r="K665" i="14"/>
  <c r="L665" i="14" s="1"/>
  <c r="K348" i="14"/>
  <c r="L348" i="14" s="1"/>
  <c r="K412" i="14"/>
  <c r="L412" i="14" s="1"/>
  <c r="K444" i="14"/>
  <c r="L444" i="14" s="1"/>
  <c r="K476" i="14"/>
  <c r="L476" i="14" s="1"/>
  <c r="K508" i="14"/>
  <c r="L508" i="14" s="1"/>
  <c r="K540" i="14"/>
  <c r="L540" i="14" s="1"/>
  <c r="K572" i="14"/>
  <c r="L572" i="14" s="1"/>
  <c r="K604" i="14"/>
  <c r="L604" i="14" s="1"/>
  <c r="K636" i="14"/>
  <c r="L636" i="14" s="1"/>
  <c r="K668" i="14"/>
  <c r="L668" i="14" s="1"/>
  <c r="K378" i="14"/>
  <c r="L378" i="14" s="1"/>
  <c r="K411" i="14"/>
  <c r="L411" i="14" s="1"/>
  <c r="K443" i="14"/>
  <c r="L443" i="14" s="1"/>
  <c r="K475" i="14"/>
  <c r="L475" i="14" s="1"/>
  <c r="K507" i="14"/>
  <c r="L507" i="14" s="1"/>
  <c r="K539" i="14"/>
  <c r="L539" i="14" s="1"/>
  <c r="K571" i="14"/>
  <c r="L571" i="14" s="1"/>
  <c r="K603" i="14"/>
  <c r="L603" i="14" s="1"/>
  <c r="K635" i="14"/>
  <c r="L635" i="14" s="1"/>
  <c r="K667" i="14"/>
  <c r="L667" i="14" s="1"/>
  <c r="K699" i="14"/>
  <c r="L699" i="14" s="1"/>
  <c r="K406" i="14"/>
  <c r="L406" i="14" s="1"/>
  <c r="K438" i="14"/>
  <c r="L438" i="14" s="1"/>
  <c r="K470" i="14"/>
  <c r="L470" i="14" s="1"/>
  <c r="K249" i="14"/>
  <c r="L249" i="14" s="1"/>
  <c r="K204" i="14"/>
  <c r="L204" i="14" s="1"/>
  <c r="K167" i="14"/>
  <c r="L167" i="14" s="1"/>
  <c r="K331" i="14"/>
  <c r="L331" i="14" s="1"/>
  <c r="K198" i="14"/>
  <c r="L198" i="14" s="1"/>
  <c r="K300" i="14"/>
  <c r="L300" i="14" s="1"/>
  <c r="K541" i="14"/>
  <c r="L541" i="14" s="1"/>
  <c r="K480" i="14"/>
  <c r="L480" i="14" s="1"/>
  <c r="K664" i="14"/>
  <c r="L664" i="14" s="1"/>
  <c r="K471" i="14"/>
  <c r="L471" i="14" s="1"/>
  <c r="K599" i="14"/>
  <c r="L599" i="14" s="1"/>
  <c r="K679" i="14"/>
  <c r="L679" i="14" s="1"/>
  <c r="K402" i="14"/>
  <c r="L402" i="14" s="1"/>
  <c r="K446" i="14"/>
  <c r="L446" i="14" s="1"/>
  <c r="K486" i="14"/>
  <c r="L486" i="14" s="1"/>
  <c r="K518" i="14"/>
  <c r="L518" i="14" s="1"/>
  <c r="K550" i="14"/>
  <c r="L550" i="14" s="1"/>
  <c r="K582" i="14"/>
  <c r="L582" i="14" s="1"/>
  <c r="K614" i="14"/>
  <c r="L614" i="14" s="1"/>
  <c r="K646" i="14"/>
  <c r="L646" i="14" s="1"/>
  <c r="K678" i="14"/>
  <c r="L678" i="14" s="1"/>
  <c r="K700" i="14"/>
  <c r="L700" i="14" s="1"/>
  <c r="K730" i="14"/>
  <c r="L730" i="14" s="1"/>
  <c r="K762" i="14"/>
  <c r="L762" i="14" s="1"/>
  <c r="K794" i="14"/>
  <c r="L794" i="14" s="1"/>
  <c r="K826" i="14"/>
  <c r="L826" i="14" s="1"/>
  <c r="K858" i="14"/>
  <c r="L858" i="14" s="1"/>
  <c r="K890" i="14"/>
  <c r="L890" i="14" s="1"/>
  <c r="K922" i="14"/>
  <c r="L922" i="14" s="1"/>
  <c r="K710" i="14"/>
  <c r="L710" i="14" s="1"/>
  <c r="K737" i="14"/>
  <c r="L737" i="14" s="1"/>
  <c r="K769" i="14"/>
  <c r="L769" i="14" s="1"/>
  <c r="K801" i="14"/>
  <c r="L801" i="14" s="1"/>
  <c r="K833" i="14"/>
  <c r="L833" i="14" s="1"/>
  <c r="K865" i="14"/>
  <c r="L865" i="14" s="1"/>
  <c r="K897" i="14"/>
  <c r="L897" i="14" s="1"/>
  <c r="K929" i="14"/>
  <c r="L929" i="14" s="1"/>
  <c r="K712" i="14"/>
  <c r="L712" i="14" s="1"/>
  <c r="K840" i="14"/>
  <c r="L840" i="14" s="1"/>
  <c r="K731" i="14"/>
  <c r="L731" i="14" s="1"/>
  <c r="K859" i="14"/>
  <c r="L859" i="14" s="1"/>
  <c r="K963" i="14"/>
  <c r="L963" i="14" s="1"/>
  <c r="K995" i="14"/>
  <c r="L995" i="14" s="1"/>
  <c r="K752" i="14"/>
  <c r="L752" i="14" s="1"/>
  <c r="K880" i="14"/>
  <c r="L880" i="14" s="1"/>
  <c r="K756" i="14"/>
  <c r="L756" i="14" s="1"/>
  <c r="K884" i="14"/>
  <c r="L884" i="14" s="1"/>
  <c r="K966" i="14"/>
  <c r="L966" i="14" s="1"/>
  <c r="K998" i="14"/>
  <c r="L998" i="14" s="1"/>
  <c r="K775" i="14"/>
  <c r="L775" i="14" s="1"/>
  <c r="K903" i="14"/>
  <c r="L903" i="14" s="1"/>
  <c r="K796" i="14"/>
  <c r="L796" i="14" s="1"/>
  <c r="K924" i="14"/>
  <c r="L924" i="14" s="1"/>
  <c r="K977" i="14"/>
  <c r="L977" i="14" s="1"/>
  <c r="K1009" i="14"/>
  <c r="L1009" i="14" s="1"/>
  <c r="K800" i="14"/>
  <c r="L800" i="14" s="1"/>
  <c r="K928" i="14"/>
  <c r="L928" i="14" s="1"/>
  <c r="K819" i="14"/>
  <c r="L819" i="14" s="1"/>
  <c r="K947" i="14"/>
  <c r="L947" i="14" s="1"/>
  <c r="K980" i="14"/>
  <c r="L980" i="14" s="1"/>
  <c r="K1012" i="14"/>
  <c r="L1012" i="14" s="1"/>
  <c r="K26" i="14"/>
  <c r="L26" i="14" s="1"/>
  <c r="K236" i="14"/>
  <c r="L236" i="14" s="1"/>
  <c r="K199" i="14"/>
  <c r="L199" i="14" s="1"/>
  <c r="K363" i="14"/>
  <c r="L363" i="14" s="1"/>
  <c r="K226" i="14"/>
  <c r="L226" i="14" s="1"/>
  <c r="K332" i="14"/>
  <c r="L332" i="14" s="1"/>
  <c r="K573" i="14"/>
  <c r="L573" i="14" s="1"/>
  <c r="K512" i="14"/>
  <c r="L512" i="14" s="1"/>
  <c r="K672" i="14"/>
  <c r="L672" i="14" s="1"/>
  <c r="K479" i="14"/>
  <c r="L479" i="14" s="1"/>
  <c r="K607" i="14"/>
  <c r="L607" i="14" s="1"/>
  <c r="K683" i="14"/>
  <c r="L683" i="14" s="1"/>
  <c r="K410" i="14"/>
  <c r="L410" i="14" s="1"/>
  <c r="K450" i="14"/>
  <c r="L450" i="14" s="1"/>
  <c r="K490" i="14"/>
  <c r="L490" i="14" s="1"/>
  <c r="K522" i="14"/>
  <c r="L522" i="14" s="1"/>
  <c r="K554" i="14"/>
  <c r="L554" i="14" s="1"/>
  <c r="K586" i="14"/>
  <c r="L586" i="14" s="1"/>
  <c r="K618" i="14"/>
  <c r="L618" i="14" s="1"/>
  <c r="K650" i="14"/>
  <c r="L650" i="14" s="1"/>
  <c r="K682" i="14"/>
  <c r="L682" i="14" s="1"/>
  <c r="K707" i="14"/>
  <c r="L707" i="14" s="1"/>
  <c r="K734" i="14"/>
  <c r="L734" i="14" s="1"/>
  <c r="K766" i="14"/>
  <c r="L766" i="14" s="1"/>
  <c r="K798" i="14"/>
  <c r="L798" i="14" s="1"/>
  <c r="K830" i="14"/>
  <c r="L830" i="14" s="1"/>
  <c r="K862" i="14"/>
  <c r="L862" i="14" s="1"/>
  <c r="K894" i="14"/>
  <c r="L894" i="14" s="1"/>
  <c r="K926" i="14"/>
  <c r="L926" i="14" s="1"/>
  <c r="K706" i="14"/>
  <c r="L706" i="14" s="1"/>
  <c r="K741" i="14"/>
  <c r="L741" i="14" s="1"/>
  <c r="K773" i="14"/>
  <c r="L773" i="14" s="1"/>
  <c r="K805" i="14"/>
  <c r="L805" i="14" s="1"/>
  <c r="K837" i="14"/>
  <c r="L837" i="14" s="1"/>
  <c r="K869" i="14"/>
  <c r="L869" i="14" s="1"/>
  <c r="K901" i="14"/>
  <c r="L901" i="14" s="1"/>
  <c r="K933" i="14"/>
  <c r="L933" i="14" s="1"/>
  <c r="K727" i="14"/>
  <c r="L727" i="14" s="1"/>
  <c r="K855" i="14"/>
  <c r="L855" i="14" s="1"/>
  <c r="K748" i="14"/>
  <c r="L748" i="14" s="1"/>
  <c r="K876" i="14"/>
  <c r="L876" i="14" s="1"/>
  <c r="K967" i="14"/>
  <c r="L967" i="14" s="1"/>
  <c r="K999" i="14"/>
  <c r="L999" i="14" s="1"/>
  <c r="K767" i="14"/>
  <c r="L767" i="14" s="1"/>
  <c r="K895" i="14"/>
  <c r="L895" i="14" s="1"/>
  <c r="K771" i="14"/>
  <c r="L771" i="14" s="1"/>
  <c r="K899" i="14"/>
  <c r="L899" i="14" s="1"/>
  <c r="K970" i="14"/>
  <c r="L970" i="14" s="1"/>
  <c r="K1002" i="14"/>
  <c r="L1002" i="14" s="1"/>
  <c r="K792" i="14"/>
  <c r="L792" i="14" s="1"/>
  <c r="K920" i="14"/>
  <c r="L920" i="14" s="1"/>
  <c r="K811" i="14"/>
  <c r="L811" i="14" s="1"/>
  <c r="K939" i="14"/>
  <c r="L939" i="14" s="1"/>
  <c r="K981" i="14"/>
  <c r="L981" i="14" s="1"/>
  <c r="K696" i="14"/>
  <c r="L696" i="14" s="1"/>
  <c r="K815" i="14"/>
  <c r="L815" i="14" s="1"/>
  <c r="K943" i="14"/>
  <c r="L943" i="14" s="1"/>
  <c r="K836" i="14"/>
  <c r="L836" i="14" s="1"/>
  <c r="K952" i="14"/>
  <c r="L952" i="14" s="1"/>
  <c r="K984" i="14"/>
  <c r="L984" i="14" s="1"/>
  <c r="K58" i="14"/>
  <c r="L58" i="14" s="1"/>
  <c r="K231" i="14"/>
  <c r="L231" i="14" s="1"/>
  <c r="K17" i="14"/>
  <c r="L17" i="14" s="1"/>
  <c r="K293" i="14"/>
  <c r="L293" i="14" s="1"/>
  <c r="K214" i="14"/>
  <c r="L214" i="14" s="1"/>
  <c r="K605" i="14"/>
  <c r="L605" i="14" s="1"/>
  <c r="K544" i="14"/>
  <c r="L544" i="14" s="1"/>
  <c r="K372" i="14"/>
  <c r="L372" i="14" s="1"/>
  <c r="K503" i="14"/>
  <c r="L503" i="14" s="1"/>
  <c r="K631" i="14"/>
  <c r="L631" i="14" s="1"/>
  <c r="K695" i="14"/>
  <c r="L695" i="14" s="1"/>
  <c r="K414" i="14"/>
  <c r="L414" i="14" s="1"/>
  <c r="K454" i="14"/>
  <c r="L454" i="14" s="1"/>
  <c r="K494" i="14"/>
  <c r="L494" i="14" s="1"/>
  <c r="K526" i="14"/>
  <c r="L526" i="14" s="1"/>
  <c r="K558" i="14"/>
  <c r="L558" i="14" s="1"/>
  <c r="K590" i="14"/>
  <c r="L590" i="14" s="1"/>
  <c r="K622" i="14"/>
  <c r="L622" i="14" s="1"/>
  <c r="K654" i="14"/>
  <c r="L654" i="14" s="1"/>
  <c r="K686" i="14"/>
  <c r="L686" i="14" s="1"/>
  <c r="K697" i="14"/>
  <c r="L697" i="14" s="1"/>
  <c r="K738" i="14"/>
  <c r="L738" i="14" s="1"/>
  <c r="K770" i="14"/>
  <c r="L770" i="14" s="1"/>
  <c r="K802" i="14"/>
  <c r="L802" i="14" s="1"/>
  <c r="K834" i="14"/>
  <c r="L834" i="14" s="1"/>
  <c r="K866" i="14"/>
  <c r="L866" i="14" s="1"/>
  <c r="K898" i="14"/>
  <c r="L898" i="14" s="1"/>
  <c r="K930" i="14"/>
  <c r="L930" i="14" s="1"/>
  <c r="K713" i="14"/>
  <c r="L713" i="14" s="1"/>
  <c r="K745" i="14"/>
  <c r="L745" i="14" s="1"/>
  <c r="K777" i="14"/>
  <c r="L777" i="14" s="1"/>
  <c r="K809" i="14"/>
  <c r="L809" i="14" s="1"/>
  <c r="K841" i="14"/>
  <c r="L841" i="14" s="1"/>
  <c r="K873" i="14"/>
  <c r="L873" i="14" s="1"/>
  <c r="K905" i="14"/>
  <c r="L905" i="14" s="1"/>
  <c r="K937" i="14"/>
  <c r="L937" i="14" s="1"/>
  <c r="K744" i="14"/>
  <c r="L744" i="14" s="1"/>
  <c r="K872" i="14"/>
  <c r="L872" i="14" s="1"/>
  <c r="K763" i="14"/>
  <c r="L763" i="14" s="1"/>
  <c r="K891" i="14"/>
  <c r="L891" i="14" s="1"/>
  <c r="K971" i="14"/>
  <c r="L971" i="14" s="1"/>
  <c r="K1003" i="14"/>
  <c r="L1003" i="14" s="1"/>
  <c r="K784" i="14"/>
  <c r="L784" i="14" s="1"/>
  <c r="K912" i="14"/>
  <c r="L912" i="14" s="1"/>
  <c r="K788" i="14"/>
  <c r="L788" i="14" s="1"/>
  <c r="K916" i="14"/>
  <c r="L916" i="14" s="1"/>
  <c r="K974" i="14"/>
  <c r="L974" i="14" s="1"/>
  <c r="K1006" i="14"/>
  <c r="L1006" i="14" s="1"/>
  <c r="K807" i="14"/>
  <c r="L807" i="14" s="1"/>
  <c r="K935" i="14"/>
  <c r="L935" i="14" s="1"/>
  <c r="K828" i="14"/>
  <c r="L828" i="14" s="1"/>
  <c r="K953" i="14"/>
  <c r="L953" i="14" s="1"/>
  <c r="K985" i="14"/>
  <c r="L985" i="14" s="1"/>
  <c r="K705" i="14"/>
  <c r="L705" i="14" s="1"/>
  <c r="K832" i="14"/>
  <c r="L832" i="14" s="1"/>
  <c r="K723" i="14"/>
  <c r="L723" i="14" s="1"/>
  <c r="K851" i="14"/>
  <c r="L851" i="14" s="1"/>
  <c r="K956" i="14"/>
  <c r="L956" i="14" s="1"/>
  <c r="K988" i="14"/>
  <c r="L988" i="14" s="1"/>
  <c r="K89" i="14"/>
  <c r="L89" i="14" s="1"/>
  <c r="K20" i="14"/>
  <c r="L20" i="14" s="1"/>
  <c r="K263" i="14"/>
  <c r="L263" i="14" s="1"/>
  <c r="K325" i="14"/>
  <c r="L325" i="14" s="1"/>
  <c r="K356" i="14"/>
  <c r="L356" i="14" s="1"/>
  <c r="K637" i="14"/>
  <c r="L637" i="14" s="1"/>
  <c r="K576" i="14"/>
  <c r="L576" i="14" s="1"/>
  <c r="K368" i="14"/>
  <c r="L368" i="14" s="1"/>
  <c r="K511" i="14"/>
  <c r="L511" i="14" s="1"/>
  <c r="K639" i="14"/>
  <c r="L639" i="14" s="1"/>
  <c r="K364" i="14"/>
  <c r="L364" i="14" s="1"/>
  <c r="K418" i="14"/>
  <c r="L418" i="14" s="1"/>
  <c r="K462" i="14"/>
  <c r="L462" i="14" s="1"/>
  <c r="K498" i="14"/>
  <c r="L498" i="14" s="1"/>
  <c r="K530" i="14"/>
  <c r="L530" i="14" s="1"/>
  <c r="K562" i="14"/>
  <c r="L562" i="14" s="1"/>
  <c r="K594" i="14"/>
  <c r="L594" i="14" s="1"/>
  <c r="K626" i="14"/>
  <c r="L626" i="14" s="1"/>
  <c r="K658" i="14"/>
  <c r="L658" i="14" s="1"/>
  <c r="K690" i="14"/>
  <c r="L690" i="14" s="1"/>
  <c r="K703" i="14"/>
  <c r="L703" i="14" s="1"/>
  <c r="K742" i="14"/>
  <c r="L742" i="14" s="1"/>
  <c r="K774" i="14"/>
  <c r="L774" i="14" s="1"/>
  <c r="K806" i="14"/>
  <c r="L806" i="14" s="1"/>
  <c r="K838" i="14"/>
  <c r="L838" i="14" s="1"/>
  <c r="K870" i="14"/>
  <c r="L870" i="14" s="1"/>
  <c r="K902" i="14"/>
  <c r="L902" i="14" s="1"/>
  <c r="K934" i="14"/>
  <c r="L934" i="14" s="1"/>
  <c r="K717" i="14"/>
  <c r="L717" i="14" s="1"/>
  <c r="K749" i="14"/>
  <c r="L749" i="14" s="1"/>
  <c r="K781" i="14"/>
  <c r="L781" i="14" s="1"/>
  <c r="K813" i="14"/>
  <c r="L813" i="14" s="1"/>
  <c r="K845" i="14"/>
  <c r="L845" i="14" s="1"/>
  <c r="K877" i="14"/>
  <c r="L877" i="14" s="1"/>
  <c r="K909" i="14"/>
  <c r="L909" i="14" s="1"/>
  <c r="K941" i="14"/>
  <c r="L941" i="14" s="1"/>
  <c r="K759" i="14"/>
  <c r="L759" i="14" s="1"/>
  <c r="K887" i="14"/>
  <c r="L887" i="14" s="1"/>
  <c r="K780" i="14"/>
  <c r="L780" i="14" s="1"/>
  <c r="K908" i="14"/>
  <c r="L908" i="14" s="1"/>
  <c r="K975" i="14"/>
  <c r="L975" i="14" s="1"/>
  <c r="K1007" i="14"/>
  <c r="L1007" i="14" s="1"/>
  <c r="K799" i="14"/>
  <c r="L799" i="14" s="1"/>
  <c r="K927" i="14"/>
  <c r="L927" i="14" s="1"/>
  <c r="K803" i="14"/>
  <c r="L803" i="14" s="1"/>
  <c r="K931" i="14"/>
  <c r="L931" i="14" s="1"/>
  <c r="K978" i="14"/>
  <c r="L978" i="14" s="1"/>
  <c r="K1010" i="14"/>
  <c r="L1010" i="14" s="1"/>
  <c r="K824" i="14"/>
  <c r="L824" i="14" s="1"/>
  <c r="K715" i="14"/>
  <c r="L715" i="14" s="1"/>
  <c r="K843" i="14"/>
  <c r="L843" i="14" s="1"/>
  <c r="K957" i="14"/>
  <c r="L957" i="14" s="1"/>
  <c r="K989" i="14"/>
  <c r="L989" i="14" s="1"/>
  <c r="K719" i="14"/>
  <c r="L719" i="14" s="1"/>
  <c r="K847" i="14"/>
  <c r="L847" i="14" s="1"/>
  <c r="K740" i="14"/>
  <c r="L740" i="14" s="1"/>
  <c r="K868" i="14"/>
  <c r="L868" i="14" s="1"/>
  <c r="K960" i="14"/>
  <c r="L960" i="14" s="1"/>
  <c r="K992" i="14"/>
  <c r="L992" i="14" s="1"/>
  <c r="K121" i="14"/>
  <c r="L121" i="14" s="1"/>
  <c r="K76" i="14"/>
  <c r="L76" i="14" s="1"/>
  <c r="K52" i="14"/>
  <c r="L52" i="14" s="1"/>
  <c r="K260" i="14"/>
  <c r="L260" i="14" s="1"/>
  <c r="K357" i="14"/>
  <c r="L357" i="14" s="1"/>
  <c r="K413" i="14"/>
  <c r="L413" i="14" s="1"/>
  <c r="K669" i="14"/>
  <c r="L669" i="14" s="1"/>
  <c r="K600" i="14"/>
  <c r="L600" i="14" s="1"/>
  <c r="K407" i="14"/>
  <c r="L407" i="14" s="1"/>
  <c r="K535" i="14"/>
  <c r="L535" i="14" s="1"/>
  <c r="K647" i="14"/>
  <c r="L647" i="14" s="1"/>
  <c r="K382" i="14"/>
  <c r="L382" i="14" s="1"/>
  <c r="K422" i="14"/>
  <c r="L422" i="14" s="1"/>
  <c r="K466" i="14"/>
  <c r="L466" i="14" s="1"/>
  <c r="K502" i="14"/>
  <c r="L502" i="14" s="1"/>
  <c r="K534" i="14"/>
  <c r="L534" i="14" s="1"/>
  <c r="K566" i="14"/>
  <c r="L566" i="14" s="1"/>
  <c r="K598" i="14"/>
  <c r="L598" i="14" s="1"/>
  <c r="K630" i="14"/>
  <c r="L630" i="14" s="1"/>
  <c r="K662" i="14"/>
  <c r="L662" i="14" s="1"/>
  <c r="K694" i="14"/>
  <c r="L694" i="14" s="1"/>
  <c r="K714" i="14"/>
  <c r="L714" i="14" s="1"/>
  <c r="K746" i="14"/>
  <c r="L746" i="14" s="1"/>
  <c r="K778" i="14"/>
  <c r="L778" i="14" s="1"/>
  <c r="K810" i="14"/>
  <c r="L810" i="14" s="1"/>
  <c r="K842" i="14"/>
  <c r="L842" i="14" s="1"/>
  <c r="K874" i="14"/>
  <c r="L874" i="14" s="1"/>
  <c r="K906" i="14"/>
  <c r="L906" i="14" s="1"/>
  <c r="K938" i="14"/>
  <c r="L938" i="14" s="1"/>
  <c r="K721" i="14"/>
  <c r="L721" i="14" s="1"/>
  <c r="K753" i="14"/>
  <c r="L753" i="14" s="1"/>
  <c r="K785" i="14"/>
  <c r="L785" i="14" s="1"/>
  <c r="K817" i="14"/>
  <c r="L817" i="14" s="1"/>
  <c r="K849" i="14"/>
  <c r="L849" i="14" s="1"/>
  <c r="K881" i="14"/>
  <c r="L881" i="14" s="1"/>
  <c r="K913" i="14"/>
  <c r="L913" i="14" s="1"/>
  <c r="K945" i="14"/>
  <c r="L945" i="14" s="1"/>
  <c r="K776" i="14"/>
  <c r="L776" i="14" s="1"/>
  <c r="K904" i="14"/>
  <c r="L904" i="14" s="1"/>
  <c r="K795" i="14"/>
  <c r="L795" i="14" s="1"/>
  <c r="K923" i="14"/>
  <c r="L923" i="14" s="1"/>
  <c r="K979" i="14"/>
  <c r="L979" i="14" s="1"/>
  <c r="K1011" i="14"/>
  <c r="L1011" i="14" s="1"/>
  <c r="K816" i="14"/>
  <c r="L816" i="14" s="1"/>
  <c r="K944" i="14"/>
  <c r="L944" i="14" s="1"/>
  <c r="K820" i="14"/>
  <c r="L820" i="14" s="1"/>
  <c r="K948" i="14"/>
  <c r="L948" i="14" s="1"/>
  <c r="K982" i="14"/>
  <c r="L982" i="14" s="1"/>
  <c r="K711" i="14"/>
  <c r="L711" i="14" s="1"/>
  <c r="K839" i="14"/>
  <c r="L839" i="14" s="1"/>
  <c r="K732" i="14"/>
  <c r="L732" i="14" s="1"/>
  <c r="K860" i="14"/>
  <c r="L860" i="14" s="1"/>
  <c r="K961" i="14"/>
  <c r="L961" i="14" s="1"/>
  <c r="K993" i="14"/>
  <c r="L993" i="14" s="1"/>
  <c r="K736" i="14"/>
  <c r="L736" i="14" s="1"/>
  <c r="K864" i="14"/>
  <c r="L864" i="14" s="1"/>
  <c r="K755" i="14"/>
  <c r="L755" i="14" s="1"/>
  <c r="K883" i="14"/>
  <c r="L883" i="14" s="1"/>
  <c r="K964" i="14"/>
  <c r="L964" i="14" s="1"/>
  <c r="K996" i="14"/>
  <c r="L996" i="14" s="1"/>
  <c r="K153" i="14"/>
  <c r="L153" i="14" s="1"/>
  <c r="K108" i="14"/>
  <c r="L108" i="14" s="1"/>
  <c r="K71" i="14"/>
  <c r="L71" i="14" s="1"/>
  <c r="K82" i="14"/>
  <c r="L82" i="14" s="1"/>
  <c r="K302" i="14"/>
  <c r="L302" i="14" s="1"/>
  <c r="K389" i="14"/>
  <c r="L389" i="14" s="1"/>
  <c r="K445" i="14"/>
  <c r="L445" i="14" s="1"/>
  <c r="K344" i="14"/>
  <c r="L344" i="14" s="1"/>
  <c r="K608" i="14"/>
  <c r="L608" i="14" s="1"/>
  <c r="K415" i="14"/>
  <c r="L415" i="14" s="1"/>
  <c r="K543" i="14"/>
  <c r="L543" i="14" s="1"/>
  <c r="K651" i="14"/>
  <c r="L651" i="14" s="1"/>
  <c r="K360" i="14"/>
  <c r="L360" i="14" s="1"/>
  <c r="K430" i="14"/>
  <c r="L430" i="14" s="1"/>
  <c r="K474" i="14"/>
  <c r="L474" i="14" s="1"/>
  <c r="K506" i="14"/>
  <c r="L506" i="14" s="1"/>
  <c r="K538" i="14"/>
  <c r="L538" i="14" s="1"/>
  <c r="K570" i="14"/>
  <c r="L570" i="14" s="1"/>
  <c r="K602" i="14"/>
  <c r="L602" i="14" s="1"/>
  <c r="K634" i="14"/>
  <c r="L634" i="14" s="1"/>
  <c r="K666" i="14"/>
  <c r="L666" i="14" s="1"/>
  <c r="K698" i="14"/>
  <c r="L698" i="14" s="1"/>
  <c r="K718" i="14"/>
  <c r="L718" i="14" s="1"/>
  <c r="K750" i="14"/>
  <c r="L750" i="14" s="1"/>
  <c r="K782" i="14"/>
  <c r="L782" i="14" s="1"/>
  <c r="K814" i="14"/>
  <c r="L814" i="14" s="1"/>
  <c r="K846" i="14"/>
  <c r="L846" i="14" s="1"/>
  <c r="K878" i="14"/>
  <c r="L878" i="14" s="1"/>
  <c r="K910" i="14"/>
  <c r="L910" i="14" s="1"/>
  <c r="K942" i="14"/>
  <c r="L942" i="14" s="1"/>
  <c r="K725" i="14"/>
  <c r="L725" i="14" s="1"/>
  <c r="K757" i="14"/>
  <c r="L757" i="14" s="1"/>
  <c r="K789" i="14"/>
  <c r="L789" i="14" s="1"/>
  <c r="K821" i="14"/>
  <c r="L821" i="14" s="1"/>
  <c r="K853" i="14"/>
  <c r="L853" i="14" s="1"/>
  <c r="K885" i="14"/>
  <c r="L885" i="14" s="1"/>
  <c r="K917" i="14"/>
  <c r="L917" i="14" s="1"/>
  <c r="K949" i="14"/>
  <c r="L949" i="14" s="1"/>
  <c r="K791" i="14"/>
  <c r="L791" i="14" s="1"/>
  <c r="K919" i="14"/>
  <c r="L919" i="14" s="1"/>
  <c r="K812" i="14"/>
  <c r="L812" i="14" s="1"/>
  <c r="K940" i="14"/>
  <c r="L940" i="14" s="1"/>
  <c r="K983" i="14"/>
  <c r="L983" i="14" s="1"/>
  <c r="K704" i="14"/>
  <c r="L704" i="14" s="1"/>
  <c r="K831" i="14"/>
  <c r="L831" i="14" s="1"/>
  <c r="K951" i="14"/>
  <c r="L951" i="14" s="1"/>
  <c r="K835" i="14"/>
  <c r="L835" i="14" s="1"/>
  <c r="K954" i="14"/>
  <c r="L954" i="14" s="1"/>
  <c r="K986" i="14"/>
  <c r="L986" i="14" s="1"/>
  <c r="K728" i="14"/>
  <c r="L728" i="14" s="1"/>
  <c r="K856" i="14"/>
  <c r="L856" i="14" s="1"/>
  <c r="K747" i="14"/>
  <c r="L747" i="14" s="1"/>
  <c r="K875" i="14"/>
  <c r="L875" i="14" s="1"/>
  <c r="K965" i="14"/>
  <c r="L965" i="14" s="1"/>
  <c r="K997" i="14"/>
  <c r="L997" i="14" s="1"/>
  <c r="K751" i="14"/>
  <c r="L751" i="14" s="1"/>
  <c r="K879" i="14"/>
  <c r="L879" i="14" s="1"/>
  <c r="K772" i="14"/>
  <c r="L772" i="14" s="1"/>
  <c r="K900" i="14"/>
  <c r="L900" i="14" s="1"/>
  <c r="K968" i="14"/>
  <c r="L968" i="14" s="1"/>
  <c r="K1000" i="14"/>
  <c r="L1000" i="14" s="1"/>
  <c r="K185" i="14"/>
  <c r="L185" i="14" s="1"/>
  <c r="K140" i="14"/>
  <c r="L140" i="14" s="1"/>
  <c r="K103" i="14"/>
  <c r="L103" i="14" s="1"/>
  <c r="K210" i="14"/>
  <c r="L210" i="14" s="1"/>
  <c r="K334" i="14"/>
  <c r="L334" i="14" s="1"/>
  <c r="K190" i="14"/>
  <c r="L190" i="14" s="1"/>
  <c r="K477" i="14"/>
  <c r="L477" i="14" s="1"/>
  <c r="K416" i="14"/>
  <c r="L416" i="14" s="1"/>
  <c r="K632" i="14"/>
  <c r="L632" i="14" s="1"/>
  <c r="K439" i="14"/>
  <c r="L439" i="14" s="1"/>
  <c r="K567" i="14"/>
  <c r="L567" i="14" s="1"/>
  <c r="K663" i="14"/>
  <c r="L663" i="14" s="1"/>
  <c r="K384" i="14"/>
  <c r="L384" i="14" s="1"/>
  <c r="K434" i="14"/>
  <c r="L434" i="14" s="1"/>
  <c r="K478" i="14"/>
  <c r="L478" i="14" s="1"/>
  <c r="K510" i="14"/>
  <c r="L510" i="14" s="1"/>
  <c r="K542" i="14"/>
  <c r="L542" i="14" s="1"/>
  <c r="K574" i="14"/>
  <c r="L574" i="14" s="1"/>
  <c r="K606" i="14"/>
  <c r="L606" i="14" s="1"/>
  <c r="K638" i="14"/>
  <c r="L638" i="14" s="1"/>
  <c r="K670" i="14"/>
  <c r="L670" i="14" s="1"/>
  <c r="K701" i="14"/>
  <c r="L701" i="14" s="1"/>
  <c r="K722" i="14"/>
  <c r="L722" i="14" s="1"/>
  <c r="K754" i="14"/>
  <c r="L754" i="14" s="1"/>
  <c r="K786" i="14"/>
  <c r="L786" i="14" s="1"/>
  <c r="K818" i="14"/>
  <c r="L818" i="14" s="1"/>
  <c r="K850" i="14"/>
  <c r="L850" i="14" s="1"/>
  <c r="K882" i="14"/>
  <c r="L882" i="14" s="1"/>
  <c r="K914" i="14"/>
  <c r="L914" i="14" s="1"/>
  <c r="K946" i="14"/>
  <c r="L946" i="14" s="1"/>
  <c r="K729" i="14"/>
  <c r="L729" i="14" s="1"/>
  <c r="K761" i="14"/>
  <c r="L761" i="14" s="1"/>
  <c r="K793" i="14"/>
  <c r="L793" i="14" s="1"/>
  <c r="K825" i="14"/>
  <c r="L825" i="14" s="1"/>
  <c r="K857" i="14"/>
  <c r="L857" i="14" s="1"/>
  <c r="K889" i="14"/>
  <c r="L889" i="14" s="1"/>
  <c r="K921" i="14"/>
  <c r="L921" i="14" s="1"/>
  <c r="K702" i="14"/>
  <c r="L702" i="14" s="1"/>
  <c r="K808" i="14"/>
  <c r="L808" i="14" s="1"/>
  <c r="K936" i="14"/>
  <c r="L936" i="14" s="1"/>
  <c r="K827" i="14"/>
  <c r="L827" i="14" s="1"/>
  <c r="K955" i="14"/>
  <c r="L955" i="14" s="1"/>
  <c r="K987" i="14"/>
  <c r="L987" i="14" s="1"/>
  <c r="K720" i="14"/>
  <c r="L720" i="14" s="1"/>
  <c r="K848" i="14"/>
  <c r="L848" i="14" s="1"/>
  <c r="K724" i="14"/>
  <c r="L724" i="14" s="1"/>
  <c r="K852" i="14"/>
  <c r="L852" i="14" s="1"/>
  <c r="K958" i="14"/>
  <c r="L958" i="14" s="1"/>
  <c r="K990" i="14"/>
  <c r="L990" i="14" s="1"/>
  <c r="K743" i="14"/>
  <c r="L743" i="14" s="1"/>
  <c r="K871" i="14"/>
  <c r="L871" i="14" s="1"/>
  <c r="K764" i="14"/>
  <c r="L764" i="14" s="1"/>
  <c r="K892" i="14"/>
  <c r="L892" i="14" s="1"/>
  <c r="K969" i="14"/>
  <c r="L969" i="14" s="1"/>
  <c r="K1001" i="14"/>
  <c r="L1001" i="14" s="1"/>
  <c r="K768" i="14"/>
  <c r="L768" i="14" s="1"/>
  <c r="K896" i="14"/>
  <c r="L896" i="14" s="1"/>
  <c r="K787" i="14"/>
  <c r="L787" i="14" s="1"/>
  <c r="K915" i="14"/>
  <c r="L915" i="14" s="1"/>
  <c r="K972" i="14"/>
  <c r="L972" i="14" s="1"/>
  <c r="K1004" i="14"/>
  <c r="L1004" i="14" s="1"/>
  <c r="K217" i="14"/>
  <c r="L217" i="14" s="1"/>
  <c r="K640" i="14"/>
  <c r="L640" i="14" s="1"/>
  <c r="K546" i="14"/>
  <c r="L546" i="14" s="1"/>
  <c r="K790" i="14"/>
  <c r="L790" i="14" s="1"/>
  <c r="K797" i="14"/>
  <c r="L797" i="14" s="1"/>
  <c r="K844" i="14"/>
  <c r="L844" i="14" s="1"/>
  <c r="K994" i="14"/>
  <c r="L994" i="14" s="1"/>
  <c r="K911" i="14"/>
  <c r="L911" i="14" s="1"/>
  <c r="K172" i="14"/>
  <c r="L172" i="14" s="1"/>
  <c r="K447" i="14"/>
  <c r="L447" i="14" s="1"/>
  <c r="K578" i="14"/>
  <c r="L578" i="14" s="1"/>
  <c r="K822" i="14"/>
  <c r="L822" i="14" s="1"/>
  <c r="K829" i="14"/>
  <c r="L829" i="14" s="1"/>
  <c r="K959" i="14"/>
  <c r="L959" i="14" s="1"/>
  <c r="K760" i="14"/>
  <c r="L760" i="14" s="1"/>
  <c r="K804" i="14"/>
  <c r="L804" i="14" s="1"/>
  <c r="K135" i="14"/>
  <c r="L135" i="14" s="1"/>
  <c r="K575" i="14"/>
  <c r="L575" i="14" s="1"/>
  <c r="K610" i="14"/>
  <c r="L610" i="14" s="1"/>
  <c r="K854" i="14"/>
  <c r="L854" i="14" s="1"/>
  <c r="K861" i="14"/>
  <c r="L861" i="14" s="1"/>
  <c r="K991" i="14"/>
  <c r="L991" i="14" s="1"/>
  <c r="K888" i="14"/>
  <c r="L888" i="14" s="1"/>
  <c r="K932" i="14"/>
  <c r="L932" i="14" s="1"/>
  <c r="K299" i="14"/>
  <c r="L299" i="14" s="1"/>
  <c r="K671" i="14"/>
  <c r="L671" i="14" s="1"/>
  <c r="K642" i="14"/>
  <c r="L642" i="14" s="1"/>
  <c r="K886" i="14"/>
  <c r="L886" i="14" s="1"/>
  <c r="K893" i="14"/>
  <c r="L893" i="14" s="1"/>
  <c r="K735" i="14"/>
  <c r="L735" i="14" s="1"/>
  <c r="K779" i="14"/>
  <c r="L779" i="14" s="1"/>
  <c r="K976" i="14"/>
  <c r="L976" i="14" s="1"/>
  <c r="K366" i="14"/>
  <c r="L366" i="14" s="1"/>
  <c r="K398" i="14"/>
  <c r="L398" i="14" s="1"/>
  <c r="K674" i="14"/>
  <c r="L674" i="14" s="1"/>
  <c r="K918" i="14"/>
  <c r="L918" i="14" s="1"/>
  <c r="K925" i="14"/>
  <c r="L925" i="14" s="1"/>
  <c r="K863" i="14"/>
  <c r="L863" i="14" s="1"/>
  <c r="K907" i="14"/>
  <c r="L907" i="14" s="1"/>
  <c r="K1008" i="14"/>
  <c r="L1008" i="14" s="1"/>
  <c r="K250" i="14"/>
  <c r="L250" i="14" s="1"/>
  <c r="K442" i="14"/>
  <c r="L442" i="14" s="1"/>
  <c r="K708" i="14"/>
  <c r="L708" i="14" s="1"/>
  <c r="K950" i="14"/>
  <c r="L950" i="14" s="1"/>
  <c r="K709" i="14"/>
  <c r="L709" i="14" s="1"/>
  <c r="K739" i="14"/>
  <c r="L739" i="14" s="1"/>
  <c r="K973" i="14"/>
  <c r="L973" i="14" s="1"/>
  <c r="K509" i="14"/>
  <c r="L509" i="14" s="1"/>
  <c r="K482" i="14"/>
  <c r="L482" i="14" s="1"/>
  <c r="K726" i="14"/>
  <c r="L726" i="14" s="1"/>
  <c r="K733" i="14"/>
  <c r="L733" i="14" s="1"/>
  <c r="K823" i="14"/>
  <c r="L823" i="14" s="1"/>
  <c r="K867" i="14"/>
  <c r="L867" i="14" s="1"/>
  <c r="K1005" i="14"/>
  <c r="L1005" i="14" s="1"/>
  <c r="K448" i="14"/>
  <c r="L448" i="14" s="1"/>
  <c r="K514" i="14"/>
  <c r="L514" i="14" s="1"/>
  <c r="K758" i="14"/>
  <c r="L758" i="14" s="1"/>
  <c r="K765" i="14"/>
  <c r="L765" i="14" s="1"/>
  <c r="K716" i="14"/>
  <c r="L716" i="14" s="1"/>
  <c r="K962" i="14"/>
  <c r="L962" i="14" s="1"/>
  <c r="K783" i="14"/>
  <c r="L783" i="14" s="1"/>
  <c r="P19" i="14" l="1"/>
  <c r="P27" i="14"/>
  <c r="P35" i="14"/>
  <c r="P43" i="14"/>
  <c r="P51" i="14"/>
  <c r="P59" i="14"/>
  <c r="P67" i="14"/>
  <c r="P75" i="14"/>
  <c r="P28" i="14"/>
  <c r="P68" i="14"/>
  <c r="P29" i="14"/>
  <c r="P61" i="14"/>
  <c r="P60" i="14"/>
  <c r="P45" i="14"/>
  <c r="P22" i="14"/>
  <c r="P30" i="14"/>
  <c r="P38" i="14"/>
  <c r="P46" i="14"/>
  <c r="P54" i="14"/>
  <c r="P62" i="14"/>
  <c r="P70" i="14"/>
  <c r="P15" i="14"/>
  <c r="P31" i="14"/>
  <c r="P39" i="14"/>
  <c r="P55" i="14"/>
  <c r="P63" i="14"/>
  <c r="P49" i="14"/>
  <c r="P65" i="14"/>
  <c r="P34" i="14"/>
  <c r="P74" i="14"/>
  <c r="P44" i="14"/>
  <c r="P21" i="14"/>
  <c r="P69" i="14"/>
  <c r="P23" i="14"/>
  <c r="P47" i="14"/>
  <c r="P71" i="14"/>
  <c r="P73" i="14"/>
  <c r="P18" i="14"/>
  <c r="P50" i="14"/>
  <c r="P36" i="14"/>
  <c r="P53" i="14"/>
  <c r="P16" i="14"/>
  <c r="P24" i="14"/>
  <c r="P32" i="14"/>
  <c r="P40" i="14"/>
  <c r="P48" i="14"/>
  <c r="P56" i="14"/>
  <c r="P64" i="14"/>
  <c r="P72" i="14"/>
  <c r="P17" i="14"/>
  <c r="P25" i="14"/>
  <c r="P41" i="14"/>
  <c r="P57" i="14"/>
  <c r="P26" i="14"/>
  <c r="P58" i="14"/>
  <c r="P52" i="14"/>
  <c r="P37" i="14"/>
  <c r="P33" i="14"/>
  <c r="P42" i="14"/>
  <c r="P66" i="14"/>
  <c r="P20" i="14"/>
  <c r="K10" i="14"/>
  <c r="L13" i="14"/>
  <c r="U13" i="14"/>
  <c r="U10" i="14" s="1"/>
  <c r="T10" i="14"/>
  <c r="K11" i="15"/>
  <c r="L14" i="15"/>
  <c r="G30" i="14"/>
  <c r="G62" i="14"/>
  <c r="G95" i="14"/>
  <c r="G127" i="14"/>
  <c r="G159" i="14"/>
  <c r="G191" i="14"/>
  <c r="G223" i="14"/>
  <c r="G255" i="14"/>
  <c r="G41" i="14"/>
  <c r="G90" i="14"/>
  <c r="G122" i="14"/>
  <c r="G154" i="14"/>
  <c r="G186" i="14"/>
  <c r="G218" i="14"/>
  <c r="G250" i="14"/>
  <c r="G39" i="14"/>
  <c r="G18" i="14"/>
  <c r="G50" i="14"/>
  <c r="G85" i="14"/>
  <c r="G117" i="14"/>
  <c r="G149" i="14"/>
  <c r="G181" i="14"/>
  <c r="G213" i="14"/>
  <c r="G245" i="14"/>
  <c r="G92" i="14"/>
  <c r="G262" i="14"/>
  <c r="G301" i="14"/>
  <c r="G333" i="14"/>
  <c r="G365" i="14"/>
  <c r="G13" i="14"/>
  <c r="G196" i="14"/>
  <c r="G254" i="14"/>
  <c r="G304" i="14"/>
  <c r="G336" i="14"/>
  <c r="G368" i="14"/>
  <c r="G220" i="14"/>
  <c r="G273" i="14"/>
  <c r="G311" i="14"/>
  <c r="G343" i="14"/>
  <c r="G375" i="14"/>
  <c r="G148" i="14"/>
  <c r="G144" i="14"/>
  <c r="G286" i="14"/>
  <c r="G318" i="14"/>
  <c r="G108" i="14"/>
  <c r="G374" i="14"/>
  <c r="G407" i="14"/>
  <c r="G439" i="14"/>
  <c r="G471" i="14"/>
  <c r="G503" i="14"/>
  <c r="G535" i="14"/>
  <c r="G567" i="14"/>
  <c r="G599" i="14"/>
  <c r="G631" i="14"/>
  <c r="G663" i="14"/>
  <c r="G695" i="14"/>
  <c r="G406" i="14"/>
  <c r="G438" i="14"/>
  <c r="G470" i="14"/>
  <c r="G502" i="14"/>
  <c r="G534" i="14"/>
  <c r="G566" i="14"/>
  <c r="G598" i="14"/>
  <c r="G630" i="14"/>
  <c r="G662" i="14"/>
  <c r="G694" i="14"/>
  <c r="G409" i="14"/>
  <c r="G441" i="14"/>
  <c r="G473" i="14"/>
  <c r="G505" i="14"/>
  <c r="G537" i="14"/>
  <c r="G569" i="14"/>
  <c r="G601" i="14"/>
  <c r="G633" i="14"/>
  <c r="G665" i="14"/>
  <c r="G697" i="14"/>
  <c r="G412" i="14"/>
  <c r="G444" i="14"/>
  <c r="G19" i="14"/>
  <c r="G51" i="14"/>
  <c r="G67" i="14"/>
  <c r="G99" i="14"/>
  <c r="G131" i="14"/>
  <c r="G163" i="14"/>
  <c r="G195" i="14"/>
  <c r="G227" i="14"/>
  <c r="G28" i="14"/>
  <c r="G60" i="14"/>
  <c r="G94" i="14"/>
  <c r="G126" i="14"/>
  <c r="G158" i="14"/>
  <c r="G190" i="14"/>
  <c r="G222" i="14"/>
  <c r="P13" i="14"/>
  <c r="G89" i="14"/>
  <c r="G121" i="14"/>
  <c r="G153" i="14"/>
  <c r="G185" i="14"/>
  <c r="G217" i="14"/>
  <c r="G249" i="14"/>
  <c r="G32" i="14"/>
  <c r="G64" i="14"/>
  <c r="G96" i="14"/>
  <c r="G265" i="14"/>
  <c r="G305" i="14"/>
  <c r="G337" i="14"/>
  <c r="G369" i="14"/>
  <c r="G228" i="14"/>
  <c r="G274" i="14"/>
  <c r="G308" i="14"/>
  <c r="G340" i="14"/>
  <c r="G372" i="14"/>
  <c r="G252" i="14"/>
  <c r="G21" i="14"/>
  <c r="G283" i="14"/>
  <c r="G315" i="14"/>
  <c r="G347" i="14"/>
  <c r="G379" i="14"/>
  <c r="G180" i="14"/>
  <c r="G176" i="14"/>
  <c r="G290" i="14"/>
  <c r="G322" i="14"/>
  <c r="G140" i="14"/>
  <c r="G378" i="14"/>
  <c r="G411" i="14"/>
  <c r="G443" i="14"/>
  <c r="G475" i="14"/>
  <c r="G507" i="14"/>
  <c r="G539" i="14"/>
  <c r="G571" i="14"/>
  <c r="G603" i="14"/>
  <c r="G635" i="14"/>
  <c r="G667" i="14"/>
  <c r="G366" i="14"/>
  <c r="G410" i="14"/>
  <c r="G442" i="14"/>
  <c r="G474" i="14"/>
  <c r="G506" i="14"/>
  <c r="G538" i="14"/>
  <c r="G570" i="14"/>
  <c r="G602" i="14"/>
  <c r="G634" i="14"/>
  <c r="G666" i="14"/>
  <c r="G358" i="14"/>
  <c r="G413" i="14"/>
  <c r="G445" i="14"/>
  <c r="G477" i="14"/>
  <c r="G509" i="14"/>
  <c r="G541" i="14"/>
  <c r="G573" i="14"/>
  <c r="G605" i="14"/>
  <c r="G637" i="14"/>
  <c r="G669" i="14"/>
  <c r="G350" i="14"/>
  <c r="G416" i="14"/>
  <c r="G448" i="14"/>
  <c r="G38" i="14"/>
  <c r="G71" i="14"/>
  <c r="G103" i="14"/>
  <c r="G135" i="14"/>
  <c r="G167" i="14"/>
  <c r="G199" i="14"/>
  <c r="G231" i="14"/>
  <c r="G17" i="14"/>
  <c r="G49" i="14"/>
  <c r="G66" i="14"/>
  <c r="G98" i="14"/>
  <c r="G130" i="14"/>
  <c r="G162" i="14"/>
  <c r="G194" i="14"/>
  <c r="G226" i="14"/>
  <c r="G15" i="14"/>
  <c r="G47" i="14"/>
  <c r="G26" i="14"/>
  <c r="G58" i="14"/>
  <c r="G93" i="14"/>
  <c r="G125" i="14"/>
  <c r="G157" i="14"/>
  <c r="G189" i="14"/>
  <c r="G221" i="14"/>
  <c r="G253" i="14"/>
  <c r="G68" i="14"/>
  <c r="G104" i="14"/>
  <c r="G278" i="14"/>
  <c r="G309" i="14"/>
  <c r="G341" i="14"/>
  <c r="G373" i="14"/>
  <c r="G29" i="14"/>
  <c r="G268" i="14"/>
  <c r="G277" i="14"/>
  <c r="G312" i="14"/>
  <c r="G344" i="14"/>
  <c r="G376" i="14"/>
  <c r="G256" i="14"/>
  <c r="G120" i="14"/>
  <c r="G287" i="14"/>
  <c r="G319" i="14"/>
  <c r="G351" i="14"/>
  <c r="G383" i="14"/>
  <c r="G212" i="14"/>
  <c r="G208" i="14"/>
  <c r="G294" i="14"/>
  <c r="G326" i="14"/>
  <c r="G172" i="14"/>
  <c r="G370" i="14"/>
  <c r="G415" i="14"/>
  <c r="G447" i="14"/>
  <c r="G479" i="14"/>
  <c r="G511" i="14"/>
  <c r="G543" i="14"/>
  <c r="G575" i="14"/>
  <c r="G607" i="14"/>
  <c r="G639" i="14"/>
  <c r="G671" i="14"/>
  <c r="G382" i="14"/>
  <c r="G414" i="14"/>
  <c r="G446" i="14"/>
  <c r="G478" i="14"/>
  <c r="G510" i="14"/>
  <c r="G542" i="14"/>
  <c r="G574" i="14"/>
  <c r="G606" i="14"/>
  <c r="G638" i="14"/>
  <c r="G670" i="14"/>
  <c r="G386" i="14"/>
  <c r="G417" i="14"/>
  <c r="G449" i="14"/>
  <c r="G481" i="14"/>
  <c r="G513" i="14"/>
  <c r="G545" i="14"/>
  <c r="G577" i="14"/>
  <c r="G609" i="14"/>
  <c r="G641" i="14"/>
  <c r="G673" i="14"/>
  <c r="G346" i="14"/>
  <c r="G420" i="14"/>
  <c r="G452" i="14"/>
  <c r="G27" i="14"/>
  <c r="G59" i="14"/>
  <c r="G75" i="14"/>
  <c r="G107" i="14"/>
  <c r="G139" i="14"/>
  <c r="G171" i="14"/>
  <c r="G203" i="14"/>
  <c r="G235" i="14"/>
  <c r="G36" i="14"/>
  <c r="G70" i="14"/>
  <c r="G102" i="14"/>
  <c r="G134" i="14"/>
  <c r="G166" i="14"/>
  <c r="G198" i="14"/>
  <c r="G230" i="14"/>
  <c r="G65" i="14"/>
  <c r="G97" i="14"/>
  <c r="G129" i="14"/>
  <c r="G161" i="14"/>
  <c r="G193" i="14"/>
  <c r="G225" i="14"/>
  <c r="G257" i="14"/>
  <c r="G40" i="14"/>
  <c r="G72" i="14"/>
  <c r="G136" i="14"/>
  <c r="G281" i="14"/>
  <c r="G313" i="14"/>
  <c r="G345" i="14"/>
  <c r="G377" i="14"/>
  <c r="G271" i="14"/>
  <c r="G284" i="14"/>
  <c r="G316" i="14"/>
  <c r="G348" i="14"/>
  <c r="G258" i="14"/>
  <c r="G152" i="14"/>
  <c r="G291" i="14"/>
  <c r="G323" i="14"/>
  <c r="G355" i="14"/>
  <c r="G387" i="14"/>
  <c r="G244" i="14"/>
  <c r="G240" i="14"/>
  <c r="G298" i="14"/>
  <c r="G330" i="14"/>
  <c r="G204" i="14"/>
  <c r="G380" i="14"/>
  <c r="G419" i="14"/>
  <c r="G451" i="14"/>
  <c r="G483" i="14"/>
  <c r="G515" i="14"/>
  <c r="G547" i="14"/>
  <c r="G579" i="14"/>
  <c r="G611" i="14"/>
  <c r="G643" i="14"/>
  <c r="G675" i="14"/>
  <c r="G362" i="14"/>
  <c r="G418" i="14"/>
  <c r="G450" i="14"/>
  <c r="G482" i="14"/>
  <c r="G514" i="14"/>
  <c r="G546" i="14"/>
  <c r="G578" i="14"/>
  <c r="G610" i="14"/>
  <c r="G642" i="14"/>
  <c r="G674" i="14"/>
  <c r="G354" i="14"/>
  <c r="G421" i="14"/>
  <c r="G453" i="14"/>
  <c r="G485" i="14"/>
  <c r="G517" i="14"/>
  <c r="G549" i="14"/>
  <c r="G581" i="14"/>
  <c r="G613" i="14"/>
  <c r="G645" i="14"/>
  <c r="G677" i="14"/>
  <c r="G390" i="14"/>
  <c r="G424" i="14"/>
  <c r="G456" i="14"/>
  <c r="G488" i="14"/>
  <c r="G520" i="14"/>
  <c r="G552" i="14"/>
  <c r="G584" i="14"/>
  <c r="G616" i="14"/>
  <c r="G648" i="14"/>
  <c r="G680" i="14"/>
  <c r="G14" i="14"/>
  <c r="G46" i="14"/>
  <c r="G79" i="14"/>
  <c r="G111" i="14"/>
  <c r="G143" i="14"/>
  <c r="G175" i="14"/>
  <c r="G207" i="14"/>
  <c r="G239" i="14"/>
  <c r="G25" i="14"/>
  <c r="G57" i="14"/>
  <c r="G74" i="14"/>
  <c r="G106" i="14"/>
  <c r="G138" i="14"/>
  <c r="G170" i="14"/>
  <c r="G202" i="14"/>
  <c r="G234" i="14"/>
  <c r="G23" i="14"/>
  <c r="G55" i="14"/>
  <c r="G34" i="14"/>
  <c r="G69" i="14"/>
  <c r="G101" i="14"/>
  <c r="G133" i="14"/>
  <c r="G165" i="14"/>
  <c r="G197" i="14"/>
  <c r="G229" i="14"/>
  <c r="P14" i="14"/>
  <c r="G76" i="14"/>
  <c r="G168" i="14"/>
  <c r="G285" i="14"/>
  <c r="G317" i="14"/>
  <c r="G349" i="14"/>
  <c r="G381" i="14"/>
  <c r="G61" i="14"/>
  <c r="G128" i="14"/>
  <c r="G288" i="14"/>
  <c r="G320" i="14"/>
  <c r="G352" i="14"/>
  <c r="G53" i="14"/>
  <c r="G261" i="14"/>
  <c r="G184" i="14"/>
  <c r="G295" i="14"/>
  <c r="G327" i="14"/>
  <c r="G359" i="14"/>
  <c r="G391" i="14"/>
  <c r="G263" i="14"/>
  <c r="G260" i="14"/>
  <c r="G302" i="14"/>
  <c r="G334" i="14"/>
  <c r="G236" i="14"/>
  <c r="G392" i="14"/>
  <c r="G423" i="14"/>
  <c r="G455" i="14"/>
  <c r="G487" i="14"/>
  <c r="G519" i="14"/>
  <c r="G551" i="14"/>
  <c r="G583" i="14"/>
  <c r="G615" i="14"/>
  <c r="G647" i="14"/>
  <c r="G679" i="14"/>
  <c r="G384" i="14"/>
  <c r="G422" i="14"/>
  <c r="G454" i="14"/>
  <c r="G486" i="14"/>
  <c r="G518" i="14"/>
  <c r="G550" i="14"/>
  <c r="G582" i="14"/>
  <c r="G614" i="14"/>
  <c r="G646" i="14"/>
  <c r="G678" i="14"/>
  <c r="G388" i="14"/>
  <c r="G425" i="14"/>
  <c r="G457" i="14"/>
  <c r="G489" i="14"/>
  <c r="G521" i="14"/>
  <c r="G553" i="14"/>
  <c r="G585" i="14"/>
  <c r="G617" i="14"/>
  <c r="G649" i="14"/>
  <c r="G681" i="14"/>
  <c r="G396" i="14"/>
  <c r="G428" i="14"/>
  <c r="G460" i="14"/>
  <c r="G35" i="14"/>
  <c r="G83" i="14"/>
  <c r="G115" i="14"/>
  <c r="G147" i="14"/>
  <c r="G179" i="14"/>
  <c r="G211" i="14"/>
  <c r="G243" i="14"/>
  <c r="G44" i="14"/>
  <c r="G78" i="14"/>
  <c r="G110" i="14"/>
  <c r="G142" i="14"/>
  <c r="G174" i="14"/>
  <c r="G206" i="14"/>
  <c r="G238" i="14"/>
  <c r="G73" i="14"/>
  <c r="G105" i="14"/>
  <c r="G137" i="14"/>
  <c r="G169" i="14"/>
  <c r="G201" i="14"/>
  <c r="G233" i="14"/>
  <c r="G16" i="14"/>
  <c r="G48" i="14"/>
  <c r="G80" i="14"/>
  <c r="G200" i="14"/>
  <c r="G289" i="14"/>
  <c r="G321" i="14"/>
  <c r="G353" i="14"/>
  <c r="G385" i="14"/>
  <c r="G100" i="14"/>
  <c r="G160" i="14"/>
  <c r="G292" i="14"/>
  <c r="G324" i="14"/>
  <c r="G356" i="14"/>
  <c r="G124" i="14"/>
  <c r="G264" i="14"/>
  <c r="G216" i="14"/>
  <c r="G299" i="14"/>
  <c r="G331" i="14"/>
  <c r="G363" i="14"/>
  <c r="G276" i="14"/>
  <c r="G266" i="14"/>
  <c r="G306" i="14"/>
  <c r="G338" i="14"/>
  <c r="G272" i="14"/>
  <c r="G395" i="14"/>
  <c r="G427" i="14"/>
  <c r="G459" i="14"/>
  <c r="G491" i="14"/>
  <c r="G523" i="14"/>
  <c r="G555" i="14"/>
  <c r="G587" i="14"/>
  <c r="G619" i="14"/>
  <c r="G651" i="14"/>
  <c r="G683" i="14"/>
  <c r="G394" i="14"/>
  <c r="G426" i="14"/>
  <c r="G458" i="14"/>
  <c r="G490" i="14"/>
  <c r="G522" i="14"/>
  <c r="G554" i="14"/>
  <c r="G586" i="14"/>
  <c r="G618" i="14"/>
  <c r="G650" i="14"/>
  <c r="G22" i="14"/>
  <c r="G54" i="14"/>
  <c r="G87" i="14"/>
  <c r="G119" i="14"/>
  <c r="G151" i="14"/>
  <c r="G183" i="14"/>
  <c r="G215" i="14"/>
  <c r="G247" i="14"/>
  <c r="G33" i="14"/>
  <c r="G82" i="14"/>
  <c r="G114" i="14"/>
  <c r="G146" i="14"/>
  <c r="G178" i="14"/>
  <c r="G210" i="14"/>
  <c r="G242" i="14"/>
  <c r="G31" i="14"/>
  <c r="G63" i="14"/>
  <c r="G42" i="14"/>
  <c r="G77" i="14"/>
  <c r="G109" i="14"/>
  <c r="G141" i="14"/>
  <c r="G173" i="14"/>
  <c r="G205" i="14"/>
  <c r="G237" i="14"/>
  <c r="G84" i="14"/>
  <c r="G232" i="14"/>
  <c r="G293" i="14"/>
  <c r="G325" i="14"/>
  <c r="G357" i="14"/>
  <c r="G389" i="14"/>
  <c r="G132" i="14"/>
  <c r="G192" i="14"/>
  <c r="G296" i="14"/>
  <c r="G328" i="14"/>
  <c r="G360" i="14"/>
  <c r="G156" i="14"/>
  <c r="G267" i="14"/>
  <c r="G248" i="14"/>
  <c r="G303" i="14"/>
  <c r="G335" i="14"/>
  <c r="G367" i="14"/>
  <c r="G45" i="14"/>
  <c r="G279" i="14"/>
  <c r="G269" i="14"/>
  <c r="G310" i="14"/>
  <c r="G275" i="14"/>
  <c r="G399" i="14"/>
  <c r="G431" i="14"/>
  <c r="G463" i="14"/>
  <c r="G495" i="14"/>
  <c r="G527" i="14"/>
  <c r="G559" i="14"/>
  <c r="G591" i="14"/>
  <c r="G623" i="14"/>
  <c r="G655" i="14"/>
  <c r="G687" i="14"/>
  <c r="G398" i="14"/>
  <c r="G430" i="14"/>
  <c r="G462" i="14"/>
  <c r="G494" i="14"/>
  <c r="G526" i="14"/>
  <c r="G558" i="14"/>
  <c r="G590" i="14"/>
  <c r="G622" i="14"/>
  <c r="G654" i="14"/>
  <c r="G686" i="14"/>
  <c r="G401" i="14"/>
  <c r="G433" i="14"/>
  <c r="G465" i="14"/>
  <c r="G497" i="14"/>
  <c r="G529" i="14"/>
  <c r="G561" i="14"/>
  <c r="G593" i="14"/>
  <c r="G625" i="14"/>
  <c r="G657" i="14"/>
  <c r="G689" i="14"/>
  <c r="G404" i="14"/>
  <c r="G436" i="14"/>
  <c r="G468" i="14"/>
  <c r="G500" i="14"/>
  <c r="G532" i="14"/>
  <c r="G564" i="14"/>
  <c r="G596" i="14"/>
  <c r="G628" i="14"/>
  <c r="G660" i="14"/>
  <c r="G692" i="14"/>
  <c r="G43" i="14"/>
  <c r="G251" i="14"/>
  <c r="G214" i="14"/>
  <c r="G177" i="14"/>
  <c r="G329" i="14"/>
  <c r="G188" i="14"/>
  <c r="G282" i="14"/>
  <c r="G531" i="14"/>
  <c r="G466" i="14"/>
  <c r="G690" i="14"/>
  <c r="G501" i="14"/>
  <c r="G629" i="14"/>
  <c r="G440" i="14"/>
  <c r="G504" i="14"/>
  <c r="G544" i="14"/>
  <c r="G588" i="14"/>
  <c r="G632" i="14"/>
  <c r="G672" i="14"/>
  <c r="G705" i="14"/>
  <c r="G740" i="14"/>
  <c r="G772" i="14"/>
  <c r="G804" i="14"/>
  <c r="G836" i="14"/>
  <c r="G868" i="14"/>
  <c r="G900" i="14"/>
  <c r="G932" i="14"/>
  <c r="G698" i="14"/>
  <c r="G735" i="14"/>
  <c r="G767" i="14"/>
  <c r="G799" i="14"/>
  <c r="G831" i="14"/>
  <c r="G863" i="14"/>
  <c r="G895" i="14"/>
  <c r="G927" i="14"/>
  <c r="G707" i="14"/>
  <c r="G833" i="14"/>
  <c r="G726" i="14"/>
  <c r="G854" i="14"/>
  <c r="G961" i="14"/>
  <c r="G993" i="14"/>
  <c r="G762" i="14"/>
  <c r="G890" i="14"/>
  <c r="G749" i="14"/>
  <c r="G877" i="14"/>
  <c r="G968" i="14"/>
  <c r="G1000" i="14"/>
  <c r="G785" i="14"/>
  <c r="G913" i="14"/>
  <c r="G789" i="14"/>
  <c r="G917" i="14"/>
  <c r="G975" i="14"/>
  <c r="G1007" i="14"/>
  <c r="G810" i="14"/>
  <c r="G938" i="14"/>
  <c r="G814" i="14"/>
  <c r="G942" i="14"/>
  <c r="G982" i="14"/>
  <c r="G246" i="14"/>
  <c r="G209" i="14"/>
  <c r="G361" i="14"/>
  <c r="G280" i="14"/>
  <c r="G314" i="14"/>
  <c r="G563" i="14"/>
  <c r="G498" i="14"/>
  <c r="G397" i="14"/>
  <c r="G525" i="14"/>
  <c r="G653" i="14"/>
  <c r="G464" i="14"/>
  <c r="G508" i="14"/>
  <c r="G548" i="14"/>
  <c r="G592" i="14"/>
  <c r="G636" i="14"/>
  <c r="G676" i="14"/>
  <c r="G712" i="14"/>
  <c r="G744" i="14"/>
  <c r="G776" i="14"/>
  <c r="G808" i="14"/>
  <c r="G840" i="14"/>
  <c r="G872" i="14"/>
  <c r="G904" i="14"/>
  <c r="G936" i="14"/>
  <c r="G704" i="14"/>
  <c r="G739" i="14"/>
  <c r="G771" i="14"/>
  <c r="G803" i="14"/>
  <c r="G835" i="14"/>
  <c r="G867" i="14"/>
  <c r="G899" i="14"/>
  <c r="G931" i="14"/>
  <c r="G722" i="14"/>
  <c r="G850" i="14"/>
  <c r="G741" i="14"/>
  <c r="G869" i="14"/>
  <c r="G965" i="14"/>
  <c r="G997" i="14"/>
  <c r="G777" i="14"/>
  <c r="G905" i="14"/>
  <c r="G766" i="14"/>
  <c r="G894" i="14"/>
  <c r="G972" i="14"/>
  <c r="G1004" i="14"/>
  <c r="G802" i="14"/>
  <c r="G930" i="14"/>
  <c r="G806" i="14"/>
  <c r="G934" i="14"/>
  <c r="G979" i="14"/>
  <c r="G1011" i="14"/>
  <c r="G825" i="14"/>
  <c r="G706" i="14"/>
  <c r="G829" i="14"/>
  <c r="G954" i="14"/>
  <c r="G986" i="14"/>
  <c r="G20" i="14"/>
  <c r="G241" i="14"/>
  <c r="G393" i="14"/>
  <c r="G270" i="14"/>
  <c r="G37" i="14"/>
  <c r="G595" i="14"/>
  <c r="G530" i="14"/>
  <c r="G405" i="14"/>
  <c r="G533" i="14"/>
  <c r="G661" i="14"/>
  <c r="G472" i="14"/>
  <c r="G512" i="14"/>
  <c r="G556" i="14"/>
  <c r="G600" i="14"/>
  <c r="G640" i="14"/>
  <c r="G684" i="14"/>
  <c r="G716" i="14"/>
  <c r="G748" i="14"/>
  <c r="G780" i="14"/>
  <c r="G812" i="14"/>
  <c r="G844" i="14"/>
  <c r="G876" i="14"/>
  <c r="G908" i="14"/>
  <c r="G940" i="14"/>
  <c r="G711" i="14"/>
  <c r="G743" i="14"/>
  <c r="G775" i="14"/>
  <c r="G807" i="14"/>
  <c r="G839" i="14"/>
  <c r="G871" i="14"/>
  <c r="G903" i="14"/>
  <c r="G935" i="14"/>
  <c r="G737" i="14"/>
  <c r="G865" i="14"/>
  <c r="G758" i="14"/>
  <c r="G886" i="14"/>
  <c r="G969" i="14"/>
  <c r="G1001" i="14"/>
  <c r="G794" i="14"/>
  <c r="G922" i="14"/>
  <c r="G781" i="14"/>
  <c r="G909" i="14"/>
  <c r="G976" i="14"/>
  <c r="G1008" i="14"/>
  <c r="G817" i="14"/>
  <c r="G945" i="14"/>
  <c r="G821" i="14"/>
  <c r="G949" i="14"/>
  <c r="G983" i="14"/>
  <c r="G714" i="14"/>
  <c r="G842" i="14"/>
  <c r="G718" i="14"/>
  <c r="G846" i="14"/>
  <c r="G958" i="14"/>
  <c r="G990" i="14"/>
  <c r="G91" i="14"/>
  <c r="G52" i="14"/>
  <c r="G24" i="14"/>
  <c r="G164" i="14"/>
  <c r="G307" i="14"/>
  <c r="G342" i="14"/>
  <c r="G627" i="14"/>
  <c r="G562" i="14"/>
  <c r="G429" i="14"/>
  <c r="G557" i="14"/>
  <c r="G685" i="14"/>
  <c r="G476" i="14"/>
  <c r="G516" i="14"/>
  <c r="G560" i="14"/>
  <c r="G604" i="14"/>
  <c r="G644" i="14"/>
  <c r="G688" i="14"/>
  <c r="G720" i="14"/>
  <c r="G752" i="14"/>
  <c r="G784" i="14"/>
  <c r="G816" i="14"/>
  <c r="G848" i="14"/>
  <c r="G880" i="14"/>
  <c r="G912" i="14"/>
  <c r="G944" i="14"/>
  <c r="G715" i="14"/>
  <c r="G747" i="14"/>
  <c r="G779" i="14"/>
  <c r="G811" i="14"/>
  <c r="G843" i="14"/>
  <c r="G875" i="14"/>
  <c r="G907" i="14"/>
  <c r="G939" i="14"/>
  <c r="G754" i="14"/>
  <c r="G882" i="14"/>
  <c r="G773" i="14"/>
  <c r="G901" i="14"/>
  <c r="G973" i="14"/>
  <c r="G1005" i="14"/>
  <c r="G809" i="14"/>
  <c r="G937" i="14"/>
  <c r="G798" i="14"/>
  <c r="G926" i="14"/>
  <c r="G980" i="14"/>
  <c r="G1012" i="14"/>
  <c r="G834" i="14"/>
  <c r="G699" i="14"/>
  <c r="G838" i="14"/>
  <c r="G955" i="14"/>
  <c r="G987" i="14"/>
  <c r="G729" i="14"/>
  <c r="G857" i="14"/>
  <c r="G733" i="14"/>
  <c r="G861" i="14"/>
  <c r="G962" i="14"/>
  <c r="G994" i="14"/>
  <c r="G123" i="14"/>
  <c r="G86" i="14"/>
  <c r="G56" i="14"/>
  <c r="G224" i="14"/>
  <c r="G339" i="14"/>
  <c r="G403" i="14"/>
  <c r="G659" i="14"/>
  <c r="G594" i="14"/>
  <c r="G437" i="14"/>
  <c r="G565" i="14"/>
  <c r="G693" i="14"/>
  <c r="G480" i="14"/>
  <c r="G524" i="14"/>
  <c r="G568" i="14"/>
  <c r="G608" i="14"/>
  <c r="G652" i="14"/>
  <c r="G696" i="14"/>
  <c r="G724" i="14"/>
  <c r="G756" i="14"/>
  <c r="G788" i="14"/>
  <c r="G820" i="14"/>
  <c r="G852" i="14"/>
  <c r="G884" i="14"/>
  <c r="G916" i="14"/>
  <c r="G948" i="14"/>
  <c r="G719" i="14"/>
  <c r="G751" i="14"/>
  <c r="G783" i="14"/>
  <c r="G815" i="14"/>
  <c r="G847" i="14"/>
  <c r="G879" i="14"/>
  <c r="G911" i="14"/>
  <c r="G943" i="14"/>
  <c r="G769" i="14"/>
  <c r="G897" i="14"/>
  <c r="G790" i="14"/>
  <c r="G918" i="14"/>
  <c r="G977" i="14"/>
  <c r="G1009" i="14"/>
  <c r="G826" i="14"/>
  <c r="G950" i="14"/>
  <c r="G813" i="14"/>
  <c r="G941" i="14"/>
  <c r="G984" i="14"/>
  <c r="G721" i="14"/>
  <c r="G849" i="14"/>
  <c r="G725" i="14"/>
  <c r="G853" i="14"/>
  <c r="G959" i="14"/>
  <c r="G991" i="14"/>
  <c r="G746" i="14"/>
  <c r="G874" i="14"/>
  <c r="G750" i="14"/>
  <c r="G878" i="14"/>
  <c r="G966" i="14"/>
  <c r="G998" i="14"/>
  <c r="G155" i="14"/>
  <c r="G118" i="14"/>
  <c r="G81" i="14"/>
  <c r="G88" i="14"/>
  <c r="G300" i="14"/>
  <c r="G371" i="14"/>
  <c r="G435" i="14"/>
  <c r="G691" i="14"/>
  <c r="G626" i="14"/>
  <c r="G461" i="14"/>
  <c r="G589" i="14"/>
  <c r="G400" i="14"/>
  <c r="G484" i="14"/>
  <c r="G528" i="14"/>
  <c r="G572" i="14"/>
  <c r="G612" i="14"/>
  <c r="G656" i="14"/>
  <c r="G710" i="14"/>
  <c r="G728" i="14"/>
  <c r="G760" i="14"/>
  <c r="G792" i="14"/>
  <c r="G824" i="14"/>
  <c r="G856" i="14"/>
  <c r="G888" i="14"/>
  <c r="G920" i="14"/>
  <c r="G952" i="14"/>
  <c r="G723" i="14"/>
  <c r="G755" i="14"/>
  <c r="G787" i="14"/>
  <c r="G819" i="14"/>
  <c r="G851" i="14"/>
  <c r="G883" i="14"/>
  <c r="G915" i="14"/>
  <c r="G947" i="14"/>
  <c r="G786" i="14"/>
  <c r="G914" i="14"/>
  <c r="G805" i="14"/>
  <c r="G933" i="14"/>
  <c r="G981" i="14"/>
  <c r="G713" i="14"/>
  <c r="G841" i="14"/>
  <c r="G703" i="14"/>
  <c r="G830" i="14"/>
  <c r="G956" i="14"/>
  <c r="G988" i="14"/>
  <c r="G738" i="14"/>
  <c r="G866" i="14"/>
  <c r="G742" i="14"/>
  <c r="G870" i="14"/>
  <c r="G963" i="14"/>
  <c r="G995" i="14"/>
  <c r="G761" i="14"/>
  <c r="G889" i="14"/>
  <c r="G765" i="14"/>
  <c r="G893" i="14"/>
  <c r="G970" i="14"/>
  <c r="G1002" i="14"/>
  <c r="G187" i="14"/>
  <c r="G150" i="14"/>
  <c r="G113" i="14"/>
  <c r="G259" i="14"/>
  <c r="G332" i="14"/>
  <c r="G116" i="14"/>
  <c r="G467" i="14"/>
  <c r="G402" i="14"/>
  <c r="G658" i="14"/>
  <c r="G469" i="14"/>
  <c r="G597" i="14"/>
  <c r="G408" i="14"/>
  <c r="G492" i="14"/>
  <c r="G536" i="14"/>
  <c r="G576" i="14"/>
  <c r="G620" i="14"/>
  <c r="G664" i="14"/>
  <c r="G702" i="14"/>
  <c r="G732" i="14"/>
  <c r="G764" i="14"/>
  <c r="G796" i="14"/>
  <c r="G828" i="14"/>
  <c r="G860" i="14"/>
  <c r="G892" i="14"/>
  <c r="G924" i="14"/>
  <c r="G701" i="14"/>
  <c r="G727" i="14"/>
  <c r="G759" i="14"/>
  <c r="G791" i="14"/>
  <c r="G823" i="14"/>
  <c r="G855" i="14"/>
  <c r="G887" i="14"/>
  <c r="G919" i="14"/>
  <c r="G951" i="14"/>
  <c r="G801" i="14"/>
  <c r="G929" i="14"/>
  <c r="G822" i="14"/>
  <c r="G953" i="14"/>
  <c r="G985" i="14"/>
  <c r="G730" i="14"/>
  <c r="G858" i="14"/>
  <c r="G717" i="14"/>
  <c r="G845" i="14"/>
  <c r="G960" i="14"/>
  <c r="G992" i="14"/>
  <c r="G753" i="14"/>
  <c r="G881" i="14"/>
  <c r="G757" i="14"/>
  <c r="G885" i="14"/>
  <c r="G967" i="14"/>
  <c r="G999" i="14"/>
  <c r="G778" i="14"/>
  <c r="G906" i="14"/>
  <c r="G782" i="14"/>
  <c r="G910" i="14"/>
  <c r="G974" i="14"/>
  <c r="G1006" i="14"/>
  <c r="G219" i="14"/>
  <c r="G682" i="14"/>
  <c r="G668" i="14"/>
  <c r="G928" i="14"/>
  <c r="G923" i="14"/>
  <c r="G873" i="14"/>
  <c r="G902" i="14"/>
  <c r="G1010" i="14"/>
  <c r="G182" i="14"/>
  <c r="G493" i="14"/>
  <c r="G709" i="14"/>
  <c r="G708" i="14"/>
  <c r="G700" i="14"/>
  <c r="G734" i="14"/>
  <c r="G971" i="14"/>
  <c r="G145" i="14"/>
  <c r="G621" i="14"/>
  <c r="G736" i="14"/>
  <c r="G731" i="14"/>
  <c r="G818" i="14"/>
  <c r="G862" i="14"/>
  <c r="G1003" i="14"/>
  <c r="G297" i="14"/>
  <c r="G432" i="14"/>
  <c r="G768" i="14"/>
  <c r="G763" i="14"/>
  <c r="G946" i="14"/>
  <c r="G964" i="14"/>
  <c r="G793" i="14"/>
  <c r="G364" i="14"/>
  <c r="G496" i="14"/>
  <c r="G800" i="14"/>
  <c r="G795" i="14"/>
  <c r="G837" i="14"/>
  <c r="G996" i="14"/>
  <c r="G921" i="14"/>
  <c r="G112" i="14"/>
  <c r="G540" i="14"/>
  <c r="G832" i="14"/>
  <c r="G827" i="14"/>
  <c r="G957" i="14"/>
  <c r="G770" i="14"/>
  <c r="G797" i="14"/>
  <c r="G499" i="14"/>
  <c r="G580" i="14"/>
  <c r="G864" i="14"/>
  <c r="G859" i="14"/>
  <c r="G989" i="14"/>
  <c r="G898" i="14"/>
  <c r="G925" i="14"/>
  <c r="G434" i="14"/>
  <c r="G624" i="14"/>
  <c r="G896" i="14"/>
  <c r="G891" i="14"/>
  <c r="G745" i="14"/>
  <c r="G774" i="14"/>
  <c r="G978" i="14"/>
  <c r="G19" i="15"/>
  <c r="G83" i="15"/>
  <c r="G147" i="15"/>
  <c r="G64" i="15"/>
  <c r="G61" i="15"/>
  <c r="G42" i="15"/>
  <c r="G106" i="15"/>
  <c r="G23" i="15"/>
  <c r="G87" i="15"/>
  <c r="G151" i="15"/>
  <c r="G57" i="15"/>
  <c r="G144" i="15"/>
  <c r="G216" i="15"/>
  <c r="G280" i="15"/>
  <c r="G133" i="15"/>
  <c r="G181" i="15"/>
  <c r="G245" i="15"/>
  <c r="G14" i="15"/>
  <c r="G78" i="15"/>
  <c r="G202" i="15"/>
  <c r="G266" i="15"/>
  <c r="G145" i="15"/>
  <c r="G223" i="15"/>
  <c r="G287" i="15"/>
  <c r="G188" i="15"/>
  <c r="G252" i="15"/>
  <c r="G182" i="15"/>
  <c r="G246" i="15"/>
  <c r="G137" i="15"/>
  <c r="G27" i="15"/>
  <c r="G91" i="15"/>
  <c r="G155" i="15"/>
  <c r="G72" i="15"/>
  <c r="G69" i="15"/>
  <c r="G50" i="15"/>
  <c r="G114" i="15"/>
  <c r="G31" i="15"/>
  <c r="G95" i="15"/>
  <c r="G159" i="15"/>
  <c r="G65" i="15"/>
  <c r="G160" i="15"/>
  <c r="G224" i="15"/>
  <c r="G288" i="15"/>
  <c r="G140" i="15"/>
  <c r="G189" i="15"/>
  <c r="G253" i="15"/>
  <c r="G22" i="15"/>
  <c r="G86" i="15"/>
  <c r="G210" i="15"/>
  <c r="G274" i="15"/>
  <c r="G168" i="15"/>
  <c r="G231" i="15"/>
  <c r="G104" i="15"/>
  <c r="G196" i="15"/>
  <c r="G35" i="15"/>
  <c r="G99" i="15"/>
  <c r="G16" i="15"/>
  <c r="G80" i="15"/>
  <c r="G77" i="15"/>
  <c r="G58" i="15"/>
  <c r="G122" i="15"/>
  <c r="G39" i="15"/>
  <c r="G103" i="15"/>
  <c r="G167" i="15"/>
  <c r="G73" i="15"/>
  <c r="G162" i="15"/>
  <c r="G232" i="15"/>
  <c r="G101" i="15"/>
  <c r="G142" i="15"/>
  <c r="G197" i="15"/>
  <c r="G261" i="15"/>
  <c r="G30" i="15"/>
  <c r="G94" i="15"/>
  <c r="G218" i="15"/>
  <c r="G282" i="15"/>
  <c r="G175" i="15"/>
  <c r="G239" i="15"/>
  <c r="G120" i="15"/>
  <c r="G204" i="15"/>
  <c r="G268" i="15"/>
  <c r="G198" i="15"/>
  <c r="G262" i="15"/>
  <c r="G43" i="15"/>
  <c r="G107" i="15"/>
  <c r="G24" i="15"/>
  <c r="G21" i="15"/>
  <c r="G85" i="15"/>
  <c r="G66" i="15"/>
  <c r="G130" i="15"/>
  <c r="G47" i="15"/>
  <c r="G111" i="15"/>
  <c r="G17" i="15"/>
  <c r="G81" i="15"/>
  <c r="G176" i="15"/>
  <c r="G240" i="15"/>
  <c r="G108" i="15"/>
  <c r="G149" i="15"/>
  <c r="G205" i="15"/>
  <c r="G269" i="15"/>
  <c r="G38" i="15"/>
  <c r="G166" i="15"/>
  <c r="G226" i="15"/>
  <c r="G89" i="15"/>
  <c r="G183" i="15"/>
  <c r="G247" i="15"/>
  <c r="G136" i="15"/>
  <c r="G51" i="15"/>
  <c r="G115" i="15"/>
  <c r="G32" i="15"/>
  <c r="G29" i="15"/>
  <c r="G93" i="15"/>
  <c r="G74" i="15"/>
  <c r="G138" i="15"/>
  <c r="G55" i="15"/>
  <c r="G119" i="15"/>
  <c r="G25" i="15"/>
  <c r="G88" i="15"/>
  <c r="G184" i="15"/>
  <c r="G248" i="15"/>
  <c r="G110" i="15"/>
  <c r="G156" i="15"/>
  <c r="G213" i="15"/>
  <c r="G277" i="15"/>
  <c r="G46" i="15"/>
  <c r="G173" i="15"/>
  <c r="G234" i="15"/>
  <c r="G92" i="15"/>
  <c r="G191" i="15"/>
  <c r="G255" i="15"/>
  <c r="G59" i="15"/>
  <c r="G123" i="15"/>
  <c r="G40" i="15"/>
  <c r="G37" i="15"/>
  <c r="G18" i="15"/>
  <c r="G82" i="15"/>
  <c r="G146" i="15"/>
  <c r="G63" i="15"/>
  <c r="G127" i="15"/>
  <c r="G33" i="15"/>
  <c r="G67" i="15"/>
  <c r="G131" i="15"/>
  <c r="G48" i="15"/>
  <c r="G45" i="15"/>
  <c r="G26" i="15"/>
  <c r="G90" i="15"/>
  <c r="G154" i="15"/>
  <c r="G71" i="15"/>
  <c r="G135" i="15"/>
  <c r="G41" i="15"/>
  <c r="G112" i="15"/>
  <c r="G200" i="15"/>
  <c r="G264" i="15"/>
  <c r="G124" i="15"/>
  <c r="G164" i="15"/>
  <c r="G229" i="15"/>
  <c r="G293" i="15"/>
  <c r="G62" i="15"/>
  <c r="G186" i="15"/>
  <c r="G250" i="15"/>
  <c r="G113" i="15"/>
  <c r="G207" i="15"/>
  <c r="G271" i="15"/>
  <c r="G79" i="15"/>
  <c r="G272" i="15"/>
  <c r="G301" i="15"/>
  <c r="G129" i="15"/>
  <c r="G180" i="15"/>
  <c r="G284" i="15"/>
  <c r="G230" i="15"/>
  <c r="G153" i="15"/>
  <c r="G227" i="15"/>
  <c r="G116" i="15"/>
  <c r="G177" i="15"/>
  <c r="G353" i="15"/>
  <c r="G417" i="15"/>
  <c r="G310" i="15"/>
  <c r="G374" i="15"/>
  <c r="G118" i="15"/>
  <c r="G339" i="15"/>
  <c r="G403" i="15"/>
  <c r="G185" i="15"/>
  <c r="G336" i="15"/>
  <c r="G400" i="15"/>
  <c r="G299" i="15"/>
  <c r="G365" i="15"/>
  <c r="G172" i="15"/>
  <c r="G444" i="15"/>
  <c r="G508" i="15"/>
  <c r="G375" i="15"/>
  <c r="G481" i="15"/>
  <c r="G233" i="15"/>
  <c r="G419" i="15"/>
  <c r="G470" i="15"/>
  <c r="G534" i="15"/>
  <c r="G391" i="15"/>
  <c r="G483" i="15"/>
  <c r="G296" i="15"/>
  <c r="G433" i="15"/>
  <c r="G488" i="15"/>
  <c r="G338" i="15"/>
  <c r="G453" i="15"/>
  <c r="G517" i="15"/>
  <c r="G415" i="15"/>
  <c r="G490" i="15"/>
  <c r="G463" i="15"/>
  <c r="G583" i="15"/>
  <c r="G647" i="15"/>
  <c r="G711" i="15"/>
  <c r="G580" i="15"/>
  <c r="G644" i="15"/>
  <c r="G141" i="15"/>
  <c r="G577" i="15"/>
  <c r="G641" i="15"/>
  <c r="G705" i="15"/>
  <c r="G574" i="15"/>
  <c r="G638" i="15"/>
  <c r="G428" i="15"/>
  <c r="G587" i="15"/>
  <c r="G651" i="15"/>
  <c r="G715" i="15"/>
  <c r="G576" i="15"/>
  <c r="G640" i="15"/>
  <c r="G479" i="15"/>
  <c r="G605" i="15"/>
  <c r="G669" i="15"/>
  <c r="G554" i="15"/>
  <c r="G618" i="15"/>
  <c r="G682" i="15"/>
  <c r="G756" i="15"/>
  <c r="G820" i="15"/>
  <c r="G884" i="15"/>
  <c r="G777" i="15"/>
  <c r="G841" i="15"/>
  <c r="G782" i="15"/>
  <c r="G846" i="15"/>
  <c r="G731" i="15"/>
  <c r="G795" i="15"/>
  <c r="G859" i="15"/>
  <c r="G760" i="15"/>
  <c r="G824" i="15"/>
  <c r="G75" i="15"/>
  <c r="G143" i="15"/>
  <c r="G117" i="15"/>
  <c r="G54" i="15"/>
  <c r="G199" i="15"/>
  <c r="G212" i="15"/>
  <c r="G292" i="15"/>
  <c r="G238" i="15"/>
  <c r="G169" i="15"/>
  <c r="G235" i="15"/>
  <c r="G28" i="15"/>
  <c r="G241" i="15"/>
  <c r="G361" i="15"/>
  <c r="G109" i="15"/>
  <c r="G318" i="15"/>
  <c r="G382" i="15"/>
  <c r="G225" i="15"/>
  <c r="G347" i="15"/>
  <c r="G411" i="15"/>
  <c r="G249" i="15"/>
  <c r="G344" i="15"/>
  <c r="G408" i="15"/>
  <c r="G309" i="15"/>
  <c r="G373" i="15"/>
  <c r="G281" i="15"/>
  <c r="G452" i="15"/>
  <c r="G516" i="15"/>
  <c r="G380" i="15"/>
  <c r="G489" i="15"/>
  <c r="G298" i="15"/>
  <c r="G423" i="15"/>
  <c r="G478" i="15"/>
  <c r="G542" i="15"/>
  <c r="G396" i="15"/>
  <c r="G491" i="15"/>
  <c r="G330" i="15"/>
  <c r="G435" i="15"/>
  <c r="G496" i="15"/>
  <c r="G343" i="15"/>
  <c r="G461" i="15"/>
  <c r="G525" i="15"/>
  <c r="G426" i="15"/>
  <c r="G498" i="15"/>
  <c r="G527" i="15"/>
  <c r="G591" i="15"/>
  <c r="G655" i="15"/>
  <c r="G719" i="15"/>
  <c r="G588" i="15"/>
  <c r="G652" i="15"/>
  <c r="G217" i="15"/>
  <c r="G585" i="15"/>
  <c r="G649" i="15"/>
  <c r="G364" i="15"/>
  <c r="G582" i="15"/>
  <c r="G646" i="15"/>
  <c r="G495" i="15"/>
  <c r="G595" i="15"/>
  <c r="G659" i="15"/>
  <c r="G354" i="15"/>
  <c r="G584" i="15"/>
  <c r="G648" i="15"/>
  <c r="G549" i="15"/>
  <c r="G613" i="15"/>
  <c r="G677" i="15"/>
  <c r="G562" i="15"/>
  <c r="G626" i="15"/>
  <c r="G690" i="15"/>
  <c r="G764" i="15"/>
  <c r="G828" i="15"/>
  <c r="G721" i="15"/>
  <c r="G785" i="15"/>
  <c r="G726" i="15"/>
  <c r="G790" i="15"/>
  <c r="G854" i="15"/>
  <c r="G739" i="15"/>
  <c r="G803" i="15"/>
  <c r="G706" i="15"/>
  <c r="G768" i="15"/>
  <c r="G139" i="15"/>
  <c r="G49" i="15"/>
  <c r="G126" i="15"/>
  <c r="G70" i="15"/>
  <c r="G215" i="15"/>
  <c r="G220" i="15"/>
  <c r="G165" i="15"/>
  <c r="G254" i="15"/>
  <c r="G179" i="15"/>
  <c r="G243" i="15"/>
  <c r="G44" i="15"/>
  <c r="G305" i="15"/>
  <c r="G369" i="15"/>
  <c r="G134" i="15"/>
  <c r="G326" i="15"/>
  <c r="G390" i="15"/>
  <c r="G291" i="15"/>
  <c r="G355" i="15"/>
  <c r="G20" i="15"/>
  <c r="G289" i="15"/>
  <c r="G352" i="15"/>
  <c r="G416" i="15"/>
  <c r="G317" i="15"/>
  <c r="G381" i="15"/>
  <c r="G303" i="15"/>
  <c r="G460" i="15"/>
  <c r="G524" i="15"/>
  <c r="G436" i="15"/>
  <c r="G497" i="15"/>
  <c r="G314" i="15"/>
  <c r="G425" i="15"/>
  <c r="G486" i="15"/>
  <c r="G157" i="15"/>
  <c r="G429" i="15"/>
  <c r="G499" i="15"/>
  <c r="G335" i="15"/>
  <c r="G440" i="15"/>
  <c r="G504" i="15"/>
  <c r="G348" i="15"/>
  <c r="G469" i="15"/>
  <c r="G533" i="15"/>
  <c r="G442" i="15"/>
  <c r="G506" i="15"/>
  <c r="G539" i="15"/>
  <c r="G599" i="15"/>
  <c r="G663" i="15"/>
  <c r="G487" i="15"/>
  <c r="G596" i="15"/>
  <c r="G660" i="15"/>
  <c r="G447" i="15"/>
  <c r="G593" i="15"/>
  <c r="G657" i="15"/>
  <c r="G420" i="15"/>
  <c r="G590" i="15"/>
  <c r="G654" i="15"/>
  <c r="G540" i="15"/>
  <c r="G603" i="15"/>
  <c r="G667" i="15"/>
  <c r="G455" i="15"/>
  <c r="G592" i="15"/>
  <c r="G656" i="15"/>
  <c r="G557" i="15"/>
  <c r="G621" i="15"/>
  <c r="G685" i="15"/>
  <c r="G570" i="15"/>
  <c r="G634" i="15"/>
  <c r="G698" i="15"/>
  <c r="G772" i="15"/>
  <c r="G836" i="15"/>
  <c r="G729" i="15"/>
  <c r="G793" i="15"/>
  <c r="G734" i="15"/>
  <c r="G798" i="15"/>
  <c r="G862" i="15"/>
  <c r="G747" i="15"/>
  <c r="G811" i="15"/>
  <c r="G714" i="15"/>
  <c r="G776" i="15"/>
  <c r="G56" i="15"/>
  <c r="G96" i="15"/>
  <c r="G158" i="15"/>
  <c r="G178" i="15"/>
  <c r="G263" i="15"/>
  <c r="G228" i="15"/>
  <c r="G174" i="15"/>
  <c r="G270" i="15"/>
  <c r="G187" i="15"/>
  <c r="G251" i="15"/>
  <c r="G60" i="15"/>
  <c r="G313" i="15"/>
  <c r="G377" i="15"/>
  <c r="G163" i="15"/>
  <c r="G334" i="15"/>
  <c r="G398" i="15"/>
  <c r="G302" i="15"/>
  <c r="G363" i="15"/>
  <c r="G36" i="15"/>
  <c r="G297" i="15"/>
  <c r="G360" i="15"/>
  <c r="G424" i="15"/>
  <c r="G325" i="15"/>
  <c r="G389" i="15"/>
  <c r="G308" i="15"/>
  <c r="G468" i="15"/>
  <c r="G532" i="15"/>
  <c r="G441" i="15"/>
  <c r="G505" i="15"/>
  <c r="G319" i="15"/>
  <c r="G427" i="15"/>
  <c r="G494" i="15"/>
  <c r="G290" i="15"/>
  <c r="G443" i="15"/>
  <c r="G507" i="15"/>
  <c r="G340" i="15"/>
  <c r="G448" i="15"/>
  <c r="G512" i="15"/>
  <c r="G402" i="15"/>
  <c r="G477" i="15"/>
  <c r="G294" i="15"/>
  <c r="G450" i="15"/>
  <c r="G514" i="15"/>
  <c r="G543" i="15"/>
  <c r="G607" i="15"/>
  <c r="G671" i="15"/>
  <c r="G541" i="15"/>
  <c r="G604" i="15"/>
  <c r="G668" i="15"/>
  <c r="G511" i="15"/>
  <c r="G601" i="15"/>
  <c r="G665" i="15"/>
  <c r="G471" i="15"/>
  <c r="G598" i="15"/>
  <c r="G662" i="15"/>
  <c r="G547" i="15"/>
  <c r="G611" i="15"/>
  <c r="G675" i="15"/>
  <c r="G519" i="15"/>
  <c r="G600" i="15"/>
  <c r="G664" i="15"/>
  <c r="G565" i="15"/>
  <c r="G629" i="15"/>
  <c r="G693" i="15"/>
  <c r="G578" i="15"/>
  <c r="G642" i="15"/>
  <c r="G717" i="15"/>
  <c r="G780" i="15"/>
  <c r="G844" i="15"/>
  <c r="G737" i="15"/>
  <c r="G801" i="15"/>
  <c r="G742" i="15"/>
  <c r="G806" i="15"/>
  <c r="G696" i="15"/>
  <c r="G755" i="15"/>
  <c r="G819" i="15"/>
  <c r="G716" i="15"/>
  <c r="G784" i="15"/>
  <c r="G848" i="15"/>
  <c r="G741" i="15"/>
  <c r="G805" i="15"/>
  <c r="G869" i="15"/>
  <c r="G913" i="15"/>
  <c r="G977" i="15"/>
  <c r="G759" i="15"/>
  <c r="G894" i="15"/>
  <c r="G53" i="15"/>
  <c r="G128" i="15"/>
  <c r="G171" i="15"/>
  <c r="G194" i="15"/>
  <c r="G279" i="15"/>
  <c r="G236" i="15"/>
  <c r="G190" i="15"/>
  <c r="G278" i="15"/>
  <c r="G195" i="15"/>
  <c r="G259" i="15"/>
  <c r="G76" i="15"/>
  <c r="G321" i="15"/>
  <c r="G385" i="15"/>
  <c r="G201" i="15"/>
  <c r="G342" i="15"/>
  <c r="G406" i="15"/>
  <c r="G307" i="15"/>
  <c r="G371" i="15"/>
  <c r="G52" i="15"/>
  <c r="G304" i="15"/>
  <c r="G368" i="15"/>
  <c r="G432" i="15"/>
  <c r="G333" i="15"/>
  <c r="G397" i="15"/>
  <c r="G362" i="15"/>
  <c r="G476" i="15"/>
  <c r="G306" i="15"/>
  <c r="G449" i="15"/>
  <c r="G513" i="15"/>
  <c r="G324" i="15"/>
  <c r="G438" i="15"/>
  <c r="G502" i="15"/>
  <c r="G322" i="15"/>
  <c r="G451" i="15"/>
  <c r="G515" i="15"/>
  <c r="G394" i="15"/>
  <c r="G456" i="15"/>
  <c r="G520" i="15"/>
  <c r="G407" i="15"/>
  <c r="G485" i="15"/>
  <c r="G346" i="15"/>
  <c r="G458" i="15"/>
  <c r="G522" i="15"/>
  <c r="G551" i="15"/>
  <c r="G615" i="15"/>
  <c r="G679" i="15"/>
  <c r="G548" i="15"/>
  <c r="G612" i="15"/>
  <c r="G676" i="15"/>
  <c r="G545" i="15"/>
  <c r="G609" i="15"/>
  <c r="G673" i="15"/>
  <c r="G535" i="15"/>
  <c r="G606" i="15"/>
  <c r="G670" i="15"/>
  <c r="G555" i="15"/>
  <c r="G619" i="15"/>
  <c r="G683" i="15"/>
  <c r="G544" i="15"/>
  <c r="G608" i="15"/>
  <c r="G672" i="15"/>
  <c r="G573" i="15"/>
  <c r="G637" i="15"/>
  <c r="G701" i="15"/>
  <c r="G586" i="15"/>
  <c r="G650" i="15"/>
  <c r="G724" i="15"/>
  <c r="G788" i="15"/>
  <c r="G852" i="15"/>
  <c r="G745" i="15"/>
  <c r="G809" i="15"/>
  <c r="G750" i="15"/>
  <c r="G814" i="15"/>
  <c r="G708" i="15"/>
  <c r="G763" i="15"/>
  <c r="G827" i="15"/>
  <c r="G728" i="15"/>
  <c r="G792" i="15"/>
  <c r="G34" i="15"/>
  <c r="G192" i="15"/>
  <c r="G221" i="15"/>
  <c r="G242" i="15"/>
  <c r="G152" i="15"/>
  <c r="G244" i="15"/>
  <c r="G206" i="15"/>
  <c r="G286" i="15"/>
  <c r="G203" i="15"/>
  <c r="G267" i="15"/>
  <c r="G100" i="15"/>
  <c r="G329" i="15"/>
  <c r="G393" i="15"/>
  <c r="G265" i="15"/>
  <c r="G350" i="15"/>
  <c r="G414" i="15"/>
  <c r="G315" i="15"/>
  <c r="G379" i="15"/>
  <c r="G68" i="15"/>
  <c r="G312" i="15"/>
  <c r="G376" i="15"/>
  <c r="G148" i="15"/>
  <c r="G341" i="15"/>
  <c r="G405" i="15"/>
  <c r="G367" i="15"/>
  <c r="G484" i="15"/>
  <c r="G311" i="15"/>
  <c r="G457" i="15"/>
  <c r="G521" i="15"/>
  <c r="G378" i="15"/>
  <c r="G446" i="15"/>
  <c r="G510" i="15"/>
  <c r="G327" i="15"/>
  <c r="G459" i="15"/>
  <c r="G523" i="15"/>
  <c r="G399" i="15"/>
  <c r="G464" i="15"/>
  <c r="G528" i="15"/>
  <c r="G412" i="15"/>
  <c r="G493" i="15"/>
  <c r="G351" i="15"/>
  <c r="G466" i="15"/>
  <c r="G530" i="15"/>
  <c r="G559" i="15"/>
  <c r="G623" i="15"/>
  <c r="G687" i="15"/>
  <c r="G556" i="15"/>
  <c r="G620" i="15"/>
  <c r="G684" i="15"/>
  <c r="G553" i="15"/>
  <c r="G617" i="15"/>
  <c r="G681" i="15"/>
  <c r="G550" i="15"/>
  <c r="G614" i="15"/>
  <c r="G678" i="15"/>
  <c r="G563" i="15"/>
  <c r="G627" i="15"/>
  <c r="G691" i="15"/>
  <c r="G552" i="15"/>
  <c r="G616" i="15"/>
  <c r="G680" i="15"/>
  <c r="G581" i="15"/>
  <c r="G645" i="15"/>
  <c r="G439" i="15"/>
  <c r="G594" i="15"/>
  <c r="G658" i="15"/>
  <c r="G732" i="15"/>
  <c r="G796" i="15"/>
  <c r="G860" i="15"/>
  <c r="G98" i="15"/>
  <c r="G208" i="15"/>
  <c r="G237" i="15"/>
  <c r="G258" i="15"/>
  <c r="G161" i="15"/>
  <c r="G260" i="15"/>
  <c r="G214" i="15"/>
  <c r="G105" i="15"/>
  <c r="G211" i="15"/>
  <c r="G275" i="15"/>
  <c r="G125" i="15"/>
  <c r="G337" i="15"/>
  <c r="G401" i="15"/>
  <c r="G295" i="15"/>
  <c r="G358" i="15"/>
  <c r="G422" i="15"/>
  <c r="G323" i="15"/>
  <c r="G387" i="15"/>
  <c r="G84" i="15"/>
  <c r="G320" i="15"/>
  <c r="G384" i="15"/>
  <c r="G209" i="15"/>
  <c r="G349" i="15"/>
  <c r="G413" i="15"/>
  <c r="G372" i="15"/>
  <c r="G492" i="15"/>
  <c r="G316" i="15"/>
  <c r="G465" i="15"/>
  <c r="G529" i="15"/>
  <c r="G383" i="15"/>
  <c r="G454" i="15"/>
  <c r="G518" i="15"/>
  <c r="G332" i="15"/>
  <c r="G467" i="15"/>
  <c r="G531" i="15"/>
  <c r="G404" i="15"/>
  <c r="G472" i="15"/>
  <c r="G536" i="15"/>
  <c r="G437" i="15"/>
  <c r="G501" i="15"/>
  <c r="G356" i="15"/>
  <c r="G474" i="15"/>
  <c r="G538" i="15"/>
  <c r="G567" i="15"/>
  <c r="G631" i="15"/>
  <c r="G695" i="15"/>
  <c r="G564" i="15"/>
  <c r="G628" i="15"/>
  <c r="G692" i="15"/>
  <c r="G561" i="15"/>
  <c r="G625" i="15"/>
  <c r="G689" i="15"/>
  <c r="G558" i="15"/>
  <c r="G622" i="15"/>
  <c r="G686" i="15"/>
  <c r="G571" i="15"/>
  <c r="G635" i="15"/>
  <c r="G699" i="15"/>
  <c r="G560" i="15"/>
  <c r="G624" i="15"/>
  <c r="G688" i="15"/>
  <c r="G589" i="15"/>
  <c r="G653" i="15"/>
  <c r="G503" i="15"/>
  <c r="G602" i="15"/>
  <c r="G666" i="15"/>
  <c r="G740" i="15"/>
  <c r="G804" i="15"/>
  <c r="G868" i="15"/>
  <c r="G761" i="15"/>
  <c r="G825" i="15"/>
  <c r="G766" i="15"/>
  <c r="G830" i="15"/>
  <c r="G712" i="15"/>
  <c r="G779" i="15"/>
  <c r="G843" i="15"/>
  <c r="G744" i="15"/>
  <c r="G808" i="15"/>
  <c r="G704" i="15"/>
  <c r="G765" i="15"/>
  <c r="G829" i="15"/>
  <c r="G872" i="15"/>
  <c r="G937" i="15"/>
  <c r="G1001" i="15"/>
  <c r="G794" i="15"/>
  <c r="G918" i="15"/>
  <c r="G256" i="15"/>
  <c r="G283" i="15"/>
  <c r="G395" i="15"/>
  <c r="G500" i="15"/>
  <c r="G475" i="15"/>
  <c r="G482" i="15"/>
  <c r="G569" i="15"/>
  <c r="G707" i="15"/>
  <c r="G674" i="15"/>
  <c r="G758" i="15"/>
  <c r="G835" i="15"/>
  <c r="G856" i="15"/>
  <c r="G773" i="15"/>
  <c r="G853" i="15"/>
  <c r="G921" i="15"/>
  <c r="G1009" i="15"/>
  <c r="G849" i="15"/>
  <c r="G958" i="15"/>
  <c r="G880" i="15"/>
  <c r="G939" i="15"/>
  <c r="G1003" i="15"/>
  <c r="G847" i="15"/>
  <c r="G920" i="15"/>
  <c r="G984" i="15"/>
  <c r="G893" i="15"/>
  <c r="G957" i="15"/>
  <c r="G743" i="15"/>
  <c r="G858" i="15"/>
  <c r="G922" i="15"/>
  <c r="G986" i="15"/>
  <c r="G919" i="15"/>
  <c r="G983" i="15"/>
  <c r="G799" i="15"/>
  <c r="G900" i="15"/>
  <c r="G964" i="15"/>
  <c r="G1012" i="15"/>
  <c r="G132" i="15"/>
  <c r="G787" i="15"/>
  <c r="G993" i="15"/>
  <c r="G995" i="15"/>
  <c r="G1013" i="15"/>
  <c r="G770" i="15"/>
  <c r="G285" i="15"/>
  <c r="G150" i="15"/>
  <c r="G102" i="15"/>
  <c r="G370" i="15"/>
  <c r="G193" i="15"/>
  <c r="G359" i="15"/>
  <c r="G633" i="15"/>
  <c r="G568" i="15"/>
  <c r="G748" i="15"/>
  <c r="G774" i="15"/>
  <c r="G851" i="15"/>
  <c r="G864" i="15"/>
  <c r="G781" i="15"/>
  <c r="G861" i="15"/>
  <c r="G929" i="15"/>
  <c r="G702" i="15"/>
  <c r="G878" i="15"/>
  <c r="G966" i="15"/>
  <c r="G882" i="15"/>
  <c r="G947" i="15"/>
  <c r="G722" i="15"/>
  <c r="G865" i="15"/>
  <c r="G928" i="15"/>
  <c r="G992" i="15"/>
  <c r="G901" i="15"/>
  <c r="G965" i="15"/>
  <c r="G746" i="15"/>
  <c r="G863" i="15"/>
  <c r="G930" i="15"/>
  <c r="G994" i="15"/>
  <c r="G927" i="15"/>
  <c r="G991" i="15"/>
  <c r="G802" i="15"/>
  <c r="G908" i="15"/>
  <c r="G972" i="15"/>
  <c r="G1008" i="15"/>
  <c r="G386" i="15"/>
  <c r="G845" i="15"/>
  <c r="G818" i="15"/>
  <c r="G914" i="15"/>
  <c r="G956" i="15"/>
  <c r="G97" i="15"/>
  <c r="G345" i="15"/>
  <c r="G328" i="15"/>
  <c r="G473" i="15"/>
  <c r="G431" i="15"/>
  <c r="G575" i="15"/>
  <c r="G697" i="15"/>
  <c r="G632" i="15"/>
  <c r="G812" i="15"/>
  <c r="G822" i="15"/>
  <c r="G736" i="15"/>
  <c r="G718" i="15"/>
  <c r="G789" i="15"/>
  <c r="G877" i="15"/>
  <c r="G945" i="15"/>
  <c r="G727" i="15"/>
  <c r="G902" i="15"/>
  <c r="G974" i="15"/>
  <c r="G891" i="15"/>
  <c r="G955" i="15"/>
  <c r="G751" i="15"/>
  <c r="G867" i="15"/>
  <c r="G936" i="15"/>
  <c r="G1000" i="15"/>
  <c r="G909" i="15"/>
  <c r="G973" i="15"/>
  <c r="G775" i="15"/>
  <c r="G875" i="15"/>
  <c r="G938" i="15"/>
  <c r="G713" i="15"/>
  <c r="G935" i="15"/>
  <c r="G999" i="15"/>
  <c r="G831" i="15"/>
  <c r="G916" i="15"/>
  <c r="G980" i="15"/>
  <c r="G1006" i="15"/>
  <c r="G410" i="15"/>
  <c r="G833" i="15"/>
  <c r="G826" i="15"/>
  <c r="G912" i="15"/>
  <c r="G842" i="15"/>
  <c r="G892" i="15"/>
  <c r="G170" i="15"/>
  <c r="G409" i="15"/>
  <c r="G392" i="15"/>
  <c r="G537" i="15"/>
  <c r="G480" i="15"/>
  <c r="G639" i="15"/>
  <c r="G566" i="15"/>
  <c r="G418" i="15"/>
  <c r="G876" i="15"/>
  <c r="G838" i="15"/>
  <c r="G752" i="15"/>
  <c r="G720" i="15"/>
  <c r="G797" i="15"/>
  <c r="G885" i="15"/>
  <c r="G953" i="15"/>
  <c r="G730" i="15"/>
  <c r="G910" i="15"/>
  <c r="G982" i="15"/>
  <c r="G899" i="15"/>
  <c r="G963" i="15"/>
  <c r="G754" i="15"/>
  <c r="G871" i="15"/>
  <c r="G944" i="15"/>
  <c r="G700" i="15"/>
  <c r="G917" i="15"/>
  <c r="G981" i="15"/>
  <c r="G778" i="15"/>
  <c r="G879" i="15"/>
  <c r="G946" i="15"/>
  <c r="G866" i="15"/>
  <c r="G943" i="15"/>
  <c r="G1007" i="15"/>
  <c r="G834" i="15"/>
  <c r="G924" i="15"/>
  <c r="G988" i="15"/>
  <c r="G1011" i="15"/>
  <c r="G434" i="15"/>
  <c r="G905" i="15"/>
  <c r="G931" i="15"/>
  <c r="G949" i="15"/>
  <c r="G975" i="15"/>
  <c r="G276" i="15"/>
  <c r="G300" i="15"/>
  <c r="G273" i="15"/>
  <c r="G388" i="15"/>
  <c r="G257" i="15"/>
  <c r="G703" i="15"/>
  <c r="G630" i="15"/>
  <c r="G597" i="15"/>
  <c r="G753" i="15"/>
  <c r="G710" i="15"/>
  <c r="G800" i="15"/>
  <c r="G725" i="15"/>
  <c r="G813" i="15"/>
  <c r="G874" i="15"/>
  <c r="G961" i="15"/>
  <c r="G762" i="15"/>
  <c r="G926" i="15"/>
  <c r="G990" i="15"/>
  <c r="G907" i="15"/>
  <c r="G971" i="15"/>
  <c r="G783" i="15"/>
  <c r="G886" i="15"/>
  <c r="G952" i="15"/>
  <c r="G850" i="15"/>
  <c r="G925" i="15"/>
  <c r="G989" i="15"/>
  <c r="G807" i="15"/>
  <c r="G890" i="15"/>
  <c r="G954" i="15"/>
  <c r="G881" i="15"/>
  <c r="G951" i="15"/>
  <c r="G735" i="15"/>
  <c r="G870" i="15"/>
  <c r="G932" i="15"/>
  <c r="G996" i="15"/>
  <c r="G331" i="15"/>
  <c r="G610" i="15"/>
  <c r="G757" i="15"/>
  <c r="G950" i="15"/>
  <c r="G976" i="15"/>
  <c r="G978" i="15"/>
  <c r="G1010" i="15"/>
  <c r="G222" i="15"/>
  <c r="G366" i="15"/>
  <c r="G357" i="15"/>
  <c r="G462" i="15"/>
  <c r="G445" i="15"/>
  <c r="G572" i="15"/>
  <c r="G694" i="15"/>
  <c r="G661" i="15"/>
  <c r="G769" i="15"/>
  <c r="G723" i="15"/>
  <c r="G816" i="15"/>
  <c r="G733" i="15"/>
  <c r="G821" i="15"/>
  <c r="G889" i="15"/>
  <c r="G969" i="15"/>
  <c r="G791" i="15"/>
  <c r="G934" i="15"/>
  <c r="G998" i="15"/>
  <c r="G915" i="15"/>
  <c r="G979" i="15"/>
  <c r="G786" i="15"/>
  <c r="G896" i="15"/>
  <c r="G960" i="15"/>
  <c r="G855" i="15"/>
  <c r="G933" i="15"/>
  <c r="G997" i="15"/>
  <c r="G810" i="15"/>
  <c r="G898" i="15"/>
  <c r="G962" i="15"/>
  <c r="G895" i="15"/>
  <c r="G959" i="15"/>
  <c r="G738" i="15"/>
  <c r="G883" i="15"/>
  <c r="G940" i="15"/>
  <c r="G1004" i="15"/>
  <c r="G219" i="15"/>
  <c r="G121" i="15"/>
  <c r="G430" i="15"/>
  <c r="G421" i="15"/>
  <c r="G526" i="15"/>
  <c r="G509" i="15"/>
  <c r="G636" i="15"/>
  <c r="G579" i="15"/>
  <c r="G546" i="15"/>
  <c r="G817" i="15"/>
  <c r="G771" i="15"/>
  <c r="G832" i="15"/>
  <c r="G749" i="15"/>
  <c r="G837" i="15"/>
  <c r="G897" i="15"/>
  <c r="G985" i="15"/>
  <c r="G823" i="15"/>
  <c r="G942" i="15"/>
  <c r="G709" i="15"/>
  <c r="G923" i="15"/>
  <c r="G987" i="15"/>
  <c r="G815" i="15"/>
  <c r="G904" i="15"/>
  <c r="G968" i="15"/>
  <c r="G873" i="15"/>
  <c r="G941" i="15"/>
  <c r="G1005" i="15"/>
  <c r="G839" i="15"/>
  <c r="G906" i="15"/>
  <c r="G970" i="15"/>
  <c r="G903" i="15"/>
  <c r="G967" i="15"/>
  <c r="G767" i="15"/>
  <c r="G887" i="15"/>
  <c r="G948" i="15"/>
  <c r="G1002" i="15"/>
  <c r="G15" i="15"/>
  <c r="G643" i="15"/>
  <c r="G840" i="15"/>
  <c r="G857" i="15"/>
  <c r="G888" i="15"/>
  <c r="G911" i="15"/>
  <c r="P10" i="14" l="1"/>
  <c r="R7" i="14" s="1"/>
  <c r="L11" i="15"/>
  <c r="G11" i="15"/>
  <c r="I5" i="15" s="1"/>
  <c r="B6" i="16" s="1"/>
  <c r="G10" i="14"/>
  <c r="I4" i="14" s="1"/>
  <c r="A6" i="16" s="1"/>
  <c r="L10" i="14"/>
  <c r="A3" i="16" l="1"/>
  <c r="D18" i="16"/>
  <c r="B3" i="16"/>
  <c r="A10" i="16" l="1"/>
  <c r="C18" i="16"/>
  <c r="F18" i="16" s="1"/>
</calcChain>
</file>

<file path=xl/sharedStrings.xml><?xml version="1.0" encoding="utf-8"?>
<sst xmlns="http://schemas.openxmlformats.org/spreadsheetml/2006/main" count="656" uniqueCount="273">
  <si>
    <t>Green cells are editable</t>
  </si>
  <si>
    <t>Gray cells - no impact on calculation</t>
  </si>
  <si>
    <r>
      <rPr>
        <b/>
        <sz val="11"/>
        <rFont val="Calibri"/>
        <family val="2"/>
      </rPr>
      <t>INPUTS</t>
    </r>
  </si>
  <si>
    <r>
      <rPr>
        <b/>
        <sz val="11"/>
        <rFont val="Calibri"/>
        <family val="2"/>
      </rPr>
      <t>Description</t>
    </r>
  </si>
  <si>
    <r>
      <rPr>
        <b/>
        <sz val="11"/>
        <rFont val="Calibri"/>
        <family val="2"/>
      </rPr>
      <t>Value</t>
    </r>
  </si>
  <si>
    <r>
      <rPr>
        <b/>
        <sz val="11"/>
        <rFont val="Calibri"/>
        <family val="2"/>
      </rPr>
      <t>Reference in TreeAge</t>
    </r>
  </si>
  <si>
    <r>
      <rPr>
        <b/>
        <sz val="11"/>
        <rFont val="Calibri"/>
        <family val="2"/>
      </rPr>
      <t>Parameter Variables</t>
    </r>
  </si>
  <si>
    <t/>
  </si>
  <si>
    <t>discount_rate</t>
  </si>
  <si>
    <t>uSingleAmp</t>
  </si>
  <si>
    <t>uMultipleAmp</t>
  </si>
  <si>
    <t>uHearingLoss</t>
  </si>
  <si>
    <t>uNeuroDis</t>
  </si>
  <si>
    <t>uAlive</t>
  </si>
  <si>
    <t>uSkinScarring</t>
  </si>
  <si>
    <t>cSkinScarring</t>
  </si>
  <si>
    <t>cSingleAmp</t>
  </si>
  <si>
    <t>cHearingLoss</t>
  </si>
  <si>
    <t>cNeuroDis</t>
  </si>
  <si>
    <t>cAcute</t>
  </si>
  <si>
    <t>pSkinScarring</t>
  </si>
  <si>
    <t>pSingleAmp</t>
  </si>
  <si>
    <t>pMultipleAmp</t>
  </si>
  <si>
    <t>pHearingLoss</t>
  </si>
  <si>
    <t>pNeuroDis</t>
  </si>
  <si>
    <t>pDead</t>
  </si>
  <si>
    <t>uAcute</t>
  </si>
  <si>
    <t>cDead</t>
  </si>
  <si>
    <t>cMultipleAmp</t>
  </si>
  <si>
    <t>cAcute (Defined in node Recovered with no sequelae)</t>
  </si>
  <si>
    <t>uAcute (Defined in node Recovered with no sequelae)</t>
  </si>
  <si>
    <t>cAcute (Defined in node Recovered with skin scarring)</t>
  </si>
  <si>
    <t>cSkinScarring (Defined in node Recovered with skin scarring)</t>
  </si>
  <si>
    <t>uSkinScarring (Defined in node Recovered with skin scarring)</t>
  </si>
  <si>
    <t>cAcute (Defined in node Recovered with single amputation)</t>
  </si>
  <si>
    <t>cSingleAmp (Defined in node Recovered with single amputation)</t>
  </si>
  <si>
    <t>uSingleAmp (Defined in node Recovered with single amputation)</t>
  </si>
  <si>
    <t>cAcute (Defined in node Recovered with multiple amputation)</t>
  </si>
  <si>
    <t>cMultipleAmp (Defined in node Recovered with multiple amputation)</t>
  </si>
  <si>
    <t>uMultipleAmp (Defined in node Recovered with multiple amputation)</t>
  </si>
  <si>
    <t>cAcute (Defined in node Recovered with hearing loss)</t>
  </si>
  <si>
    <t>cHearingLoss (Defined in node Recovered with hearing loss)</t>
  </si>
  <si>
    <t>uHearingLoss (Defined in node Recovered with hearing loss)</t>
  </si>
  <si>
    <t>cAcute (Defined in node Recovered with neurologic disability)</t>
  </si>
  <si>
    <t>cNeuroDis (Defined in node Recovered with neurologic disability)</t>
  </si>
  <si>
    <t>uNeuroDis (Defined in node Recovered with neurologic disability)</t>
  </si>
  <si>
    <t>cAcute (Defined in node Dead)</t>
  </si>
  <si>
    <t>uAlive (Defined in node Alive no sequelae)</t>
  </si>
  <si>
    <t>Strategy</t>
  </si>
  <si>
    <t>Infected</t>
  </si>
  <si>
    <t>States</t>
  </si>
  <si>
    <t>All</t>
  </si>
  <si>
    <t>Cohort State Proportions</t>
  </si>
  <si>
    <t>Cycle</t>
  </si>
  <si>
    <t>Recovered with no sequelae</t>
  </si>
  <si>
    <t>Recovered with skin scarring</t>
  </si>
  <si>
    <t>Recovered with single amputation</t>
  </si>
  <si>
    <t>Recovered with multiple amputation</t>
  </si>
  <si>
    <t>Recovered with hearing loss</t>
  </si>
  <si>
    <t>Recovered with neurologic disability</t>
  </si>
  <si>
    <t>Dead</t>
  </si>
  <si>
    <t>Payoff 1 - Cost</t>
  </si>
  <si>
    <t>No Discount</t>
  </si>
  <si>
    <t>Discounted</t>
  </si>
  <si>
    <t>Cum Disc</t>
  </si>
  <si>
    <t>Payoff 2 - Effectiveness</t>
  </si>
  <si>
    <t>Checksum of Cohort %</t>
  </si>
  <si>
    <t>Total</t>
  </si>
  <si>
    <t>Uninfected</t>
  </si>
  <si>
    <t>Alive no sequelae</t>
  </si>
  <si>
    <r>
      <rPr>
        <b/>
        <sz val="11"/>
        <rFont val="Calibri"/>
        <family val="2"/>
      </rPr>
      <t>State Transition Diagram of Strategy:</t>
    </r>
  </si>
  <si>
    <r>
      <rPr>
        <b/>
        <sz val="11"/>
        <rFont val="Calibri"/>
        <family val="2"/>
      </rPr>
      <t>Infected</t>
    </r>
  </si>
  <si>
    <r>
      <rPr>
        <b/>
        <sz val="11"/>
        <rFont val="Calibri"/>
        <family val="2"/>
      </rPr>
      <t>Uninfected</t>
    </r>
  </si>
  <si>
    <r>
      <rPr>
        <b/>
        <sz val="11"/>
        <rFont val="Calibri"/>
        <family val="2"/>
      </rPr>
      <t>Tree Diagram</t>
    </r>
  </si>
  <si>
    <r>
      <rPr>
        <b/>
        <sz val="11"/>
        <rFont val="Calibri"/>
        <family val="2"/>
      </rPr>
      <t xml:space="preserve">Table: </t>
    </r>
  </si>
  <si>
    <r>
      <rPr>
        <b/>
        <sz val="11"/>
        <rFont val="Calibri"/>
        <family val="2"/>
      </rPr>
      <t>tdead</t>
    </r>
  </si>
  <si>
    <r>
      <rPr>
        <b/>
        <sz val="11"/>
        <rFont val="Calibri"/>
        <family val="2"/>
      </rPr>
      <t xml:space="preserve">Lookup method: </t>
    </r>
  </si>
  <si>
    <r>
      <rPr>
        <b/>
        <sz val="11"/>
        <rFont val="Calibri"/>
        <family val="2"/>
      </rPr>
      <t>RowColInterpolate</t>
    </r>
  </si>
  <si>
    <r>
      <rPr>
        <b/>
        <sz val="11"/>
        <rFont val="Calibri"/>
        <family val="2"/>
      </rPr>
      <t xml:space="preserve">Off-edge error: </t>
    </r>
  </si>
  <si>
    <r>
      <rPr>
        <b/>
        <sz val="11"/>
        <rFont val="Calibri"/>
        <family val="2"/>
      </rPr>
      <t>No</t>
    </r>
  </si>
  <si>
    <t>Index</t>
  </si>
  <si>
    <t>Mortality</t>
  </si>
  <si>
    <r>
      <rPr>
        <b/>
        <sz val="11"/>
        <rFont val="Calibri"/>
        <family val="2"/>
      </rPr>
      <t>tdead_inc</t>
    </r>
  </si>
  <si>
    <t>Changing this may require manual changes to Excel formulas</t>
  </si>
  <si>
    <t>Global Discounting</t>
  </si>
  <si>
    <t>Payoff 1 - 
Cost</t>
  </si>
  <si>
    <t>Payoff 2 - 
Effectiveness</t>
  </si>
  <si>
    <t>Cohort %</t>
  </si>
  <si>
    <t>1.1
 State</t>
  </si>
  <si>
    <t>1.1.1
 Transition</t>
  </si>
  <si>
    <t>1.1.2
 Transition</t>
  </si>
  <si>
    <t>Stay recovered with no Sequelae</t>
  </si>
  <si>
    <t>1.1
State</t>
  </si>
  <si>
    <t>1.1.2
Transition</t>
  </si>
  <si>
    <t>State/Trans</t>
  </si>
  <si>
    <t>State Total</t>
  </si>
  <si>
    <t>Recovered with no sequelae - State 1.1</t>
  </si>
  <si>
    <t>1.2
 State</t>
  </si>
  <si>
    <t>1.2.1
 Transition</t>
  </si>
  <si>
    <t>1.2.2
 Transition</t>
  </si>
  <si>
    <t>Stay recovered with skin scarring</t>
  </si>
  <si>
    <t>1.2
State</t>
  </si>
  <si>
    <t>1.2.2
Transition</t>
  </si>
  <si>
    <t>Recovered with skin scarring - State 1.2</t>
  </si>
  <si>
    <t>1.3
 State</t>
  </si>
  <si>
    <t>1.3.1
 Transition</t>
  </si>
  <si>
    <t>1.3.2
 Transition</t>
  </si>
  <si>
    <t>Stay recovered with single amputation</t>
  </si>
  <si>
    <t>1.3
State</t>
  </si>
  <si>
    <t>1.3.2
Transition</t>
  </si>
  <si>
    <t>Recovered with single amputation - State 1.3</t>
  </si>
  <si>
    <t>1.4
 State</t>
  </si>
  <si>
    <t>1.4.1
 Transition</t>
  </si>
  <si>
    <t>1.4.2
 Transition</t>
  </si>
  <si>
    <t>Stay recovered with multiple amputation</t>
  </si>
  <si>
    <t>1.4
State</t>
  </si>
  <si>
    <t>1.4.2
Transition</t>
  </si>
  <si>
    <t>Recovered with multiple amputation - State 1.4</t>
  </si>
  <si>
    <t>1.5
 State</t>
  </si>
  <si>
    <t>1.5.1
 Transition</t>
  </si>
  <si>
    <t>1.5.2
 Transition</t>
  </si>
  <si>
    <t>Stay recovered with hearing loss</t>
  </si>
  <si>
    <t>1.5
State</t>
  </si>
  <si>
    <t>1.5.2
Transition</t>
  </si>
  <si>
    <t>Recovered with hearing loss - State 1.5</t>
  </si>
  <si>
    <t>1.6
 State</t>
  </si>
  <si>
    <t>1.6.1
 Transition</t>
  </si>
  <si>
    <t>1.6.2
 Transition</t>
  </si>
  <si>
    <t>Stay recovered with neurologic disability</t>
  </si>
  <si>
    <t>1.6
State</t>
  </si>
  <si>
    <t>1.6.2
Transition</t>
  </si>
  <si>
    <t>Recovered with neurologic disability - State 1.6</t>
  </si>
  <si>
    <t>1.7
 State</t>
  </si>
  <si>
    <t>1.7
State</t>
  </si>
  <si>
    <t>Dead - State 1.7</t>
  </si>
  <si>
    <t>2.1
 State</t>
  </si>
  <si>
    <t>2.1.1
 Transition</t>
  </si>
  <si>
    <t>2.1.2
 Transition</t>
  </si>
  <si>
    <t>2.1.2
Transition</t>
  </si>
  <si>
    <t>2.1
State</t>
  </si>
  <si>
    <t>Alive no sequelae - State 2.1</t>
  </si>
  <si>
    <t>2.2
 State</t>
  </si>
  <si>
    <t>Dead - State 2.2</t>
  </si>
  <si>
    <r>
      <rPr>
        <b/>
        <sz val="11"/>
        <rFont val="Calibri"/>
        <family val="2"/>
      </rPr>
      <t>EXTRAS</t>
    </r>
  </si>
  <si>
    <t>This worksheet includes elements from the TreeAge Pro model that are not actively used in the exported Excel model.</t>
  </si>
  <si>
    <t>They are included here for reference only.</t>
  </si>
  <si>
    <r>
      <rPr>
        <b/>
        <sz val="11"/>
        <rFont val="Calibri"/>
        <family val="2"/>
      </rPr>
      <t>TreeAge Pro Variable Sensitivity Analysis Range</t>
    </r>
  </si>
  <si>
    <t>Name</t>
  </si>
  <si>
    <t>Low</t>
  </si>
  <si>
    <t>High</t>
  </si>
  <si>
    <t>Sensitivity analysis ranges are used in TreeAge Pro, but not in the converted Excel model.</t>
  </si>
  <si>
    <t>Model Information</t>
  </si>
  <si>
    <r>
      <rPr>
        <b/>
        <sz val="11"/>
        <rFont val="Calibri"/>
        <family val="2"/>
      </rPr>
      <t>DESCRIPTION</t>
    </r>
  </si>
  <si>
    <r>
      <rPr>
        <b/>
        <sz val="11"/>
        <rFont val="Calibri"/>
        <family val="2"/>
      </rPr>
      <t>STRATEGIES</t>
    </r>
  </si>
  <si>
    <r>
      <rPr>
        <b/>
        <sz val="11"/>
        <rFont val="Calibri"/>
        <family val="2"/>
      </rPr>
      <t>MODEL RESULTS</t>
    </r>
  </si>
  <si>
    <r>
      <rPr>
        <b/>
        <sz val="11"/>
        <rFont val="Calibri"/>
        <family val="2"/>
      </rPr>
      <t>WTP:</t>
    </r>
  </si>
  <si>
    <t>Cost</t>
  </si>
  <si>
    <t>Eff</t>
  </si>
  <si>
    <t>Original Data from TreeAge Pro Model</t>
  </si>
  <si>
    <r>
      <rPr>
        <b/>
        <sz val="11"/>
        <rFont val="Calibri"/>
        <family val="2"/>
      </rPr>
      <t>CURRENT MODEL RESULTS</t>
    </r>
  </si>
  <si>
    <r>
      <rPr>
        <b/>
        <sz val="11"/>
        <rFont val="Calibri"/>
        <family val="2"/>
      </rPr>
      <t>ORIGINAL MODEL RESULTS FROM EXCEL</t>
    </r>
  </si>
  <si>
    <r>
      <rPr>
        <b/>
        <sz val="11"/>
        <rFont val="Calibri"/>
        <family val="2"/>
      </rPr>
      <t>Strategy</t>
    </r>
  </si>
  <si>
    <r>
      <rPr>
        <b/>
        <sz val="11"/>
        <rFont val="Calibri"/>
        <family val="2"/>
      </rPr>
      <t>Cost</t>
    </r>
  </si>
  <si>
    <r>
      <rPr>
        <b/>
        <sz val="11"/>
        <rFont val="Calibri"/>
        <family val="2"/>
      </rPr>
      <t>Eff</t>
    </r>
  </si>
  <si>
    <r>
      <rPr>
        <b/>
        <sz val="11"/>
        <rFont val="Calibri"/>
        <family val="2"/>
      </rPr>
      <t>ORIGINAL MODEL RESULTS FROM TREEAGE PRO</t>
    </r>
  </si>
  <si>
    <t>Category</t>
  </si>
  <si>
    <t>Incr. Cost</t>
  </si>
  <si>
    <t>Incr. Eff</t>
  </si>
  <si>
    <t>ICER</t>
  </si>
  <si>
    <t>NMB</t>
  </si>
  <si>
    <t>CE</t>
  </si>
  <si>
    <t>Undominated</t>
  </si>
  <si>
    <t>Abs. dominated</t>
  </si>
  <si>
    <t>Vaccine cost</t>
  </si>
  <si>
    <t>Vaccine wastage</t>
  </si>
  <si>
    <t>0.06</t>
  </si>
  <si>
    <t>0.39</t>
  </si>
  <si>
    <t>0</t>
  </si>
  <si>
    <t>0.72</t>
  </si>
  <si>
    <t>0.82</t>
  </si>
  <si>
    <t>0.64</t>
  </si>
  <si>
    <t>0.61</t>
  </si>
  <si>
    <t>0.71</t>
  </si>
  <si>
    <t>0.31</t>
  </si>
  <si>
    <t>0.7</t>
  </si>
  <si>
    <t>0.8</t>
  </si>
  <si>
    <t>1</t>
  </si>
  <si>
    <t>Nml, trunc</t>
  </si>
  <si>
    <t>Case fatality rate</t>
  </si>
  <si>
    <t>0.00365</t>
  </si>
  <si>
    <t>Rate of recovery from carriage</t>
  </si>
  <si>
    <t>0.000933</t>
  </si>
  <si>
    <t>0.000812</t>
  </si>
  <si>
    <t>17.53</t>
  </si>
  <si>
    <t>4.19</t>
  </si>
  <si>
    <t>0.00095</t>
  </si>
  <si>
    <t>0.00075</t>
  </si>
  <si>
    <t>Distribution</t>
  </si>
  <si>
    <t>Value in the Model</t>
  </si>
  <si>
    <t>Parameters</t>
  </si>
  <si>
    <t>Discount rate</t>
  </si>
  <si>
    <t>Students QALYs</t>
  </si>
  <si>
    <t>Total Cost</t>
  </si>
  <si>
    <t>Disease Cost</t>
  </si>
  <si>
    <t>Variable Cost</t>
  </si>
  <si>
    <t>Fixed Cost</t>
  </si>
  <si>
    <t>Spillover QALYs Lost</t>
  </si>
  <si>
    <t>Infection QALYs Lost</t>
  </si>
  <si>
    <t>Cases</t>
  </si>
  <si>
    <t>Simulation</t>
  </si>
  <si>
    <t>Carers QALYs (# cases * 3)</t>
  </si>
  <si>
    <t>Health Spillover</t>
  </si>
  <si>
    <t>Avg Tot Cost</t>
  </si>
  <si>
    <t>Avg Disease Cost</t>
  </si>
  <si>
    <t>Avg Vari Cost</t>
  </si>
  <si>
    <t>Avg Fixed Cost</t>
  </si>
  <si>
    <t>Avg QALY Lost to Spillover</t>
  </si>
  <si>
    <t>Avg QALY Lost to Infection</t>
  </si>
  <si>
    <t>Sum Cases</t>
  </si>
  <si>
    <t># of outbreaks</t>
  </si>
  <si>
    <t>Per Infection</t>
  </si>
  <si>
    <t>Markov Model</t>
  </si>
  <si>
    <t>QALYs Lost</t>
  </si>
  <si>
    <t>Max Outbreak Size</t>
  </si>
  <si>
    <t>Avg QALY Lost</t>
  </si>
  <si>
    <t>Disease</t>
  </si>
  <si>
    <t>Costs/QALYs Given Outbreak</t>
  </si>
  <si>
    <t>Outbreak Admin Cost</t>
  </si>
  <si>
    <t>Fixed</t>
  </si>
  <si>
    <t>Variable</t>
  </si>
  <si>
    <t>Costs</t>
  </si>
  <si>
    <t>Base Case - No Population Vaccination</t>
  </si>
  <si>
    <t># outbreaks</t>
  </si>
  <si>
    <t>Cost of vaccinating 90% of the population</t>
  </si>
  <si>
    <t>Cost Savings</t>
  </si>
  <si>
    <t>ICER Given an Outbreak</t>
  </si>
  <si>
    <t>90% Vacc - Base</t>
  </si>
  <si>
    <t>Avg QALY Int 90%</t>
  </si>
  <si>
    <t>Avg QALY Base</t>
  </si>
  <si>
    <t>QALYs</t>
  </si>
  <si>
    <t>Avg Cost Int 90%</t>
  </si>
  <si>
    <t>Avg Cost Base</t>
  </si>
  <si>
    <t>Vaccine Cost</t>
  </si>
  <si>
    <t>Vaccine Administration</t>
  </si>
  <si>
    <t>Vaccine Cost, accounting for wastage and admin</t>
  </si>
  <si>
    <t>Nml</t>
  </si>
  <si>
    <t>Rate of recovery from infection</t>
  </si>
  <si>
    <t>Rate of immunity loss</t>
  </si>
  <si>
    <t>Transmission rate</t>
  </si>
  <si>
    <t>Contact rate</t>
  </si>
  <si>
    <t>Rate of progression to disease given carriage</t>
  </si>
  <si>
    <t>Disease mortality, per 100,000 people</t>
  </si>
  <si>
    <t>Productivity cost of early death</t>
  </si>
  <si>
    <t>Cost of outbreak response</t>
  </si>
  <si>
    <t>Cost of vaccine administration</t>
  </si>
  <si>
    <t>Probability of skin scarring</t>
  </si>
  <si>
    <t>Probability of single amputation</t>
  </si>
  <si>
    <t>Probability of multiple amputations</t>
  </si>
  <si>
    <t>Probability of hearing loss</t>
  </si>
  <si>
    <t>Probability of neurologic disability</t>
  </si>
  <si>
    <t>Cost of acute disease</t>
  </si>
  <si>
    <t>Cost of skin scarring</t>
  </si>
  <si>
    <t>Cost of single amputation</t>
  </si>
  <si>
    <t>Cost of multiple amputations</t>
  </si>
  <si>
    <t>Cost of hearing loss</t>
  </si>
  <si>
    <t>Cost of neurologic disability</t>
  </si>
  <si>
    <t>Utility of acute disease</t>
  </si>
  <si>
    <t>Utility of skin scarring</t>
  </si>
  <si>
    <t>Utility of single amputation</t>
  </si>
  <si>
    <t>Utility of multiple amputations</t>
  </si>
  <si>
    <t>Utility of hearing loss</t>
  </si>
  <si>
    <t>Utility of neurologic disability</t>
  </si>
  <si>
    <t>Avg Variable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</si>
</sst>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9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none">
        <bgColor indexed="9"/>
      </patternFill>
    </fill>
    <fill>
      <patternFill patternType="solid">
        <fgColor rgb="FF84E173"/>
      </patternFill>
    </fill>
    <fill>
      <patternFill patternType="solid">
        <fgColor rgb="FFC8C8C8"/>
      </patternFill>
    </fill>
    <fill>
      <patternFill patternType="solid">
        <fgColor rgb="FFFF2F2F"/>
      </patternFill>
    </fill>
    <fill>
      <patternFill patternType="none"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84E173"/>
        <bgColor indexed="64"/>
      </patternFill>
    </fill>
    <fill>
      <patternFill patternType="none">
        <bgColor indexed="9"/>
      </patternFill>
    </fill>
    <fill>
      <patternFill patternType="solid">
        <fgColor rgb="FFFFE4D6"/>
        <bgColor indexed="9"/>
      </patternFill>
    </fill>
    <fill>
      <patternFill patternType="solid">
        <fgColor rgb="FFC8C8C8"/>
        <bgColor indexed="9"/>
      </patternFill>
    </fill>
    <fill>
      <patternFill patternType="none">
        <bgColor indexed="9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double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/>
      <right style="medium">
        <color indexed="8"/>
      </right>
      <top style="double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double">
        <color indexed="8"/>
      </top>
      <bottom/>
      <diagonal/>
    </border>
    <border>
      <left style="thin">
        <color indexed="8"/>
      </left>
      <right style="medium">
        <color indexed="8"/>
      </right>
      <top style="double">
        <color indexed="8"/>
      </top>
      <bottom/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double">
        <color indexed="8"/>
      </bottom>
      <diagonal/>
    </border>
    <border>
      <left/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double">
        <color indexed="8"/>
      </bottom>
      <diagonal/>
    </border>
    <border>
      <left style="medium">
        <color auto="1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7">
    <xf numFmtId="0" fontId="0" fillId="0" borderId="0"/>
    <xf numFmtId="0" fontId="14" fillId="12" borderId="11"/>
    <xf numFmtId="44" fontId="14" fillId="12" borderId="11" applyFont="0" applyFill="0" applyBorder="0" applyAlignment="0" applyProtection="0"/>
    <xf numFmtId="0" fontId="3" fillId="12" borderId="11"/>
    <xf numFmtId="44" fontId="15" fillId="12" borderId="11" applyFont="0" applyFill="0" applyBorder="0" applyAlignment="0" applyProtection="0"/>
    <xf numFmtId="0" fontId="15" fillId="12" borderId="11"/>
    <xf numFmtId="44" fontId="14" fillId="0" borderId="0" applyFont="0" applyFill="0" applyBorder="0" applyAlignment="0" applyProtection="0"/>
  </cellStyleXfs>
  <cellXfs count="210">
    <xf numFmtId="0" fontId="0" fillId="2" borderId="0" xfId="0" applyFill="1"/>
    <xf numFmtId="0" fontId="6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5" fillId="0" borderId="0" xfId="0" applyFont="1"/>
    <xf numFmtId="0" fontId="5" fillId="0" borderId="0" xfId="0" applyFont="1" applyAlignment="1">
      <alignment horizontal="right"/>
    </xf>
    <xf numFmtId="0" fontId="0" fillId="3" borderId="0" xfId="0" applyFill="1"/>
    <xf numFmtId="0" fontId="9" fillId="6" borderId="14" xfId="0" applyNumberFormat="1" applyFont="1" applyFill="1" applyBorder="1"/>
    <xf numFmtId="0" fontId="0" fillId="9" borderId="12" xfId="0" applyNumberFormat="1" applyFont="1" applyFill="1" applyBorder="1"/>
    <xf numFmtId="0" fontId="0" fillId="6" borderId="15" xfId="0" applyNumberFormat="1" applyFont="1" applyFill="1" applyBorder="1"/>
    <xf numFmtId="0" fontId="0" fillId="9" borderId="16" xfId="0" applyNumberFormat="1" applyFont="1" applyFill="1" applyBorder="1"/>
    <xf numFmtId="0" fontId="9" fillId="7" borderId="14" xfId="0" applyNumberFormat="1" applyFont="1" applyFill="1" applyBorder="1"/>
    <xf numFmtId="0" fontId="8" fillId="7" borderId="15" xfId="0" applyNumberFormat="1" applyFont="1" applyFill="1" applyBorder="1"/>
    <xf numFmtId="0" fontId="8" fillId="7" borderId="12" xfId="0" applyNumberFormat="1" applyFont="1" applyFill="1" applyBorder="1"/>
    <xf numFmtId="0" fontId="8" fillId="7" borderId="16" xfId="0" applyNumberFormat="1" applyFont="1" applyFill="1" applyBorder="1"/>
    <xf numFmtId="0" fontId="8" fillId="8" borderId="15" xfId="0" applyNumberFormat="1" applyFont="1" applyFill="1" applyBorder="1"/>
    <xf numFmtId="0" fontId="7" fillId="9" borderId="13" xfId="0" applyNumberFormat="1" applyFont="1" applyFill="1" applyBorder="1" applyAlignment="1">
      <alignment horizontal="center" vertical="center" wrapText="1"/>
    </xf>
    <xf numFmtId="0" fontId="8" fillId="5" borderId="6" xfId="0" applyNumberFormat="1" applyFont="1" applyFill="1" applyBorder="1"/>
    <xf numFmtId="0" fontId="8" fillId="5" borderId="9" xfId="0" applyNumberFormat="1" applyFont="1" applyFill="1" applyBorder="1"/>
    <xf numFmtId="0" fontId="8" fillId="3" borderId="7" xfId="0" applyNumberFormat="1" applyFont="1" applyFill="1" applyBorder="1"/>
    <xf numFmtId="0" fontId="8" fillId="3" borderId="10" xfId="0" applyNumberFormat="1" applyFont="1" applyFill="1" applyBorder="1"/>
    <xf numFmtId="0" fontId="10" fillId="9" borderId="14" xfId="0" applyNumberFormat="1" applyFont="1" applyFill="1" applyBorder="1" applyAlignment="1">
      <alignment horizontal="center" vertical="center" wrapText="1"/>
    </xf>
    <xf numFmtId="0" fontId="0" fillId="9" borderId="19" xfId="0" applyNumberFormat="1" applyFont="1" applyFill="1" applyBorder="1"/>
    <xf numFmtId="0" fontId="0" fillId="9" borderId="12" xfId="0" applyNumberFormat="1" applyFont="1" applyFill="1" applyBorder="1"/>
    <xf numFmtId="0" fontId="0" fillId="9" borderId="19" xfId="0" applyNumberFormat="1" applyFont="1" applyFill="1" applyBorder="1"/>
    <xf numFmtId="0" fontId="0" fillId="9" borderId="16" xfId="0" applyNumberFormat="1" applyFont="1" applyFill="1" applyBorder="1"/>
    <xf numFmtId="0" fontId="0" fillId="9" borderId="12" xfId="0" applyNumberFormat="1" applyFont="1" applyFill="1" applyBorder="1"/>
    <xf numFmtId="0" fontId="0" fillId="9" borderId="19" xfId="0" applyNumberFormat="1" applyFont="1" applyFill="1" applyBorder="1"/>
    <xf numFmtId="0" fontId="0" fillId="9" borderId="16" xfId="0" applyNumberFormat="1" applyFont="1" applyFill="1" applyBorder="1"/>
    <xf numFmtId="0" fontId="6" fillId="9" borderId="21" xfId="0" applyNumberFormat="1" applyFont="1" applyFill="1" applyBorder="1" applyAlignment="1">
      <alignment horizontal="center" vertical="center" wrapText="1"/>
    </xf>
    <xf numFmtId="0" fontId="6" fillId="9" borderId="26" xfId="0" applyNumberFormat="1" applyFont="1" applyFill="1" applyBorder="1" applyAlignment="1">
      <alignment horizontal="center" vertical="center" wrapText="1"/>
    </xf>
    <xf numFmtId="0" fontId="6" fillId="9" borderId="28" xfId="0" applyNumberFormat="1" applyFont="1" applyFill="1" applyBorder="1" applyAlignment="1">
      <alignment horizontal="center" vertical="center" wrapText="1"/>
    </xf>
    <xf numFmtId="0" fontId="0" fillId="9" borderId="31" xfId="0" applyNumberFormat="1" applyFont="1" applyFill="1" applyBorder="1"/>
    <xf numFmtId="0" fontId="0" fillId="9" borderId="32" xfId="0" applyNumberFormat="1" applyFont="1" applyFill="1" applyBorder="1"/>
    <xf numFmtId="0" fontId="0" fillId="9" borderId="33" xfId="0" applyNumberFormat="1" applyFont="1" applyFill="1" applyBorder="1"/>
    <xf numFmtId="0" fontId="6" fillId="9" borderId="17" xfId="0" applyNumberFormat="1" applyFont="1" applyFill="1" applyBorder="1" applyAlignment="1">
      <alignment horizontal="center" vertical="center" wrapText="1"/>
    </xf>
    <xf numFmtId="0" fontId="6" fillId="9" borderId="34" xfId="0" applyNumberFormat="1" applyFont="1" applyFill="1" applyBorder="1" applyAlignment="1">
      <alignment horizontal="center" vertical="center" wrapText="1"/>
    </xf>
    <xf numFmtId="0" fontId="0" fillId="9" borderId="15" xfId="0" applyNumberFormat="1" applyFont="1" applyFill="1" applyBorder="1"/>
    <xf numFmtId="0" fontId="5" fillId="9" borderId="35" xfId="0" applyNumberFormat="1" applyFont="1" applyFill="1" applyBorder="1" applyAlignment="1">
      <alignment horizontal="center" vertical="center" wrapText="1"/>
    </xf>
    <xf numFmtId="0" fontId="0" fillId="9" borderId="37" xfId="0" applyNumberFormat="1" applyFont="1" applyFill="1" applyBorder="1"/>
    <xf numFmtId="0" fontId="0" fillId="9" borderId="38" xfId="0" applyNumberFormat="1" applyFont="1" applyFill="1" applyBorder="1"/>
    <xf numFmtId="0" fontId="8" fillId="10" borderId="31" xfId="0" applyNumberFormat="1" applyFont="1" applyFill="1" applyBorder="1"/>
    <xf numFmtId="0" fontId="8" fillId="10" borderId="32" xfId="0" applyNumberFormat="1" applyFont="1" applyFill="1" applyBorder="1"/>
    <xf numFmtId="0" fontId="8" fillId="10" borderId="33" xfId="0" applyNumberFormat="1" applyFont="1" applyFill="1" applyBorder="1"/>
    <xf numFmtId="0" fontId="8" fillId="10" borderId="6" xfId="0" applyNumberFormat="1" applyFont="1" applyFill="1" applyBorder="1"/>
    <xf numFmtId="0" fontId="8" fillId="10" borderId="11" xfId="0" applyNumberFormat="1" applyFont="1" applyFill="1" applyBorder="1"/>
    <xf numFmtId="0" fontId="8" fillId="10" borderId="7" xfId="0" applyNumberFormat="1" applyFont="1" applyFill="1" applyBorder="1"/>
    <xf numFmtId="0" fontId="8" fillId="10" borderId="9" xfId="0" applyNumberFormat="1" applyFont="1" applyFill="1" applyBorder="1"/>
    <xf numFmtId="0" fontId="8" fillId="10" borderId="8" xfId="0" applyNumberFormat="1" applyFont="1" applyFill="1" applyBorder="1"/>
    <xf numFmtId="0" fontId="8" fillId="10" borderId="10" xfId="0" applyNumberFormat="1" applyFont="1" applyFill="1" applyBorder="1"/>
    <xf numFmtId="0" fontId="10" fillId="10" borderId="21" xfId="0" applyNumberFormat="1" applyFont="1" applyFill="1" applyBorder="1" applyAlignment="1">
      <alignment horizontal="center" vertical="center" wrapText="1"/>
    </xf>
    <xf numFmtId="0" fontId="10" fillId="10" borderId="1" xfId="0" applyNumberFormat="1" applyFont="1" applyFill="1" applyBorder="1" applyAlignment="1">
      <alignment horizontal="center" vertical="center" wrapText="1"/>
    </xf>
    <xf numFmtId="0" fontId="10" fillId="10" borderId="20" xfId="0" applyNumberFormat="1" applyFont="1" applyFill="1" applyBorder="1" applyAlignment="1">
      <alignment horizontal="center" vertical="center" wrapText="1"/>
    </xf>
    <xf numFmtId="0" fontId="10" fillId="10" borderId="26" xfId="0" applyNumberFormat="1" applyFont="1" applyFill="1" applyBorder="1" applyAlignment="1">
      <alignment horizontal="center" vertical="center" wrapText="1"/>
    </xf>
    <xf numFmtId="0" fontId="10" fillId="10" borderId="28" xfId="0" applyNumberFormat="1" applyFont="1" applyFill="1" applyBorder="1" applyAlignment="1">
      <alignment horizontal="center" vertical="center" wrapText="1"/>
    </xf>
    <xf numFmtId="0" fontId="10" fillId="10" borderId="30" xfId="0" applyNumberFormat="1" applyFont="1" applyFill="1" applyBorder="1" applyAlignment="1">
      <alignment horizontal="center" vertical="center" wrapText="1"/>
    </xf>
    <xf numFmtId="0" fontId="8" fillId="10" borderId="15" xfId="0" applyNumberFormat="1" applyFont="1" applyFill="1" applyBorder="1"/>
    <xf numFmtId="0" fontId="8" fillId="10" borderId="12" xfId="0" applyNumberFormat="1" applyFont="1" applyFill="1" applyBorder="1"/>
    <xf numFmtId="0" fontId="8" fillId="10" borderId="16" xfId="0" applyNumberFormat="1" applyFont="1" applyFill="1" applyBorder="1"/>
    <xf numFmtId="0" fontId="10" fillId="10" borderId="13" xfId="0" applyNumberFormat="1" applyFont="1" applyFill="1" applyBorder="1" applyAlignment="1">
      <alignment horizontal="center" vertical="center" wrapText="1"/>
    </xf>
    <xf numFmtId="0" fontId="10" fillId="10" borderId="17" xfId="0" applyNumberFormat="1" applyFont="1" applyFill="1" applyBorder="1" applyAlignment="1">
      <alignment horizontal="center" vertical="center" wrapText="1"/>
    </xf>
    <xf numFmtId="0" fontId="10" fillId="10" borderId="34" xfId="0" applyNumberFormat="1" applyFont="1" applyFill="1" applyBorder="1" applyAlignment="1">
      <alignment horizontal="center" vertical="center" wrapText="1"/>
    </xf>
    <xf numFmtId="0" fontId="7" fillId="9" borderId="39" xfId="0" applyNumberFormat="1" applyFont="1" applyFill="1" applyBorder="1" applyAlignment="1">
      <alignment horizontal="center" vertical="center" wrapText="1"/>
    </xf>
    <xf numFmtId="0" fontId="7" fillId="9" borderId="40" xfId="0" applyNumberFormat="1" applyFont="1" applyFill="1" applyBorder="1" applyAlignment="1">
      <alignment horizontal="center" vertical="center" wrapText="1"/>
    </xf>
    <xf numFmtId="0" fontId="7" fillId="9" borderId="41" xfId="0" applyNumberFormat="1" applyFont="1" applyFill="1" applyBorder="1" applyAlignment="1">
      <alignment horizontal="center" vertical="center" wrapText="1"/>
    </xf>
    <xf numFmtId="0" fontId="5" fillId="9" borderId="18" xfId="0" applyNumberFormat="1" applyFont="1" applyFill="1" applyBorder="1" applyAlignment="1">
      <alignment horizontal="center" vertical="center" wrapText="1"/>
    </xf>
    <xf numFmtId="0" fontId="0" fillId="9" borderId="42" xfId="0" applyNumberFormat="1" applyFont="1" applyFill="1" applyBorder="1"/>
    <xf numFmtId="0" fontId="8" fillId="10" borderId="42" xfId="0" applyNumberFormat="1" applyFont="1" applyFill="1" applyBorder="1"/>
    <xf numFmtId="0" fontId="8" fillId="10" borderId="37" xfId="0" applyNumberFormat="1" applyFont="1" applyFill="1" applyBorder="1"/>
    <xf numFmtId="0" fontId="8" fillId="10" borderId="38" xfId="0" applyNumberFormat="1" applyFont="1" applyFill="1" applyBorder="1"/>
    <xf numFmtId="0" fontId="10" fillId="4" borderId="4" xfId="0" applyNumberFormat="1" applyFont="1" applyFill="1" applyBorder="1" applyAlignment="1">
      <alignment horizontal="center" vertical="center"/>
    </xf>
    <xf numFmtId="0" fontId="10" fillId="4" borderId="3" xfId="0" applyNumberFormat="1" applyFont="1" applyFill="1" applyBorder="1" applyAlignment="1">
      <alignment horizontal="center" vertical="center"/>
    </xf>
    <xf numFmtId="0" fontId="10" fillId="4" borderId="5" xfId="0" applyNumberFormat="1" applyFont="1" applyFill="1" applyBorder="1" applyAlignment="1">
      <alignment horizontal="center" vertical="center"/>
    </xf>
    <xf numFmtId="0" fontId="8" fillId="11" borderId="6" xfId="0" applyNumberFormat="1" applyFont="1" applyFill="1" applyBorder="1"/>
    <xf numFmtId="0" fontId="8" fillId="11" borderId="11" xfId="0" applyNumberFormat="1" applyFont="1" applyFill="1" applyBorder="1"/>
    <xf numFmtId="0" fontId="8" fillId="11" borderId="7" xfId="0" applyNumberFormat="1" applyFont="1" applyFill="1" applyBorder="1"/>
    <xf numFmtId="0" fontId="8" fillId="11" borderId="9" xfId="0" applyNumberFormat="1" applyFont="1" applyFill="1" applyBorder="1"/>
    <xf numFmtId="0" fontId="8" fillId="11" borderId="8" xfId="0" applyNumberFormat="1" applyFont="1" applyFill="1" applyBorder="1"/>
    <xf numFmtId="0" fontId="8" fillId="11" borderId="10" xfId="0" applyNumberFormat="1" applyFont="1" applyFill="1" applyBorder="1"/>
    <xf numFmtId="0" fontId="11" fillId="12" borderId="11" xfId="0" applyNumberFormat="1" applyFont="1" applyFill="1" applyBorder="1"/>
    <xf numFmtId="0" fontId="0" fillId="9" borderId="31" xfId="0" applyNumberFormat="1" applyFont="1" applyFill="1" applyBorder="1"/>
    <xf numFmtId="0" fontId="0" fillId="9" borderId="43" xfId="0" applyNumberFormat="1" applyFont="1" applyFill="1" applyBorder="1"/>
    <xf numFmtId="0" fontId="0" fillId="9" borderId="44" xfId="0" applyNumberFormat="1" applyFont="1" applyFill="1" applyBorder="1"/>
    <xf numFmtId="0" fontId="0" fillId="9" borderId="39" xfId="0" applyNumberFormat="1" applyFont="1" applyFill="1" applyBorder="1"/>
    <xf numFmtId="0" fontId="0" fillId="9" borderId="45" xfId="0" applyNumberFormat="1" applyFont="1" applyFill="1" applyBorder="1"/>
    <xf numFmtId="0" fontId="0" fillId="9" borderId="46" xfId="0" applyNumberFormat="1" applyFont="1" applyFill="1" applyBorder="1"/>
    <xf numFmtId="0" fontId="6" fillId="9" borderId="36" xfId="0" applyNumberFormat="1" applyFont="1" applyFill="1" applyBorder="1" applyAlignment="1">
      <alignment horizontal="center" vertical="center" wrapText="1"/>
    </xf>
    <xf numFmtId="0" fontId="6" fillId="9" borderId="47" xfId="0" applyNumberFormat="1" applyFont="1" applyFill="1" applyBorder="1" applyAlignment="1">
      <alignment horizontal="center" vertical="center" wrapText="1"/>
    </xf>
    <xf numFmtId="0" fontId="6" fillId="9" borderId="48" xfId="0" applyNumberFormat="1" applyFont="1" applyFill="1" applyBorder="1" applyAlignment="1">
      <alignment horizontal="center" vertical="center" wrapText="1"/>
    </xf>
    <xf numFmtId="0" fontId="9" fillId="9" borderId="14" xfId="0" applyNumberFormat="1" applyFont="1" applyFill="1" applyBorder="1"/>
    <xf numFmtId="0" fontId="9" fillId="11" borderId="14" xfId="0" applyNumberFormat="1" applyFont="1" applyFill="1" applyBorder="1"/>
    <xf numFmtId="0" fontId="8" fillId="11" borderId="15" xfId="0" applyNumberFormat="1" applyFont="1" applyFill="1" applyBorder="1"/>
    <xf numFmtId="0" fontId="8" fillId="11" borderId="12" xfId="0" applyNumberFormat="1" applyFont="1" applyFill="1" applyBorder="1"/>
    <xf numFmtId="0" fontId="8" fillId="11" borderId="16" xfId="0" applyNumberFormat="1" applyFont="1" applyFill="1" applyBorder="1"/>
    <xf numFmtId="0" fontId="12" fillId="9" borderId="49" xfId="0" applyNumberFormat="1" applyFont="1" applyFill="1" applyBorder="1"/>
    <xf numFmtId="0" fontId="12" fillId="9" borderId="50" xfId="0" applyNumberFormat="1" applyFont="1" applyFill="1" applyBorder="1"/>
    <xf numFmtId="0" fontId="12" fillId="9" borderId="51" xfId="0" applyNumberFormat="1" applyFont="1" applyFill="1" applyBorder="1"/>
    <xf numFmtId="0" fontId="8" fillId="11" borderId="22" xfId="0" applyNumberFormat="1" applyFont="1" applyFill="1" applyBorder="1"/>
    <xf numFmtId="0" fontId="8" fillId="11" borderId="23" xfId="0" applyNumberFormat="1" applyFont="1" applyFill="1" applyBorder="1"/>
    <xf numFmtId="0" fontId="8" fillId="11" borderId="24" xfId="0" applyNumberFormat="1" applyFont="1" applyFill="1" applyBorder="1"/>
    <xf numFmtId="0" fontId="0" fillId="2" borderId="52" xfId="0" applyFill="1" applyBorder="1"/>
    <xf numFmtId="0" fontId="0" fillId="2" borderId="53" xfId="0" applyFill="1" applyBorder="1"/>
    <xf numFmtId="0" fontId="0" fillId="2" borderId="54" xfId="0" applyFill="1" applyBorder="1"/>
    <xf numFmtId="0" fontId="0" fillId="2" borderId="25" xfId="0" applyFill="1" applyBorder="1"/>
    <xf numFmtId="0" fontId="0" fillId="2" borderId="27" xfId="0" applyFill="1" applyBorder="1"/>
    <xf numFmtId="0" fontId="0" fillId="2" borderId="29" xfId="0" applyFill="1" applyBorder="1"/>
    <xf numFmtId="0" fontId="13" fillId="2" borderId="55" xfId="0" applyFont="1" applyFill="1" applyBorder="1"/>
    <xf numFmtId="0" fontId="13" fillId="2" borderId="56" xfId="0" applyFont="1" applyFill="1" applyBorder="1"/>
    <xf numFmtId="0" fontId="13" fillId="2" borderId="57" xfId="0" applyFont="1" applyFill="1" applyBorder="1"/>
    <xf numFmtId="0" fontId="14" fillId="12" borderId="11" xfId="1"/>
    <xf numFmtId="0" fontId="3" fillId="12" borderId="11" xfId="1" applyFont="1"/>
    <xf numFmtId="0" fontId="0" fillId="12" borderId="12" xfId="1" applyFont="1" applyBorder="1"/>
    <xf numFmtId="0" fontId="14" fillId="12" borderId="58" xfId="1" applyBorder="1"/>
    <xf numFmtId="0" fontId="3" fillId="12" borderId="58" xfId="1" applyFont="1" applyBorder="1"/>
    <xf numFmtId="0" fontId="15" fillId="12" borderId="11" xfId="5"/>
    <xf numFmtId="0" fontId="16" fillId="12" borderId="11" xfId="5" applyFont="1"/>
    <xf numFmtId="44" fontId="17" fillId="12" borderId="11" xfId="4" applyFont="1"/>
    <xf numFmtId="0" fontId="17" fillId="12" borderId="11" xfId="5" applyFont="1"/>
    <xf numFmtId="44" fontId="16" fillId="12" borderId="11" xfId="4" applyFont="1"/>
    <xf numFmtId="37" fontId="16" fillId="12" borderId="11" xfId="4" applyNumberFormat="1" applyFont="1"/>
    <xf numFmtId="0" fontId="18" fillId="12" borderId="11" xfId="5" applyFont="1"/>
    <xf numFmtId="0" fontId="3" fillId="12" borderId="11" xfId="1" applyNumberFormat="1" applyFont="1" applyAlignment="1">
      <alignment horizontal="right"/>
    </xf>
    <xf numFmtId="44" fontId="15" fillId="12" borderId="11" xfId="6" applyFont="1" applyFill="1" applyBorder="1"/>
    <xf numFmtId="0" fontId="15" fillId="12" borderId="11" xfId="5" applyFont="1" applyBorder="1"/>
    <xf numFmtId="0" fontId="3" fillId="12" borderId="58" xfId="1" applyNumberFormat="1" applyFont="1" applyBorder="1" applyAlignment="1">
      <alignment horizontal="right"/>
    </xf>
    <xf numFmtId="0" fontId="3" fillId="12" borderId="11" xfId="6" applyNumberFormat="1" applyFont="1" applyFill="1" applyBorder="1" applyAlignment="1">
      <alignment horizontal="right"/>
    </xf>
    <xf numFmtId="0" fontId="1" fillId="12" borderId="11" xfId="1" applyFont="1"/>
    <xf numFmtId="0" fontId="8" fillId="8" borderId="12" xfId="0" applyNumberFormat="1" applyFont="1" applyFill="1" applyBorder="1" applyAlignment="1">
      <alignment horizontal="right"/>
    </xf>
    <xf numFmtId="0" fontId="8" fillId="8" borderId="16" xfId="0" applyNumberFormat="1" applyFont="1" applyFill="1" applyBorder="1" applyAlignment="1">
      <alignment horizontal="right"/>
    </xf>
    <xf numFmtId="0" fontId="0" fillId="0" borderId="0" xfId="0"/>
    <xf numFmtId="0" fontId="19" fillId="12" borderId="11" xfId="5" applyFont="1" applyBorder="1"/>
    <xf numFmtId="0" fontId="19" fillId="12" borderId="11" xfId="5" applyFont="1"/>
    <xf numFmtId="0" fontId="1" fillId="0" borderId="11" xfId="1" applyFont="1" applyFill="1"/>
    <xf numFmtId="0" fontId="3" fillId="0" borderId="11" xfId="1" applyFont="1" applyFill="1"/>
    <xf numFmtId="0" fontId="2" fillId="0" borderId="11" xfId="1" applyFont="1" applyFill="1"/>
    <xf numFmtId="0" fontId="15" fillId="12" borderId="11" xfId="5" applyFont="1"/>
    <xf numFmtId="44" fontId="15" fillId="12" borderId="11" xfId="4" applyFont="1"/>
    <xf numFmtId="2" fontId="15" fillId="12" borderId="11" xfId="5" applyNumberFormat="1" applyFont="1"/>
    <xf numFmtId="44" fontId="15" fillId="12" borderId="11" xfId="5" applyNumberFormat="1" applyFont="1"/>
    <xf numFmtId="0" fontId="15" fillId="12" borderId="61" xfId="5" applyFont="1" applyBorder="1"/>
    <xf numFmtId="0" fontId="15" fillId="12" borderId="60" xfId="5" applyFont="1" applyBorder="1"/>
    <xf numFmtId="0" fontId="15" fillId="12" borderId="59" xfId="5" applyFont="1" applyBorder="1"/>
    <xf numFmtId="0" fontId="15" fillId="12" borderId="6" xfId="5" applyFont="1" applyBorder="1"/>
    <xf numFmtId="0" fontId="15" fillId="12" borderId="7" xfId="5" applyFont="1" applyBorder="1"/>
    <xf numFmtId="0" fontId="15" fillId="12" borderId="11" xfId="4" applyNumberFormat="1" applyFont="1"/>
    <xf numFmtId="2" fontId="15" fillId="12" borderId="11" xfId="4" applyNumberFormat="1" applyFont="1"/>
    <xf numFmtId="1" fontId="15" fillId="12" borderId="8" xfId="4" applyNumberFormat="1" applyFont="1" applyBorder="1"/>
    <xf numFmtId="44" fontId="15" fillId="12" borderId="8" xfId="4" applyFont="1" applyBorder="1"/>
    <xf numFmtId="44" fontId="15" fillId="12" borderId="10" xfId="4" applyFont="1" applyBorder="1"/>
    <xf numFmtId="1" fontId="15" fillId="12" borderId="11" xfId="4" applyNumberFormat="1" applyFont="1"/>
    <xf numFmtId="164" fontId="15" fillId="12" borderId="11" xfId="4" applyNumberFormat="1" applyFont="1"/>
    <xf numFmtId="0" fontId="15" fillId="12" borderId="65" xfId="5" applyFont="1" applyBorder="1"/>
    <xf numFmtId="44" fontId="15" fillId="12" borderId="64" xfId="5" applyNumberFormat="1" applyFont="1" applyBorder="1"/>
    <xf numFmtId="0" fontId="15" fillId="12" borderId="63" xfId="5" applyFont="1" applyBorder="1"/>
    <xf numFmtId="44" fontId="15" fillId="12" borderId="62" xfId="5" applyNumberFormat="1" applyFont="1" applyBorder="1"/>
    <xf numFmtId="2" fontId="15" fillId="12" borderId="9" xfId="4" applyNumberFormat="1" applyFont="1" applyBorder="1"/>
    <xf numFmtId="2" fontId="15" fillId="12" borderId="63" xfId="5" applyNumberFormat="1" applyFont="1" applyBorder="1"/>
    <xf numFmtId="0" fontId="15" fillId="0" borderId="0" xfId="0" applyFont="1"/>
    <xf numFmtId="0" fontId="20" fillId="12" borderId="11" xfId="5" applyFont="1"/>
    <xf numFmtId="2" fontId="20" fillId="12" borderId="11" xfId="5" applyNumberFormat="1" applyFont="1"/>
    <xf numFmtId="2" fontId="20" fillId="0" borderId="2" xfId="5" applyNumberFormat="1" applyFont="1" applyFill="1" applyBorder="1"/>
    <xf numFmtId="44" fontId="21" fillId="12" borderId="11" xfId="4" applyFont="1"/>
    <xf numFmtId="44" fontId="22" fillId="12" borderId="11" xfId="4" applyFont="1"/>
    <xf numFmtId="44" fontId="21" fillId="12" borderId="2" xfId="4" applyFont="1" applyBorder="1"/>
    <xf numFmtId="0" fontId="23" fillId="12" borderId="11" xfId="5" applyFont="1"/>
    <xf numFmtId="0" fontId="24" fillId="12" borderId="11" xfId="5" applyFont="1"/>
    <xf numFmtId="2" fontId="25" fillId="12" borderId="11" xfId="5" applyNumberFormat="1" applyFont="1"/>
    <xf numFmtId="0" fontId="25" fillId="12" borderId="11" xfId="5" applyFont="1"/>
    <xf numFmtId="2" fontId="25" fillId="0" borderId="2" xfId="5" applyNumberFormat="1" applyFont="1" applyFill="1" applyBorder="1"/>
    <xf numFmtId="44" fontId="21" fillId="12" borderId="11" xfId="4" applyNumberFormat="1" applyFont="1"/>
    <xf numFmtId="164" fontId="21" fillId="12" borderId="11" xfId="4" applyNumberFormat="1" applyFont="1"/>
    <xf numFmtId="44" fontId="21" fillId="12" borderId="2" xfId="4" applyNumberFormat="1" applyFont="1" applyBorder="1"/>
    <xf numFmtId="0" fontId="3" fillId="0" borderId="11" xfId="1" applyNumberFormat="1" applyFont="1" applyFill="1" applyAlignment="1">
      <alignment horizontal="right"/>
    </xf>
    <xf numFmtId="0" fontId="14" fillId="0" borderId="11" xfId="1" applyFill="1"/>
    <xf numFmtId="0" fontId="0" fillId="3" borderId="0" xfId="0" applyFill="1"/>
    <xf numFmtId="0" fontId="0" fillId="2" borderId="0" xfId="0" applyFill="1"/>
    <xf numFmtId="0" fontId="0" fillId="4" borderId="0" xfId="0" applyFill="1"/>
    <xf numFmtId="0" fontId="0" fillId="9" borderId="42" xfId="0" applyNumberFormat="1" applyFont="1" applyFill="1" applyBorder="1"/>
    <xf numFmtId="0" fontId="0" fillId="9" borderId="37" xfId="0" applyNumberFormat="1" applyFont="1" applyFill="1" applyBorder="1"/>
    <xf numFmtId="0" fontId="0" fillId="9" borderId="38" xfId="0" applyNumberFormat="1" applyFont="1" applyFill="1" applyBorder="1"/>
    <xf numFmtId="0" fontId="0" fillId="9" borderId="22" xfId="0" applyNumberFormat="1" applyFont="1" applyFill="1" applyBorder="1"/>
    <xf numFmtId="0" fontId="0" fillId="9" borderId="23" xfId="0" applyNumberFormat="1" applyFont="1" applyFill="1" applyBorder="1"/>
    <xf numFmtId="0" fontId="0" fillId="9" borderId="24" xfId="0" applyNumberFormat="1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8" xfId="0" applyFill="1" applyBorder="1"/>
    <xf numFmtId="0" fontId="0" fillId="2" borderId="10" xfId="0" applyFill="1" applyBorder="1"/>
    <xf numFmtId="0" fontId="5" fillId="9" borderId="36" xfId="0" applyNumberFormat="1" applyFont="1" applyFill="1" applyBorder="1" applyAlignment="1">
      <alignment horizontal="center" vertical="center" wrapText="1"/>
    </xf>
    <xf numFmtId="0" fontId="7" fillId="9" borderId="13" xfId="0" applyNumberFormat="1" applyFont="1" applyFill="1" applyBorder="1" applyAlignment="1">
      <alignment horizontal="center" vertical="center" wrapText="1"/>
    </xf>
    <xf numFmtId="0" fontId="7" fillId="9" borderId="16" xfId="0" applyNumberFormat="1" applyFont="1" applyFill="1" applyBorder="1" applyAlignment="1">
      <alignment horizontal="center" vertical="center" wrapText="1"/>
    </xf>
    <xf numFmtId="0" fontId="5" fillId="9" borderId="35" xfId="0" applyNumberFormat="1" applyFont="1" applyFill="1" applyBorder="1" applyAlignment="1">
      <alignment horizontal="center" vertical="center" wrapText="1"/>
    </xf>
    <xf numFmtId="0" fontId="10" fillId="10" borderId="22" xfId="0" applyNumberFormat="1" applyFont="1" applyFill="1" applyBorder="1" applyAlignment="1">
      <alignment horizontal="center" vertical="center" wrapText="1"/>
    </xf>
    <xf numFmtId="0" fontId="8" fillId="10" borderId="23" xfId="0" applyNumberFormat="1" applyFont="1" applyFill="1" applyBorder="1"/>
    <xf numFmtId="0" fontId="8" fillId="10" borderId="24" xfId="0" applyNumberFormat="1" applyFont="1" applyFill="1" applyBorder="1"/>
    <xf numFmtId="0" fontId="7" fillId="9" borderId="23" xfId="0" applyNumberFormat="1" applyFont="1" applyFill="1" applyBorder="1" applyAlignment="1">
      <alignment horizontal="center" vertical="center" wrapText="1"/>
    </xf>
    <xf numFmtId="0" fontId="7" fillId="9" borderId="40" xfId="0" applyNumberFormat="1" applyFont="1" applyFill="1" applyBorder="1" applyAlignment="1">
      <alignment horizontal="center" vertical="center" wrapText="1"/>
    </xf>
    <xf numFmtId="0" fontId="7" fillId="9" borderId="24" xfId="0" applyNumberFormat="1" applyFont="1" applyFill="1" applyBorder="1" applyAlignment="1">
      <alignment horizontal="center" vertical="center" wrapText="1"/>
    </xf>
    <xf numFmtId="0" fontId="7" fillId="9" borderId="41" xfId="0" applyNumberFormat="1" applyFont="1" applyFill="1" applyBorder="1" applyAlignment="1">
      <alignment horizontal="center" vertical="center" wrapText="1"/>
    </xf>
    <xf numFmtId="0" fontId="7" fillId="9" borderId="22" xfId="0" applyNumberFormat="1" applyFont="1" applyFill="1" applyBorder="1" applyAlignment="1">
      <alignment horizontal="center" vertical="center" wrapText="1"/>
    </xf>
    <xf numFmtId="0" fontId="5" fillId="0" borderId="0" xfId="0" applyFont="1"/>
    <xf numFmtId="0" fontId="0" fillId="9" borderId="16" xfId="0" applyNumberFormat="1" applyFont="1" applyFill="1" applyBorder="1"/>
    <xf numFmtId="0" fontId="7" fillId="9" borderId="39" xfId="0" applyNumberFormat="1" applyFont="1" applyFill="1" applyBorder="1" applyAlignment="1">
      <alignment horizontal="center" vertical="center" wrapText="1"/>
    </xf>
    <xf numFmtId="0" fontId="0" fillId="5" borderId="0" xfId="0" applyFill="1"/>
  </cellXfs>
  <cellStyles count="7">
    <cellStyle name="Currency" xfId="6" builtinId="4"/>
    <cellStyle name="Currency 2" xfId="2" xr:uid="{728E40A3-45BD-4ADB-B6D7-E18651B673FD}"/>
    <cellStyle name="Currency 2 2" xfId="4" xr:uid="{4363441D-7E64-40F0-BEE0-A2E980B61076}"/>
    <cellStyle name="Normal" xfId="0" builtinId="0"/>
    <cellStyle name="Normal 2" xfId="1" xr:uid="{16D4F1E3-3E74-4BEB-A886-06D76DB88C47}"/>
    <cellStyle name="Normal 2 2" xfId="5" xr:uid="{CE9556D9-3403-4339-B3FC-A0CF5F542FF8}"/>
    <cellStyle name="Normal 3" xfId="3" xr:uid="{EDFBB71B-EAA6-4CF8-82C3-5716382E858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Cost-Effectiveness Analysis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/>
          </c:tx>
          <c:spPr>
            <a:ln w="19050">
              <a:noFill/>
            </a:ln>
          </c:spPr>
          <c:marker>
            <c:symbol val="square"/>
            <c:size val="5"/>
          </c:marker>
          <c:dPt>
            <c:idx val="0"/>
            <c:bubble3D val="0"/>
            <c:spPr>
              <a:ln w="254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1FD-4D1E-AC00-50FB25F53EF4}"/>
              </c:ext>
            </c:extLst>
          </c:dPt>
          <c:xVal>
            <c:numRef>
              <c:f>'Time Discounting'!$J$22</c:f>
              <c:numCache>
                <c:formatCode>General</c:formatCode>
                <c:ptCount val="1"/>
              </c:numCache>
            </c:numRef>
          </c:xVal>
          <c:yVal>
            <c:numRef>
              <c:f>'Time Discounting'!$H$22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D6-461C-AF70-1ABC13E6F2A9}"/>
            </c:ext>
          </c:extLst>
        </c:ser>
        <c:ser>
          <c:idx val="2"/>
          <c:order val="1"/>
          <c:tx>
            <c:v/>
          </c:tx>
          <c:spPr>
            <a:ln w="25400">
              <a:noFill/>
            </a:ln>
            <a:effectLst/>
          </c:spPr>
          <c:marker>
            <c:symbol val="triangle"/>
            <c:size val="5"/>
          </c:marker>
          <c:xVal>
            <c:numRef>
              <c:f>'Time Discounting'!$J$23</c:f>
              <c:numCache>
                <c:formatCode>General</c:formatCode>
                <c:ptCount val="1"/>
              </c:numCache>
            </c:numRef>
          </c:xVal>
          <c:yVal>
            <c:numRef>
              <c:f>'Time Discounting'!$H$23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D6-461C-AF70-1ABC13E6F2A9}"/>
            </c:ext>
          </c:extLst>
        </c:ser>
        <c:ser>
          <c:idx val="0"/>
          <c:order val="2"/>
          <c:tx>
            <c:v>Not Dominated</c:v>
          </c:tx>
          <c:marker>
            <c:symbol val="none"/>
          </c:marker>
          <c:xVal>
            <c:numRef>
              <c:f>'Time Discounting'!$J$22</c:f>
              <c:numCache>
                <c:formatCode>General</c:formatCode>
                <c:ptCount val="1"/>
              </c:numCache>
            </c:numRef>
          </c:xVal>
          <c:yVal>
            <c:numRef>
              <c:f>'Time Discounting'!$H$22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D6-461C-AF70-1ABC13E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055776"/>
        <c:axId val="532612992"/>
      </c:scatterChart>
      <c:valAx>
        <c:axId val="821055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Effectiveness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ln>
            <a:solidFill>
              <a:srgbClr val="808080"/>
            </a:solidFill>
            <a:prstDash val="solid"/>
          </a:ln>
        </c:spPr>
        <c:crossAx val="532612992"/>
        <c:crosses val="autoZero"/>
        <c:crossBetween val="midCat"/>
      </c:valAx>
      <c:valAx>
        <c:axId val="53261299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ln>
            <a:solidFill>
              <a:srgbClr val="808080"/>
            </a:solidFill>
            <a:prstDash val="solid"/>
          </a:ln>
        </c:spPr>
        <c:crossAx val="8210557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Recovered with no sequelae</c:v>
          </c:tx>
          <c:marker>
            <c:symbol val="none"/>
          </c:marker>
          <c:val>
            <c:numRef>
              <c:f>'1. Strategy Calcs'!$D$8:$D$90</c:f>
              <c:numCache>
                <c:formatCode>General</c:formatCode>
                <c:ptCount val="83"/>
                <c:pt idx="0">
                  <c:v>0.71499999999999997</c:v>
                </c:pt>
                <c:pt idx="1">
                  <c:v>0.71448870350000004</c:v>
                </c:pt>
                <c:pt idx="2">
                  <c:v>0.71392032773636582</c:v>
                </c:pt>
                <c:pt idx="3">
                  <c:v>0.71329157810372845</c:v>
                </c:pt>
                <c:pt idx="4">
                  <c:v>0.71260503495980365</c:v>
                </c:pt>
                <c:pt idx="5">
                  <c:v>0.71188038689975308</c:v>
                </c:pt>
                <c:pt idx="6">
                  <c:v>0.71114458733185348</c:v>
                </c:pt>
                <c:pt idx="7">
                  <c:v>0.71041737087684798</c:v>
                </c:pt>
                <c:pt idx="8">
                  <c:v>0.70970489329559561</c:v>
                </c:pt>
                <c:pt idx="9">
                  <c:v>0.70900264030367965</c:v>
                </c:pt>
                <c:pt idx="10">
                  <c:v>0.70830604520958129</c:v>
                </c:pt>
                <c:pt idx="11">
                  <c:v>0.7076062388369142</c:v>
                </c:pt>
                <c:pt idx="12">
                  <c:v>0.70689481152438749</c:v>
                </c:pt>
                <c:pt idx="13">
                  <c:v>0.70616663917903622</c:v>
                </c:pt>
                <c:pt idx="14">
                  <c:v>0.7054181025415065</c:v>
                </c:pt>
                <c:pt idx="15">
                  <c:v>0.7046429185886236</c:v>
                </c:pt>
                <c:pt idx="16">
                  <c:v>0.70383532733962917</c:v>
                </c:pt>
                <c:pt idx="17">
                  <c:v>0.70298995072796155</c:v>
                </c:pt>
                <c:pt idx="18">
                  <c:v>0.70210109023426104</c:v>
                </c:pt>
                <c:pt idx="19">
                  <c:v>0.70115999393291106</c:v>
                </c:pt>
                <c:pt idx="20">
                  <c:v>0.70015488108160828</c:v>
                </c:pt>
                <c:pt idx="21">
                  <c:v>0.69907076126374157</c:v>
                </c:pt>
                <c:pt idx="22">
                  <c:v>0.69789254740270767</c:v>
                </c:pt>
                <c:pt idx="23">
                  <c:v>0.69661149584269522</c:v>
                </c:pt>
                <c:pt idx="24">
                  <c:v>0.69521855149560818</c:v>
                </c:pt>
                <c:pt idx="25">
                  <c:v>0.69369755234864616</c:v>
                </c:pt>
                <c:pt idx="26">
                  <c:v>0.69203288633227511</c:v>
                </c:pt>
                <c:pt idx="27">
                  <c:v>0.69021387789055066</c:v>
                </c:pt>
                <c:pt idx="28">
                  <c:v>0.6882371743656599</c:v>
                </c:pt>
                <c:pt idx="29">
                  <c:v>0.68609889028862325</c:v>
                </c:pt>
                <c:pt idx="30">
                  <c:v>0.68378714868768475</c:v>
                </c:pt>
                <c:pt idx="31">
                  <c:v>0.68128387231505405</c:v>
                </c:pt>
                <c:pt idx="32">
                  <c:v>0.67856990988129984</c:v>
                </c:pt>
                <c:pt idx="33">
                  <c:v>0.67562708789612658</c:v>
                </c:pt>
                <c:pt idx="34">
                  <c:v>0.67244562750193249</c:v>
                </c:pt>
                <c:pt idx="35">
                  <c:v>0.66902200507863185</c:v>
                </c:pt>
                <c:pt idx="36">
                  <c:v>0.66535971172063091</c:v>
                </c:pt>
                <c:pt idx="37">
                  <c:v>0.66145864119484166</c:v>
                </c:pt>
                <c:pt idx="38">
                  <c:v>0.65730818665893642</c:v>
                </c:pt>
                <c:pt idx="39">
                  <c:v>0.65288732898792434</c:v>
                </c:pt>
                <c:pt idx="40">
                  <c:v>0.64817328660643281</c:v>
                </c:pt>
                <c:pt idx="41">
                  <c:v>0.64313535973628433</c:v>
                </c:pt>
                <c:pt idx="42">
                  <c:v>0.63774003288992065</c:v>
                </c:pt>
                <c:pt idx="43">
                  <c:v>0.63194897074726042</c:v>
                </c:pt>
                <c:pt idx="44">
                  <c:v>0.62573097204448991</c:v>
                </c:pt>
                <c:pt idx="45">
                  <c:v>0.61906236935612013</c:v>
                </c:pt>
                <c:pt idx="46">
                  <c:v>0.61192235161291442</c:v>
                </c:pt>
                <c:pt idx="47">
                  <c:v>0.60427858474997687</c:v>
                </c:pt>
                <c:pt idx="48">
                  <c:v>0.59606069813666951</c:v>
                </c:pt>
                <c:pt idx="49">
                  <c:v>0.58728531372049209</c:v>
                </c:pt>
                <c:pt idx="50">
                  <c:v>0.57791294485588951</c:v>
                </c:pt>
                <c:pt idx="51">
                  <c:v>0.56792204365651533</c:v>
                </c:pt>
                <c:pt idx="52">
                  <c:v>0.55727049535112427</c:v>
                </c:pt>
                <c:pt idx="53">
                  <c:v>0.54588880275407292</c:v>
                </c:pt>
                <c:pt idx="54">
                  <c:v>0.53366913649330328</c:v>
                </c:pt>
                <c:pt idx="55">
                  <c:v>0.52049898270835326</c:v>
                </c:pt>
                <c:pt idx="56">
                  <c:v>0.50627889845086271</c:v>
                </c:pt>
                <c:pt idx="57">
                  <c:v>0.49093910347881015</c:v>
                </c:pt>
                <c:pt idx="58">
                  <c:v>0.47442607216983829</c:v>
                </c:pt>
                <c:pt idx="59">
                  <c:v>0.45677006868100162</c:v>
                </c:pt>
                <c:pt idx="60">
                  <c:v>0.43796927562307097</c:v>
                </c:pt>
                <c:pt idx="61">
                  <c:v>0.41804018448668406</c:v>
                </c:pt>
                <c:pt idx="62">
                  <c:v>0.39702078957854597</c:v>
                </c:pt>
                <c:pt idx="63">
                  <c:v>0.37497398692077555</c:v>
                </c:pt>
                <c:pt idx="64">
                  <c:v>0.35415145644267271</c:v>
                </c:pt>
                <c:pt idx="65">
                  <c:v>0.33448521357553723</c:v>
                </c:pt>
                <c:pt idx="66">
                  <c:v>0.31591104897455952</c:v>
                </c:pt>
                <c:pt idx="67">
                  <c:v>0.29836831887837284</c:v>
                </c:pt>
                <c:pt idx="68">
                  <c:v>0.28179974711006545</c:v>
                </c:pt>
                <c:pt idx="69">
                  <c:v>0.26615123807319524</c:v>
                </c:pt>
                <c:pt idx="70">
                  <c:v>0.25137170013224786</c:v>
                </c:pt>
                <c:pt idx="71">
                  <c:v>0.23741287880088405</c:v>
                </c:pt>
                <c:pt idx="72">
                  <c:v>0.22422919919334369</c:v>
                </c:pt>
                <c:pt idx="73">
                  <c:v>0.2117776172246178</c:v>
                </c:pt>
                <c:pt idx="74">
                  <c:v>0.20001747907356443</c:v>
                </c:pt>
                <c:pt idx="75">
                  <c:v>0.18891038845012195</c:v>
                </c:pt>
                <c:pt idx="76">
                  <c:v>0.17842008123325362</c:v>
                </c:pt>
                <c:pt idx="77">
                  <c:v>0.1685123070703223</c:v>
                </c:pt>
                <c:pt idx="78">
                  <c:v>0.15915471755132307</c:v>
                </c:pt>
                <c:pt idx="79">
                  <c:v>0.15031676059286758</c:v>
                </c:pt>
                <c:pt idx="80">
                  <c:v>0.14196958068708929</c:v>
                </c:pt>
                <c:pt idx="81">
                  <c:v>0.13408592468978681</c:v>
                </c:pt>
                <c:pt idx="82">
                  <c:v>0.12664005284020813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72-4BD8-9D21-C5B9EDE05120}"/>
            </c:ext>
          </c:extLst>
        </c:ser>
        <c:ser>
          <c:idx val="1"/>
          <c:order val="1"/>
          <c:tx>
            <c:v>Recovered with skin scarring</c:v>
          </c:tx>
          <c:marker>
            <c:symbol val="none"/>
          </c:marker>
          <c:val>
            <c:numRef>
              <c:f>'1. Strategy Calcs'!$E$8:$E$90</c:f>
              <c:numCache>
                <c:formatCode>General</c:formatCode>
                <c:ptCount val="83"/>
                <c:pt idx="0">
                  <c:v>7.5999999999999998E-2</c:v>
                </c:pt>
                <c:pt idx="1">
                  <c:v>7.5945652399999994E-2</c:v>
                </c:pt>
                <c:pt idx="2">
                  <c:v>7.5885237633515804E-2</c:v>
                </c:pt>
                <c:pt idx="3">
                  <c:v>7.581840550473197E-2</c:v>
                </c:pt>
                <c:pt idx="4">
                  <c:v>7.5745430289433674E-2</c:v>
                </c:pt>
                <c:pt idx="5">
                  <c:v>7.5668404761372349E-2</c:v>
                </c:pt>
                <c:pt idx="6">
                  <c:v>7.5590193898210992E-2</c:v>
                </c:pt>
                <c:pt idx="7">
                  <c:v>7.5512895365930685E-2</c:v>
                </c:pt>
                <c:pt idx="8">
                  <c:v>7.5437163483168188E-2</c:v>
                </c:pt>
                <c:pt idx="9">
                  <c:v>7.5362518409901588E-2</c:v>
                </c:pt>
                <c:pt idx="10">
                  <c:v>7.5288474735563854E-2</c:v>
                </c:pt>
                <c:pt idx="11">
                  <c:v>7.5214089722525121E-2</c:v>
                </c:pt>
                <c:pt idx="12">
                  <c:v>7.5138469476718095E-2</c:v>
                </c:pt>
                <c:pt idx="13">
                  <c:v>7.506106933931013E-2</c:v>
                </c:pt>
                <c:pt idx="14">
                  <c:v>7.4981504605810462E-2</c:v>
                </c:pt>
                <c:pt idx="15">
                  <c:v>7.4899107430399139E-2</c:v>
                </c:pt>
                <c:pt idx="16">
                  <c:v>7.4813265563373157E-2</c:v>
                </c:pt>
                <c:pt idx="17">
                  <c:v>7.4723407350104992E-2</c:v>
                </c:pt>
                <c:pt idx="18">
                  <c:v>7.462892707385152E-2</c:v>
                </c:pt>
                <c:pt idx="19">
                  <c:v>7.4528894460001729E-2</c:v>
                </c:pt>
                <c:pt idx="20">
                  <c:v>7.4422057289793314E-2</c:v>
                </c:pt>
                <c:pt idx="21">
                  <c:v>7.43068221762858E-2</c:v>
                </c:pt>
                <c:pt idx="22">
                  <c:v>7.4181585458189897E-2</c:v>
                </c:pt>
                <c:pt idx="23">
                  <c:v>7.4045417739922834E-2</c:v>
                </c:pt>
                <c:pt idx="24">
                  <c:v>7.3897356522610091E-2</c:v>
                </c:pt>
                <c:pt idx="25">
                  <c:v>7.3735683886009928E-2</c:v>
                </c:pt>
                <c:pt idx="26">
                  <c:v>7.3558740365388675E-2</c:v>
                </c:pt>
                <c:pt idx="27">
                  <c:v>7.3365391216338255E-2</c:v>
                </c:pt>
                <c:pt idx="28">
                  <c:v>7.3155280072433784E-2</c:v>
                </c:pt>
                <c:pt idx="29">
                  <c:v>7.2927993932776741E-2</c:v>
                </c:pt>
                <c:pt idx="30">
                  <c:v>7.2682270350019645E-2</c:v>
                </c:pt>
                <c:pt idx="31">
                  <c:v>7.2416187826495254E-2</c:v>
                </c:pt>
                <c:pt idx="32">
                  <c:v>7.2127710700669631E-2</c:v>
                </c:pt>
                <c:pt idx="33">
                  <c:v>7.181490724490297E-2</c:v>
                </c:pt>
                <c:pt idx="34">
                  <c:v>7.1476738028177444E-2</c:v>
                </c:pt>
                <c:pt idx="35">
                  <c:v>7.1112828511854589E-2</c:v>
                </c:pt>
                <c:pt idx="36">
                  <c:v>7.0723549777297848E-2</c:v>
                </c:pt>
                <c:pt idx="37">
                  <c:v>7.0308890532598575E-2</c:v>
                </c:pt>
                <c:pt idx="38">
                  <c:v>6.9867723337173684E-2</c:v>
                </c:pt>
                <c:pt idx="39">
                  <c:v>6.9397813990324853E-2</c:v>
                </c:pt>
                <c:pt idx="40">
                  <c:v>6.8896740953970512E-2</c:v>
                </c:pt>
                <c:pt idx="41">
                  <c:v>6.8361241034905776E-2</c:v>
                </c:pt>
                <c:pt idx="42">
                  <c:v>6.7787751747739849E-2</c:v>
                </c:pt>
                <c:pt idx="43">
                  <c:v>6.7172198289219318E-2</c:v>
                </c:pt>
                <c:pt idx="44">
                  <c:v>6.6511264161372374E-2</c:v>
                </c:pt>
                <c:pt idx="45">
                  <c:v>6.5802433665825388E-2</c:v>
                </c:pt>
                <c:pt idx="46">
                  <c:v>6.5043494716897229E-2</c:v>
                </c:pt>
                <c:pt idx="47">
                  <c:v>6.4231010406990571E-2</c:v>
                </c:pt>
                <c:pt idx="48">
                  <c:v>6.335750078096071E-2</c:v>
                </c:pt>
                <c:pt idx="49">
                  <c:v>6.2424732647213176E-2</c:v>
                </c:pt>
                <c:pt idx="50">
                  <c:v>6.1428508823842834E-2</c:v>
                </c:pt>
                <c:pt idx="51">
                  <c:v>6.036653890614712E-2</c:v>
                </c:pt>
                <c:pt idx="52">
                  <c:v>5.9234346359000656E-2</c:v>
                </c:pt>
                <c:pt idx="53">
                  <c:v>5.8024544068964429E-2</c:v>
                </c:pt>
                <c:pt idx="54">
                  <c:v>5.6725670452435067E-2</c:v>
                </c:pt>
                <c:pt idx="55">
                  <c:v>5.5325765994174644E-2</c:v>
                </c:pt>
                <c:pt idx="56">
                  <c:v>5.3814260534637191E-2</c:v>
                </c:pt>
                <c:pt idx="57">
                  <c:v>5.2183736873272164E-2</c:v>
                </c:pt>
                <c:pt idx="58">
                  <c:v>5.0428505573297533E-2</c:v>
                </c:pt>
                <c:pt idx="59">
                  <c:v>4.8551783524134473E-2</c:v>
                </c:pt>
                <c:pt idx="60">
                  <c:v>4.6553377548746042E-2</c:v>
                </c:pt>
                <c:pt idx="61">
                  <c:v>4.4435040588794425E-2</c:v>
                </c:pt>
                <c:pt idx="62">
                  <c:v>4.2200811199957368E-2</c:v>
                </c:pt>
                <c:pt idx="63">
                  <c:v>3.9857374833537018E-2</c:v>
                </c:pt>
                <c:pt idx="64">
                  <c:v>3.7644070894605808E-2</c:v>
                </c:pt>
                <c:pt idx="65">
                  <c:v>3.5553673051385813E-2</c:v>
                </c:pt>
                <c:pt idx="66">
                  <c:v>3.357935625463853E-2</c:v>
                </c:pt>
                <c:pt idx="67">
                  <c:v>3.17146744542047E-2</c:v>
                </c:pt>
                <c:pt idx="68">
                  <c:v>2.9953539552958042E-2</c:v>
                </c:pt>
                <c:pt idx="69">
                  <c:v>2.8290201529458551E-2</c:v>
                </c:pt>
                <c:pt idx="70">
                  <c:v>2.6719229664406801E-2</c:v>
                </c:pt>
                <c:pt idx="71">
                  <c:v>2.5235494809604492E-2</c:v>
                </c:pt>
                <c:pt idx="72">
                  <c:v>2.3834152641530267E-2</c:v>
                </c:pt>
                <c:pt idx="73">
                  <c:v>2.2510627844854508E-2</c:v>
                </c:pt>
                <c:pt idx="74">
                  <c:v>2.126059917425303E-2</c:v>
                </c:pt>
                <c:pt idx="75">
                  <c:v>2.0079985345747255E-2</c:v>
                </c:pt>
                <c:pt idx="76">
                  <c:v>1.8964931711506702E-2</c:v>
                </c:pt>
                <c:pt idx="77">
                  <c:v>1.7911797674607707E-2</c:v>
                </c:pt>
                <c:pt idx="78">
                  <c:v>1.6917144802658136E-2</c:v>
                </c:pt>
                <c:pt idx="79">
                  <c:v>1.5977725601479649E-2</c:v>
                </c:pt>
                <c:pt idx="80">
                  <c:v>1.5090472912194123E-2</c:v>
                </c:pt>
                <c:pt idx="81">
                  <c:v>1.4252489897096236E-2</c:v>
                </c:pt>
                <c:pt idx="82">
                  <c:v>1.3461040581616544E-2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72-4BD8-9D21-C5B9EDE05120}"/>
            </c:ext>
          </c:extLst>
        </c:ser>
        <c:ser>
          <c:idx val="2"/>
          <c:order val="2"/>
          <c:tx>
            <c:v>Recovered with single amputation</c:v>
          </c:tx>
          <c:marker>
            <c:symbol val="none"/>
          </c:marker>
          <c:val>
            <c:numRef>
              <c:f>'1. Strategy Calcs'!$F$8:$F$90</c:f>
              <c:numCache>
                <c:formatCode>General</c:formatCode>
                <c:ptCount val="83"/>
                <c:pt idx="0">
                  <c:v>1.9E-2</c:v>
                </c:pt>
                <c:pt idx="1">
                  <c:v>1.8986413099999998E-2</c:v>
                </c:pt>
                <c:pt idx="2">
                  <c:v>1.8971309408378951E-2</c:v>
                </c:pt>
                <c:pt idx="3">
                  <c:v>1.8954601376182992E-2</c:v>
                </c:pt>
                <c:pt idx="4">
                  <c:v>1.8936357572358418E-2</c:v>
                </c:pt>
                <c:pt idx="5">
                  <c:v>1.8917101190343087E-2</c:v>
                </c:pt>
                <c:pt idx="6">
                  <c:v>1.8897548474552748E-2</c:v>
                </c:pt>
                <c:pt idx="7">
                  <c:v>1.8878223841482671E-2</c:v>
                </c:pt>
                <c:pt idx="8">
                  <c:v>1.8859290870792047E-2</c:v>
                </c:pt>
                <c:pt idx="9">
                  <c:v>1.8840629602475397E-2</c:v>
                </c:pt>
                <c:pt idx="10">
                  <c:v>1.8822118683890963E-2</c:v>
                </c:pt>
                <c:pt idx="11">
                  <c:v>1.880352243063128E-2</c:v>
                </c:pt>
                <c:pt idx="12">
                  <c:v>1.8784617369179524E-2</c:v>
                </c:pt>
                <c:pt idx="13">
                  <c:v>1.8765267334827532E-2</c:v>
                </c:pt>
                <c:pt idx="14">
                  <c:v>1.8745376151452615E-2</c:v>
                </c:pt>
                <c:pt idx="15">
                  <c:v>1.8724776857599785E-2</c:v>
                </c:pt>
                <c:pt idx="16">
                  <c:v>1.8703316390843289E-2</c:v>
                </c:pt>
                <c:pt idx="17">
                  <c:v>1.8680851837526248E-2</c:v>
                </c:pt>
                <c:pt idx="18">
                  <c:v>1.865723176846288E-2</c:v>
                </c:pt>
                <c:pt idx="19">
                  <c:v>1.8632223615000432E-2</c:v>
                </c:pt>
                <c:pt idx="20">
                  <c:v>1.8605514322448329E-2</c:v>
                </c:pt>
                <c:pt idx="21">
                  <c:v>1.857670554407145E-2</c:v>
                </c:pt>
                <c:pt idx="22">
                  <c:v>1.8545396364547474E-2</c:v>
                </c:pt>
                <c:pt idx="23">
                  <c:v>1.8511354434980708E-2</c:v>
                </c:pt>
                <c:pt idx="24">
                  <c:v>1.8474339130652523E-2</c:v>
                </c:pt>
                <c:pt idx="25">
                  <c:v>1.8433920971502482E-2</c:v>
                </c:pt>
                <c:pt idx="26">
                  <c:v>1.8389685091347169E-2</c:v>
                </c:pt>
                <c:pt idx="27">
                  <c:v>1.8341347804084564E-2</c:v>
                </c:pt>
                <c:pt idx="28">
                  <c:v>1.8288820018108446E-2</c:v>
                </c:pt>
                <c:pt idx="29">
                  <c:v>1.8231998483194185E-2</c:v>
                </c:pt>
                <c:pt idx="30">
                  <c:v>1.8170567587504911E-2</c:v>
                </c:pt>
                <c:pt idx="31">
                  <c:v>1.8104046956623814E-2</c:v>
                </c:pt>
                <c:pt idx="32">
                  <c:v>1.8031927675167408E-2</c:v>
                </c:pt>
                <c:pt idx="33">
                  <c:v>1.7953726811225743E-2</c:v>
                </c:pt>
                <c:pt idx="34">
                  <c:v>1.7869184507044361E-2</c:v>
                </c:pt>
                <c:pt idx="35">
                  <c:v>1.7778207127963647E-2</c:v>
                </c:pt>
                <c:pt idx="36">
                  <c:v>1.7680887444324462E-2</c:v>
                </c:pt>
                <c:pt idx="37">
                  <c:v>1.7577222633149644E-2</c:v>
                </c:pt>
                <c:pt idx="38">
                  <c:v>1.7466930834293421E-2</c:v>
                </c:pt>
                <c:pt idx="39">
                  <c:v>1.7349453497581213E-2</c:v>
                </c:pt>
                <c:pt idx="40">
                  <c:v>1.7224185238492628E-2</c:v>
                </c:pt>
                <c:pt idx="41">
                  <c:v>1.7090310258726444E-2</c:v>
                </c:pt>
                <c:pt idx="42">
                  <c:v>1.6946937936934962E-2</c:v>
                </c:pt>
                <c:pt idx="43">
                  <c:v>1.6793049572304829E-2</c:v>
                </c:pt>
                <c:pt idx="44">
                  <c:v>1.6627816040343094E-2</c:v>
                </c:pt>
                <c:pt idx="45">
                  <c:v>1.6450608416456347E-2</c:v>
                </c:pt>
                <c:pt idx="46">
                  <c:v>1.6260873679224307E-2</c:v>
                </c:pt>
                <c:pt idx="47">
                  <c:v>1.6057752601747643E-2</c:v>
                </c:pt>
                <c:pt idx="48">
                  <c:v>1.5839375195240177E-2</c:v>
                </c:pt>
                <c:pt idx="49">
                  <c:v>1.5606183161803294E-2</c:v>
                </c:pt>
                <c:pt idx="50">
                  <c:v>1.5357127205960708E-2</c:v>
                </c:pt>
                <c:pt idx="51">
                  <c:v>1.509163472653678E-2</c:v>
                </c:pt>
                <c:pt idx="52">
                  <c:v>1.4808586589750164E-2</c:v>
                </c:pt>
                <c:pt idx="53">
                  <c:v>1.4506136017241107E-2</c:v>
                </c:pt>
                <c:pt idx="54">
                  <c:v>1.4181417613108767E-2</c:v>
                </c:pt>
                <c:pt idx="55">
                  <c:v>1.3831441498543661E-2</c:v>
                </c:pt>
                <c:pt idx="56">
                  <c:v>1.3453565133659298E-2</c:v>
                </c:pt>
                <c:pt idx="57">
                  <c:v>1.3045934218318041E-2</c:v>
                </c:pt>
                <c:pt idx="58">
                  <c:v>1.2607126393324383E-2</c:v>
                </c:pt>
                <c:pt idx="59">
                  <c:v>1.2137945881033618E-2</c:v>
                </c:pt>
                <c:pt idx="60">
                  <c:v>1.163834438718651E-2</c:v>
                </c:pt>
                <c:pt idx="61">
                  <c:v>1.1108760147198606E-2</c:v>
                </c:pt>
                <c:pt idx="62">
                  <c:v>1.0550202799989342E-2</c:v>
                </c:pt>
                <c:pt idx="63">
                  <c:v>9.9643437083842545E-3</c:v>
                </c:pt>
                <c:pt idx="64">
                  <c:v>9.4110177236514519E-3</c:v>
                </c:pt>
                <c:pt idx="65">
                  <c:v>8.8884182628464533E-3</c:v>
                </c:pt>
                <c:pt idx="66">
                  <c:v>8.3948390636596325E-3</c:v>
                </c:pt>
                <c:pt idx="67">
                  <c:v>7.928668613551175E-3</c:v>
                </c:pt>
                <c:pt idx="68">
                  <c:v>7.4883848882395104E-3</c:v>
                </c:pt>
                <c:pt idx="69">
                  <c:v>7.0725503823646377E-3</c:v>
                </c:pt>
                <c:pt idx="70">
                  <c:v>6.6798074161017003E-3</c:v>
                </c:pt>
                <c:pt idx="71">
                  <c:v>6.3088737024011229E-3</c:v>
                </c:pt>
                <c:pt idx="72">
                  <c:v>5.9585381603825668E-3</c:v>
                </c:pt>
                <c:pt idx="73">
                  <c:v>5.6276569612136269E-3</c:v>
                </c:pt>
                <c:pt idx="74">
                  <c:v>5.3151497935632576E-3</c:v>
                </c:pt>
                <c:pt idx="75">
                  <c:v>5.0199963364368138E-3</c:v>
                </c:pt>
                <c:pt idx="76">
                  <c:v>4.7412329278766754E-3</c:v>
                </c:pt>
                <c:pt idx="77">
                  <c:v>4.4779494186519267E-3</c:v>
                </c:pt>
                <c:pt idx="78">
                  <c:v>4.2292862006645341E-3</c:v>
                </c:pt>
                <c:pt idx="79">
                  <c:v>3.9944314003699122E-3</c:v>
                </c:pt>
                <c:pt idx="80">
                  <c:v>3.7726182280485307E-3</c:v>
                </c:pt>
                <c:pt idx="81">
                  <c:v>3.563122474274059E-3</c:v>
                </c:pt>
                <c:pt idx="82">
                  <c:v>3.3652601454041359E-3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72-4BD8-9D21-C5B9EDE05120}"/>
            </c:ext>
          </c:extLst>
        </c:ser>
        <c:ser>
          <c:idx val="3"/>
          <c:order val="3"/>
          <c:tx>
            <c:v>Recovered with multiple amputation</c:v>
          </c:tx>
          <c:marker>
            <c:symbol val="none"/>
          </c:marker>
          <c:val>
            <c:numRef>
              <c:f>'1. Strategy Calcs'!$G$8:$G$90</c:f>
              <c:numCache>
                <c:formatCode>General</c:formatCode>
                <c:ptCount val="83"/>
                <c:pt idx="0">
                  <c:v>1.2E-2</c:v>
                </c:pt>
                <c:pt idx="1">
                  <c:v>1.19914188E-2</c:v>
                </c:pt>
                <c:pt idx="2">
                  <c:v>1.19818796263446E-2</c:v>
                </c:pt>
                <c:pt idx="3">
                  <c:v>1.197132718495768E-2</c:v>
                </c:pt>
                <c:pt idx="4">
                  <c:v>1.1959804782542159E-2</c:v>
                </c:pt>
                <c:pt idx="5">
                  <c:v>1.1947642857058792E-2</c:v>
                </c:pt>
                <c:pt idx="6">
                  <c:v>1.1935293773401736E-2</c:v>
                </c:pt>
                <c:pt idx="7">
                  <c:v>1.1923088741989055E-2</c:v>
                </c:pt>
                <c:pt idx="8">
                  <c:v>1.1911131076289714E-2</c:v>
                </c:pt>
                <c:pt idx="9">
                  <c:v>1.1899345012089725E-2</c:v>
                </c:pt>
                <c:pt idx="10">
                  <c:v>1.1887653905615348E-2</c:v>
                </c:pt>
                <c:pt idx="11">
                  <c:v>1.18759089035566E-2</c:v>
                </c:pt>
                <c:pt idx="12">
                  <c:v>1.1863968864744964E-2</c:v>
                </c:pt>
                <c:pt idx="13">
                  <c:v>1.1851747790417391E-2</c:v>
                </c:pt>
                <c:pt idx="14">
                  <c:v>1.1839184937759548E-2</c:v>
                </c:pt>
                <c:pt idx="15">
                  <c:v>1.1826174857431444E-2</c:v>
                </c:pt>
                <c:pt idx="16">
                  <c:v>1.1812620878427341E-2</c:v>
                </c:pt>
                <c:pt idx="17">
                  <c:v>1.1798432739490262E-2</c:v>
                </c:pt>
                <c:pt idx="18">
                  <c:v>1.1783514801134449E-2</c:v>
                </c:pt>
                <c:pt idx="19">
                  <c:v>1.1767720177895008E-2</c:v>
                </c:pt>
                <c:pt idx="20">
                  <c:v>1.1750851151019997E-2</c:v>
                </c:pt>
                <c:pt idx="21">
                  <c:v>1.1732656133097758E-2</c:v>
                </c:pt>
                <c:pt idx="22">
                  <c:v>1.1712881914451035E-2</c:v>
                </c:pt>
                <c:pt idx="23">
                  <c:v>1.1691381748408869E-2</c:v>
                </c:pt>
                <c:pt idx="24">
                  <c:v>1.1668003661464751E-2</c:v>
                </c:pt>
                <c:pt idx="25">
                  <c:v>1.1642476403054198E-2</c:v>
                </c:pt>
                <c:pt idx="26">
                  <c:v>1.1614537952429789E-2</c:v>
                </c:pt>
                <c:pt idx="27">
                  <c:v>1.1584009139421828E-2</c:v>
                </c:pt>
                <c:pt idx="28">
                  <c:v>1.1550833695647437E-2</c:v>
                </c:pt>
                <c:pt idx="29">
                  <c:v>1.151494641043843E-2</c:v>
                </c:pt>
                <c:pt idx="30">
                  <c:v>1.14761479500031E-2</c:v>
                </c:pt>
                <c:pt idx="31">
                  <c:v>1.1434134919972933E-2</c:v>
                </c:pt>
                <c:pt idx="32">
                  <c:v>1.1388585900105729E-2</c:v>
                </c:pt>
                <c:pt idx="33">
                  <c:v>1.133919588077415E-2</c:v>
                </c:pt>
                <c:pt idx="34">
                  <c:v>1.1285800741291173E-2</c:v>
                </c:pt>
                <c:pt idx="35">
                  <c:v>1.1228341343977037E-2</c:v>
                </c:pt>
                <c:pt idx="36">
                  <c:v>1.1166876280625971E-2</c:v>
                </c:pt>
                <c:pt idx="37">
                  <c:v>1.1101403768305033E-2</c:v>
                </c:pt>
                <c:pt idx="38">
                  <c:v>1.1031745790080051E-2</c:v>
                </c:pt>
                <c:pt idx="39">
                  <c:v>1.0957549577419708E-2</c:v>
                </c:pt>
                <c:pt idx="40">
                  <c:v>1.0878432782205865E-2</c:v>
                </c:pt>
                <c:pt idx="41">
                  <c:v>1.0793880163406169E-2</c:v>
                </c:pt>
                <c:pt idx="42">
                  <c:v>1.0703329223327339E-2</c:v>
                </c:pt>
                <c:pt idx="43">
                  <c:v>1.0606136571981992E-2</c:v>
                </c:pt>
                <c:pt idx="44">
                  <c:v>1.0501778551795633E-2</c:v>
                </c:pt>
                <c:pt idx="45">
                  <c:v>1.0389857947235582E-2</c:v>
                </c:pt>
                <c:pt idx="46">
                  <c:v>1.0270025481615345E-2</c:v>
                </c:pt>
                <c:pt idx="47">
                  <c:v>1.0141738485314295E-2</c:v>
                </c:pt>
                <c:pt idx="48">
                  <c:v>1.0003815912783263E-2</c:v>
                </c:pt>
                <c:pt idx="49">
                  <c:v>9.8565367337704948E-3</c:v>
                </c:pt>
                <c:pt idx="50">
                  <c:v>9.6992382353435994E-3</c:v>
                </c:pt>
                <c:pt idx="51">
                  <c:v>9.5315587746548028E-3</c:v>
                </c:pt>
                <c:pt idx="52">
                  <c:v>9.3527915303685191E-3</c:v>
                </c:pt>
                <c:pt idx="53">
                  <c:v>9.1617701161522732E-3</c:v>
                </c:pt>
                <c:pt idx="54">
                  <c:v>8.9566848082792156E-3</c:v>
                </c:pt>
                <c:pt idx="55">
                  <c:v>8.7356472622380967E-3</c:v>
                </c:pt>
                <c:pt idx="56">
                  <c:v>8.4969885054690247E-3</c:v>
                </c:pt>
                <c:pt idx="57">
                  <c:v>8.2395374010429678E-3</c:v>
                </c:pt>
                <c:pt idx="58">
                  <c:v>7.9623956168364471E-3</c:v>
                </c:pt>
                <c:pt idx="59">
                  <c:v>7.6660710827580695E-3</c:v>
                </c:pt>
                <c:pt idx="60">
                  <c:v>7.3505332971704222E-3</c:v>
                </c:pt>
                <c:pt idx="61">
                  <c:v>7.0160590403359566E-3</c:v>
                </c:pt>
                <c:pt idx="62">
                  <c:v>6.6632859789406322E-3</c:v>
                </c:pt>
                <c:pt idx="63">
                  <c:v>6.2932697105584721E-3</c:v>
                </c:pt>
                <c:pt idx="64">
                  <c:v>5.943800667569334E-3</c:v>
                </c:pt>
                <c:pt idx="65">
                  <c:v>5.6137378502188083E-3</c:v>
                </c:pt>
                <c:pt idx="66">
                  <c:v>5.3020036191534477E-3</c:v>
                </c:pt>
                <c:pt idx="67">
                  <c:v>5.0075801769796854E-3</c:v>
                </c:pt>
                <c:pt idx="68">
                  <c:v>4.7295062452038976E-3</c:v>
                </c:pt>
                <c:pt idx="69">
                  <c:v>4.4668739257039784E-3</c:v>
                </c:pt>
                <c:pt idx="70">
                  <c:v>4.2188257364852814E-3</c:v>
                </c:pt>
                <c:pt idx="71">
                  <c:v>3.9845518120428117E-3</c:v>
                </c:pt>
                <c:pt idx="72">
                  <c:v>3.7632872591889873E-3</c:v>
                </c:pt>
                <c:pt idx="73">
                  <c:v>3.5543096597138672E-3</c:v>
                </c:pt>
                <c:pt idx="74">
                  <c:v>3.3569367117241605E-3</c:v>
                </c:pt>
                <c:pt idx="75">
                  <c:v>3.170524001960091E-3</c:v>
                </c:pt>
                <c:pt idx="76">
                  <c:v>2.9944629018168458E-3</c:v>
                </c:pt>
                <c:pt idx="77">
                  <c:v>2.8281785802012154E-3</c:v>
                </c:pt>
                <c:pt idx="78">
                  <c:v>2.6711281267354937E-3</c:v>
                </c:pt>
                <c:pt idx="79">
                  <c:v>2.5227987791809959E-3</c:v>
                </c:pt>
                <c:pt idx="80">
                  <c:v>2.3827062492938079E-3</c:v>
                </c:pt>
                <c:pt idx="81">
                  <c:v>2.2503931416467731E-3</c:v>
                </c:pt>
                <c:pt idx="82">
                  <c:v>2.1254274602552428E-3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72-4BD8-9D21-C5B9EDE05120}"/>
            </c:ext>
          </c:extLst>
        </c:ser>
        <c:ser>
          <c:idx val="4"/>
          <c:order val="4"/>
          <c:tx>
            <c:v>Recovered with hearing loss</c:v>
          </c:tx>
          <c:marker>
            <c:symbol val="none"/>
          </c:marker>
          <c:val>
            <c:numRef>
              <c:f>'1. Strategy Calcs'!$H$8:$H$90</c:f>
              <c:numCache>
                <c:formatCode>General</c:formatCode>
                <c:ptCount val="83"/>
                <c:pt idx="0">
                  <c:v>6.4000000000000001E-2</c:v>
                </c:pt>
                <c:pt idx="1">
                  <c:v>6.3954233600000007E-2</c:v>
                </c:pt>
                <c:pt idx="2">
                  <c:v>6.3903358007171215E-2</c:v>
                </c:pt>
                <c:pt idx="3">
                  <c:v>6.3847078319774306E-2</c:v>
                </c:pt>
                <c:pt idx="4">
                  <c:v>6.3785625506891527E-2</c:v>
                </c:pt>
                <c:pt idx="5">
                  <c:v>6.3720761904313569E-2</c:v>
                </c:pt>
                <c:pt idx="6">
                  <c:v>6.3654900124809274E-2</c:v>
                </c:pt>
                <c:pt idx="7">
                  <c:v>6.3589806623941647E-2</c:v>
                </c:pt>
                <c:pt idx="8">
                  <c:v>6.3526032406878499E-2</c:v>
                </c:pt>
                <c:pt idx="9">
                  <c:v>6.3463173397811892E-2</c:v>
                </c:pt>
                <c:pt idx="10">
                  <c:v>6.3400820829948537E-2</c:v>
                </c:pt>
                <c:pt idx="11">
                  <c:v>6.3338180818968554E-2</c:v>
                </c:pt>
                <c:pt idx="12">
                  <c:v>6.3274500611973164E-2</c:v>
                </c:pt>
                <c:pt idx="13">
                  <c:v>6.3209321548892763E-2</c:v>
                </c:pt>
                <c:pt idx="14">
                  <c:v>6.3142319668050936E-2</c:v>
                </c:pt>
                <c:pt idx="15">
                  <c:v>6.3072932572967713E-2</c:v>
                </c:pt>
                <c:pt idx="16">
                  <c:v>6.3000644684945831E-2</c:v>
                </c:pt>
                <c:pt idx="17">
                  <c:v>6.2924974610614748E-2</c:v>
                </c:pt>
                <c:pt idx="18">
                  <c:v>6.2845412272717088E-2</c:v>
                </c:pt>
                <c:pt idx="19">
                  <c:v>6.2761174282106744E-2</c:v>
                </c:pt>
                <c:pt idx="20">
                  <c:v>6.2671206138773347E-2</c:v>
                </c:pt>
                <c:pt idx="21">
                  <c:v>6.2574166043188065E-2</c:v>
                </c:pt>
                <c:pt idx="22">
                  <c:v>6.2468703543738881E-2</c:v>
                </c:pt>
                <c:pt idx="23">
                  <c:v>6.2354035991513991E-2</c:v>
                </c:pt>
                <c:pt idx="24">
                  <c:v>6.2229352861145358E-2</c:v>
                </c:pt>
                <c:pt idx="25">
                  <c:v>6.2093207482955749E-2</c:v>
                </c:pt>
                <c:pt idx="26">
                  <c:v>6.19442024129589E-2</c:v>
                </c:pt>
                <c:pt idx="27">
                  <c:v>6.1781382076916434E-2</c:v>
                </c:pt>
                <c:pt idx="28">
                  <c:v>6.1604446376786352E-2</c:v>
                </c:pt>
                <c:pt idx="29">
                  <c:v>6.1413047522338317E-2</c:v>
                </c:pt>
                <c:pt idx="30">
                  <c:v>6.1206122400016549E-2</c:v>
                </c:pt>
                <c:pt idx="31">
                  <c:v>6.0982052906522331E-2</c:v>
                </c:pt>
                <c:pt idx="32">
                  <c:v>6.0739124800563912E-2</c:v>
                </c:pt>
                <c:pt idx="33">
                  <c:v>6.0475711364128826E-2</c:v>
                </c:pt>
                <c:pt idx="34">
                  <c:v>6.0190937286886279E-2</c:v>
                </c:pt>
                <c:pt idx="35">
                  <c:v>5.9884487167877552E-2</c:v>
                </c:pt>
                <c:pt idx="36">
                  <c:v>5.9556673496671875E-2</c:v>
                </c:pt>
                <c:pt idx="37">
                  <c:v>5.9207486764293535E-2</c:v>
                </c:pt>
                <c:pt idx="38">
                  <c:v>5.8835977547093625E-2</c:v>
                </c:pt>
                <c:pt idx="39">
                  <c:v>5.8440264412905132E-2</c:v>
                </c:pt>
                <c:pt idx="40">
                  <c:v>5.8018308171764635E-2</c:v>
                </c:pt>
                <c:pt idx="41">
                  <c:v>5.75673608714996E-2</c:v>
                </c:pt>
                <c:pt idx="42">
                  <c:v>5.7084422524412502E-2</c:v>
                </c:pt>
                <c:pt idx="43">
                  <c:v>5.6566061717237319E-2</c:v>
                </c:pt>
                <c:pt idx="44">
                  <c:v>5.6009485609576734E-2</c:v>
                </c:pt>
                <c:pt idx="45">
                  <c:v>5.541257571858979E-2</c:v>
                </c:pt>
                <c:pt idx="46">
                  <c:v>5.4773469235281862E-2</c:v>
                </c:pt>
                <c:pt idx="47">
                  <c:v>5.4089271921676257E-2</c:v>
                </c:pt>
                <c:pt idx="48">
                  <c:v>5.3353684868177424E-2</c:v>
                </c:pt>
                <c:pt idx="49">
                  <c:v>5.256819591344266E-2</c:v>
                </c:pt>
                <c:pt idx="50">
                  <c:v>5.1729270588499215E-2</c:v>
                </c:pt>
                <c:pt idx="51">
                  <c:v>5.0834980131492298E-2</c:v>
                </c:pt>
                <c:pt idx="52">
                  <c:v>4.9881554828632116E-2</c:v>
                </c:pt>
                <c:pt idx="53">
                  <c:v>4.8862773952812133E-2</c:v>
                </c:pt>
                <c:pt idx="54">
                  <c:v>4.7768985644155826E-2</c:v>
                </c:pt>
                <c:pt idx="55">
                  <c:v>4.6590118731936525E-2</c:v>
                </c:pt>
                <c:pt idx="56">
                  <c:v>4.5317272029168146E-2</c:v>
                </c:pt>
                <c:pt idx="57">
                  <c:v>4.3944199472229176E-2</c:v>
                </c:pt>
                <c:pt idx="58">
                  <c:v>4.2466109956461065E-2</c:v>
                </c:pt>
                <c:pt idx="59">
                  <c:v>4.0885712441376384E-2</c:v>
                </c:pt>
                <c:pt idx="60">
                  <c:v>3.9202844251575601E-2</c:v>
                </c:pt>
                <c:pt idx="61">
                  <c:v>3.7418981548458456E-2</c:v>
                </c:pt>
                <c:pt idx="62">
                  <c:v>3.5537525221016726E-2</c:v>
                </c:pt>
                <c:pt idx="63">
                  <c:v>3.3564105122978534E-2</c:v>
                </c:pt>
                <c:pt idx="64">
                  <c:v>3.1700270227036462E-2</c:v>
                </c:pt>
                <c:pt idx="65">
                  <c:v>2.993993520116699E-2</c:v>
                </c:pt>
                <c:pt idx="66">
                  <c:v>2.8277352635485066E-2</c:v>
                </c:pt>
                <c:pt idx="67">
                  <c:v>2.6707094277225001E-2</c:v>
                </c:pt>
                <c:pt idx="68">
                  <c:v>2.5224033307754131E-2</c:v>
                </c:pt>
                <c:pt idx="69">
                  <c:v>2.3823327603754559E-2</c:v>
                </c:pt>
                <c:pt idx="70">
                  <c:v>2.2500403927921506E-2</c:v>
                </c:pt>
                <c:pt idx="71">
                  <c:v>2.1250942997561667E-2</c:v>
                </c:pt>
                <c:pt idx="72">
                  <c:v>2.007086538234127E-2</c:v>
                </c:pt>
                <c:pt idx="73">
                  <c:v>1.8956318185140632E-2</c:v>
                </c:pt>
                <c:pt idx="74">
                  <c:v>1.7903662462528863E-2</c:v>
                </c:pt>
                <c:pt idx="75">
                  <c:v>1.6909461343787159E-2</c:v>
                </c:pt>
                <c:pt idx="76">
                  <c:v>1.5970468809689851E-2</c:v>
                </c:pt>
                <c:pt idx="77">
                  <c:v>1.5083619094406489E-2</c:v>
                </c:pt>
                <c:pt idx="78">
                  <c:v>1.4246016675922641E-2</c:v>
                </c:pt>
                <c:pt idx="79">
                  <c:v>1.3454926822298652E-2</c:v>
                </c:pt>
                <c:pt idx="80">
                  <c:v>1.2707766662900315E-2</c:v>
                </c:pt>
                <c:pt idx="81">
                  <c:v>1.2002096755449464E-2</c:v>
                </c:pt>
                <c:pt idx="82">
                  <c:v>1.1335613121361303E-2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A72-4BD8-9D21-C5B9EDE05120}"/>
            </c:ext>
          </c:extLst>
        </c:ser>
        <c:ser>
          <c:idx val="5"/>
          <c:order val="5"/>
          <c:tx>
            <c:v>Recovered with neurologic disability</c:v>
          </c:tx>
          <c:marker>
            <c:symbol val="none"/>
          </c:marker>
          <c:val>
            <c:numRef>
              <c:f>'1. Strategy Calcs'!$I$8:$I$90</c:f>
              <c:numCache>
                <c:formatCode>General</c:formatCode>
                <c:ptCount val="83"/>
                <c:pt idx="0">
                  <c:v>2.1000000000000001E-2</c:v>
                </c:pt>
                <c:pt idx="1">
                  <c:v>2.0840817900000003E-2</c:v>
                </c:pt>
                <c:pt idx="2">
                  <c:v>2.0665081871221833E-2</c:v>
                </c:pt>
                <c:pt idx="3">
                  <c:v>2.0472165065921227E-2</c:v>
                </c:pt>
                <c:pt idx="4">
                  <c:v>2.0263297801836166E-2</c:v>
                </c:pt>
                <c:pt idx="5">
                  <c:v>2.0109699978168468E-2</c:v>
                </c:pt>
                <c:pt idx="6">
                  <c:v>1.9957266441363954E-2</c:v>
                </c:pt>
                <c:pt idx="7">
                  <c:v>1.9788980783550441E-2</c:v>
                </c:pt>
                <c:pt idx="8">
                  <c:v>1.9604242732343683E-2</c:v>
                </c:pt>
                <c:pt idx="9">
                  <c:v>1.9404230445866946E-2</c:v>
                </c:pt>
                <c:pt idx="10">
                  <c:v>1.925714443866423E-2</c:v>
                </c:pt>
                <c:pt idx="11">
                  <c:v>1.9111173358104711E-2</c:v>
                </c:pt>
                <c:pt idx="12">
                  <c:v>1.8950022210997165E-2</c:v>
                </c:pt>
                <c:pt idx="13">
                  <c:v>1.8773116173648623E-2</c:v>
                </c:pt>
                <c:pt idx="14">
                  <c:v>1.8581583455886973E-2</c:v>
                </c:pt>
                <c:pt idx="15">
                  <c:v>1.8440733195133004E-2</c:v>
                </c:pt>
                <c:pt idx="16">
                  <c:v>1.8300950593440578E-2</c:v>
                </c:pt>
                <c:pt idx="17">
                  <c:v>1.816222755784724E-2</c:v>
                </c:pt>
                <c:pt idx="18">
                  <c:v>1.8082041323179344E-2</c:v>
                </c:pt>
                <c:pt idx="19">
                  <c:v>1.7993658113395778E-2</c:v>
                </c:pt>
                <c:pt idx="20">
                  <c:v>1.7897537791119827E-2</c:v>
                </c:pt>
                <c:pt idx="21">
                  <c:v>1.7826506043134432E-2</c:v>
                </c:pt>
                <c:pt idx="22">
                  <c:v>1.7747802018953995E-2</c:v>
                </c:pt>
                <c:pt idx="23">
                  <c:v>1.7661052537465551E-2</c:v>
                </c:pt>
                <c:pt idx="24">
                  <c:v>1.7566708960915663E-2</c:v>
                </c:pt>
                <c:pt idx="25">
                  <c:v>1.7496990206391581E-2</c:v>
                </c:pt>
                <c:pt idx="26">
                  <c:v>1.741974099463036E-2</c:v>
                </c:pt>
                <c:pt idx="27">
                  <c:v>1.7334595042622709E-2</c:v>
                </c:pt>
                <c:pt idx="28">
                  <c:v>1.7241995369364521E-2</c:v>
                </c:pt>
                <c:pt idx="29">
                  <c:v>1.7173565338142589E-2</c:v>
                </c:pt>
                <c:pt idx="30">
                  <c:v>1.7097744047174689E-2</c:v>
                </c:pt>
                <c:pt idx="31">
                  <c:v>1.7014171984046506E-2</c:v>
                </c:pt>
                <c:pt idx="32">
                  <c:v>1.6923283978724928E-2</c:v>
                </c:pt>
                <c:pt idx="33">
                  <c:v>1.6856118849270164E-2</c:v>
                </c:pt>
                <c:pt idx="34">
                  <c:v>1.6781699084550634E-2</c:v>
                </c:pt>
                <c:pt idx="35">
                  <c:v>1.6699671817595262E-2</c:v>
                </c:pt>
                <c:pt idx="36">
                  <c:v>1.6610463840712849E-2</c:v>
                </c:pt>
                <c:pt idx="37">
                  <c:v>1.6544540231821829E-2</c:v>
                </c:pt>
                <c:pt idx="38">
                  <c:v>1.6510979631961579E-2</c:v>
                </c:pt>
                <c:pt idx="39">
                  <c:v>1.6473899273904122E-2</c:v>
                </c:pt>
                <c:pt idx="40">
                  <c:v>1.6433465735526252E-2</c:v>
                </c:pt>
                <c:pt idx="41">
                  <c:v>1.6400130450281738E-2</c:v>
                </c:pt>
                <c:pt idx="42">
                  <c:v>1.6363299037316495E-2</c:v>
                </c:pt>
                <c:pt idx="43">
                  <c:v>1.6323136956159306E-2</c:v>
                </c:pt>
                <c:pt idx="44">
                  <c:v>1.6290025472843736E-2</c:v>
                </c:pt>
                <c:pt idx="45">
                  <c:v>1.6253441333636823E-2</c:v>
                </c:pt>
                <c:pt idx="46">
                  <c:v>1.6213548887227546E-2</c:v>
                </c:pt>
                <c:pt idx="47">
                  <c:v>1.6180659703309806E-2</c:v>
                </c:pt>
                <c:pt idx="48">
                  <c:v>1.6144321177748115E-2</c:v>
                </c:pt>
                <c:pt idx="49">
                  <c:v>1.6104696555849451E-2</c:v>
                </c:pt>
                <c:pt idx="50">
                  <c:v>1.6072028178885912E-2</c:v>
                </c:pt>
                <c:pt idx="51">
                  <c:v>1.603593361800177E-2</c:v>
                </c:pt>
                <c:pt idx="52">
                  <c:v>1.5996575022529748E-2</c:v>
                </c:pt>
                <c:pt idx="53">
                  <c:v>1.5964125970096547E-2</c:v>
                </c:pt>
                <c:pt idx="54">
                  <c:v>1.5928273735992905E-2</c:v>
                </c:pt>
                <c:pt idx="55">
                  <c:v>1.5889179380935283E-2</c:v>
                </c:pt>
                <c:pt idx="56">
                  <c:v>1.5856948180561055E-2</c:v>
                </c:pt>
                <c:pt idx="57">
                  <c:v>1.5821336646337152E-2</c:v>
                </c:pt>
                <c:pt idx="58">
                  <c:v>1.5782504757672382E-2</c:v>
                </c:pt>
                <c:pt idx="59">
                  <c:v>1.5750489946771445E-2</c:v>
                </c:pt>
                <c:pt idx="60">
                  <c:v>1.5715117496448987E-2</c:v>
                </c:pt>
                <c:pt idx="61">
                  <c:v>1.5676546312065703E-2</c:v>
                </c:pt>
                <c:pt idx="62">
                  <c:v>1.5644746437871677E-2</c:v>
                </c:pt>
                <c:pt idx="63">
                  <c:v>1.5609611466321506E-2</c:v>
                </c:pt>
                <c:pt idx="64">
                  <c:v>1.5574555400890443E-2</c:v>
                </c:pt>
                <c:pt idx="65">
                  <c:v>1.5539578064371123E-2</c:v>
                </c:pt>
                <c:pt idx="66">
                  <c:v>1.5504679279954159E-2</c:v>
                </c:pt>
                <c:pt idx="67">
                  <c:v>1.5469858871227239E-2</c:v>
                </c:pt>
                <c:pt idx="68">
                  <c:v>1.5435116662174238E-2</c:v>
                </c:pt>
                <c:pt idx="69">
                  <c:v>1.5400452477174328E-2</c:v>
                </c:pt>
                <c:pt idx="70">
                  <c:v>1.536586614100109E-2</c:v>
                </c:pt>
                <c:pt idx="71">
                  <c:v>1.533135747882163E-2</c:v>
                </c:pt>
                <c:pt idx="72">
                  <c:v>1.5296926316195694E-2</c:v>
                </c:pt>
                <c:pt idx="73">
                  <c:v>1.5262572479074782E-2</c:v>
                </c:pt>
                <c:pt idx="74">
                  <c:v>1.5228295793801276E-2</c:v>
                </c:pt>
                <c:pt idx="75">
                  <c:v>1.5194096087107558E-2</c:v>
                </c:pt>
                <c:pt idx="76">
                  <c:v>1.5159973186115132E-2</c:v>
                </c:pt>
                <c:pt idx="77">
                  <c:v>1.5125926918333756E-2</c:v>
                </c:pt>
                <c:pt idx="78">
                  <c:v>1.5091957111660562E-2</c:v>
                </c:pt>
                <c:pt idx="79">
                  <c:v>1.5058063594379195E-2</c:v>
                </c:pt>
                <c:pt idx="80">
                  <c:v>1.5024246195158939E-2</c:v>
                </c:pt>
                <c:pt idx="81">
                  <c:v>1.4990504743053851E-2</c:v>
                </c:pt>
                <c:pt idx="82">
                  <c:v>1.4956839067501901E-2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A72-4BD8-9D21-C5B9EDE05120}"/>
            </c:ext>
          </c:extLst>
        </c:ser>
        <c:ser>
          <c:idx val="6"/>
          <c:order val="6"/>
          <c:tx>
            <c:v>Dead</c:v>
          </c:tx>
          <c:marker>
            <c:symbol val="none"/>
          </c:marker>
          <c:val>
            <c:numRef>
              <c:f>'1. Strategy Calcs'!$J$8:$J$90</c:f>
              <c:numCache>
                <c:formatCode>General</c:formatCode>
                <c:ptCount val="83"/>
                <c:pt idx="0">
                  <c:v>9.2999999999999999E-2</c:v>
                </c:pt>
                <c:pt idx="1">
                  <c:v>9.3792760700000005E-2</c:v>
                </c:pt>
                <c:pt idx="2">
                  <c:v>9.4672805717001873E-2</c:v>
                </c:pt>
                <c:pt idx="3">
                  <c:v>9.5644844444703531E-2</c:v>
                </c:pt>
                <c:pt idx="4">
                  <c:v>9.6704449087134617E-2</c:v>
                </c:pt>
                <c:pt idx="5">
                  <c:v>9.7756002408990919E-2</c:v>
                </c:pt>
                <c:pt idx="6">
                  <c:v>9.8820209955808064E-2</c:v>
                </c:pt>
                <c:pt idx="7">
                  <c:v>9.9889633766257827E-2</c:v>
                </c:pt>
                <c:pt idx="8">
                  <c:v>0.10095724613493258</c:v>
                </c:pt>
                <c:pt idx="9">
                  <c:v>0.10202746282817515</c:v>
                </c:pt>
                <c:pt idx="10">
                  <c:v>0.10303774219673613</c:v>
                </c:pt>
                <c:pt idx="11">
                  <c:v>0.10405088592929987</c:v>
                </c:pt>
                <c:pt idx="12">
                  <c:v>0.10509360994199986</c:v>
                </c:pt>
                <c:pt idx="13">
                  <c:v>0.1061728386338676</c:v>
                </c:pt>
                <c:pt idx="14">
                  <c:v>0.10729192863953328</c:v>
                </c:pt>
                <c:pt idx="15">
                  <c:v>0.10839335649784559</c:v>
                </c:pt>
                <c:pt idx="16">
                  <c:v>0.1095338745493409</c:v>
                </c:pt>
                <c:pt idx="17">
                  <c:v>0.11072015517645524</c:v>
                </c:pt>
                <c:pt idx="18">
                  <c:v>0.11190178252639388</c:v>
                </c:pt>
                <c:pt idx="19">
                  <c:v>0.11315633541868948</c:v>
                </c:pt>
                <c:pt idx="20">
                  <c:v>0.11449795222523719</c:v>
                </c:pt>
                <c:pt idx="21">
                  <c:v>0.11591238279648126</c:v>
                </c:pt>
                <c:pt idx="22">
                  <c:v>0.11745108329741141</c:v>
                </c:pt>
                <c:pt idx="23">
                  <c:v>0.11912526170501314</c:v>
                </c:pt>
                <c:pt idx="24">
                  <c:v>0.12094568736760376</c:v>
                </c:pt>
                <c:pt idx="25">
                  <c:v>0.12290016870144031</c:v>
                </c:pt>
                <c:pt idx="26">
                  <c:v>0.12504020685097042</c:v>
                </c:pt>
                <c:pt idx="27">
                  <c:v>0.12737939683006591</c:v>
                </c:pt>
                <c:pt idx="28">
                  <c:v>0.1299214501019999</c:v>
                </c:pt>
                <c:pt idx="29">
                  <c:v>0.13263955802448685</c:v>
                </c:pt>
                <c:pt idx="30">
                  <c:v>0.13557999897759671</c:v>
                </c:pt>
                <c:pt idx="31">
                  <c:v>0.1387655330912855</c:v>
                </c:pt>
                <c:pt idx="32">
                  <c:v>0.142219457063469</c:v>
                </c:pt>
                <c:pt idx="33">
                  <c:v>0.14593325195357199</c:v>
                </c:pt>
                <c:pt idx="34">
                  <c:v>0.14995001285011803</c:v>
                </c:pt>
                <c:pt idx="35">
                  <c:v>0.15427445895210043</c:v>
                </c:pt>
                <c:pt idx="36">
                  <c:v>0.15890183743973646</c:v>
                </c:pt>
                <c:pt idx="37">
                  <c:v>0.16380181487499007</c:v>
                </c:pt>
                <c:pt idx="38">
                  <c:v>0.16897845620046162</c:v>
                </c:pt>
                <c:pt idx="39">
                  <c:v>0.17449369025994096</c:v>
                </c:pt>
                <c:pt idx="40">
                  <c:v>0.18037558051160762</c:v>
                </c:pt>
                <c:pt idx="41">
                  <c:v>0.18665171748489628</c:v>
                </c:pt>
                <c:pt idx="42">
                  <c:v>0.19337422664034853</c:v>
                </c:pt>
                <c:pt idx="43">
                  <c:v>0.20059044614583713</c:v>
                </c:pt>
                <c:pt idx="44">
                  <c:v>0.2083286581195789</c:v>
                </c:pt>
                <c:pt idx="45">
                  <c:v>0.21662871356213628</c:v>
                </c:pt>
                <c:pt idx="46">
                  <c:v>0.22551623638683968</c:v>
                </c:pt>
                <c:pt idx="47">
                  <c:v>0.23502098213098493</c:v>
                </c:pt>
                <c:pt idx="48">
                  <c:v>0.24524060392842115</c:v>
                </c:pt>
                <c:pt idx="49">
                  <c:v>0.25615434126742925</c:v>
                </c:pt>
                <c:pt idx="50">
                  <c:v>0.26780088211157865</c:v>
                </c:pt>
                <c:pt idx="51">
                  <c:v>0.2802173101866523</c:v>
                </c:pt>
                <c:pt idx="52">
                  <c:v>0.29345565031859489</c:v>
                </c:pt>
                <c:pt idx="53">
                  <c:v>0.30759184712066096</c:v>
                </c:pt>
                <c:pt idx="54">
                  <c:v>0.32276983125272529</c:v>
                </c:pt>
                <c:pt idx="55">
                  <c:v>0.33912886442381884</c:v>
                </c:pt>
                <c:pt idx="56">
                  <c:v>0.35678206716564281</c:v>
                </c:pt>
                <c:pt idx="57">
                  <c:v>0.37582615190999058</c:v>
                </c:pt>
                <c:pt idx="58">
                  <c:v>0.39632728553257013</c:v>
                </c:pt>
                <c:pt idx="59">
                  <c:v>0.41823792844292457</c:v>
                </c:pt>
                <c:pt idx="60">
                  <c:v>0.44157050739580161</c:v>
                </c:pt>
                <c:pt idx="61">
                  <c:v>0.46630442787646287</c:v>
                </c:pt>
                <c:pt idx="62">
                  <c:v>0.49238263878367833</c:v>
                </c:pt>
                <c:pt idx="63">
                  <c:v>0.51973730823744468</c:v>
                </c:pt>
                <c:pt idx="64">
                  <c:v>0.54557482864357376</c:v>
                </c:pt>
                <c:pt idx="65">
                  <c:v>0.56997944399447353</c:v>
                </c:pt>
                <c:pt idx="66">
                  <c:v>0.59303072017254965</c:v>
                </c:pt>
                <c:pt idx="67">
                  <c:v>0.61480380472843932</c:v>
                </c:pt>
                <c:pt idx="68">
                  <c:v>0.63536967223360463</c:v>
                </c:pt>
                <c:pt idx="69">
                  <c:v>0.65479535600834859</c:v>
                </c:pt>
                <c:pt idx="70">
                  <c:v>0.67314416698183566</c:v>
                </c:pt>
                <c:pt idx="71">
                  <c:v>0.69047590039868412</c:v>
                </c:pt>
                <c:pt idx="72">
                  <c:v>0.7068470310470174</c:v>
                </c:pt>
                <c:pt idx="73">
                  <c:v>0.7223108976453847</c:v>
                </c:pt>
                <c:pt idx="74">
                  <c:v>0.73691787699056488</c:v>
                </c:pt>
                <c:pt idx="75">
                  <c:v>0.75071554843483912</c:v>
                </c:pt>
                <c:pt idx="76">
                  <c:v>0.76374884922974118</c:v>
                </c:pt>
                <c:pt idx="77">
                  <c:v>0.77606022124347662</c:v>
                </c:pt>
                <c:pt idx="78">
                  <c:v>0.78768974953103554</c:v>
                </c:pt>
                <c:pt idx="79">
                  <c:v>0.79867529320942399</c:v>
                </c:pt>
                <c:pt idx="80">
                  <c:v>0.80905260906531495</c:v>
                </c:pt>
                <c:pt idx="81">
                  <c:v>0.81885546829869282</c:v>
                </c:pt>
                <c:pt idx="82">
                  <c:v>0.82811576678365273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A72-4BD8-9D21-C5B9EDE0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9608047"/>
        <c:axId val="741470543"/>
      </c:lineChart>
      <c:catAx>
        <c:axId val="789608047"/>
        <c:scaling>
          <c:orientation val="minMax"/>
        </c:scaling>
        <c:delete val="0"/>
        <c:axPos val="b"/>
        <c:majorTickMark val="out"/>
        <c:minorTickMark val="none"/>
        <c:tickLblPos val="nextTo"/>
        <c:crossAx val="741470543"/>
        <c:crosses val="autoZero"/>
        <c:auto val="1"/>
        <c:lblAlgn val="ctr"/>
        <c:lblOffset val="100"/>
        <c:noMultiLvlLbl val="0"/>
      </c:catAx>
      <c:valAx>
        <c:axId val="741470543"/>
        <c:scaling>
          <c:orientation val="minMax"/>
          <c:max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9608047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Alive no sequelae</c:v>
          </c:tx>
          <c:marker>
            <c:symbol val="none"/>
          </c:marker>
          <c:val>
            <c:numRef>
              <c:f>'2. Strategy Calcs'!$D$8:$D$90</c:f>
              <c:numCache>
                <c:formatCode>General</c:formatCode>
                <c:ptCount val="83"/>
                <c:pt idx="0">
                  <c:v>1</c:v>
                </c:pt>
                <c:pt idx="1">
                  <c:v>0.99928490000000003</c:v>
                </c:pt>
                <c:pt idx="2">
                  <c:v>0.9984899688620501</c:v>
                </c:pt>
                <c:pt idx="3">
                  <c:v>0.99761059874647329</c:v>
                </c:pt>
                <c:pt idx="4">
                  <c:v>0.99665039854517978</c:v>
                </c:pt>
                <c:pt idx="5">
                  <c:v>0.99563690475489919</c:v>
                </c:pt>
                <c:pt idx="6">
                  <c:v>0.99460781445014457</c:v>
                </c:pt>
                <c:pt idx="7">
                  <c:v>0.99359072849908792</c:v>
                </c:pt>
                <c:pt idx="8">
                  <c:v>0.99259425635747611</c:v>
                </c:pt>
                <c:pt idx="9">
                  <c:v>0.99161208434081038</c:v>
                </c:pt>
                <c:pt idx="10">
                  <c:v>0.99063782546794554</c:v>
                </c:pt>
                <c:pt idx="11">
                  <c:v>0.98965907529638319</c:v>
                </c:pt>
                <c:pt idx="12">
                  <c:v>0.98866407206208018</c:v>
                </c:pt>
                <c:pt idx="13">
                  <c:v>0.98764564920144904</c:v>
                </c:pt>
                <c:pt idx="14">
                  <c:v>0.98659874481329557</c:v>
                </c:pt>
                <c:pt idx="15">
                  <c:v>0.98551457145262022</c:v>
                </c:pt>
                <c:pt idx="16">
                  <c:v>0.9843850732022783</c:v>
                </c:pt>
                <c:pt idx="17">
                  <c:v>0.98320272829085509</c:v>
                </c:pt>
                <c:pt idx="18">
                  <c:v>0.98195956676120411</c:v>
                </c:pt>
                <c:pt idx="19">
                  <c:v>0.98064334815791732</c:v>
                </c:pt>
                <c:pt idx="20">
                  <c:v>0.97923759591833293</c:v>
                </c:pt>
                <c:pt idx="21">
                  <c:v>0.97772134442481295</c:v>
                </c:pt>
                <c:pt idx="22">
                  <c:v>0.97607349287091938</c:v>
                </c:pt>
                <c:pt idx="23">
                  <c:v>0.97428181236740552</c:v>
                </c:pt>
                <c:pt idx="24">
                  <c:v>0.97233363845539567</c:v>
                </c:pt>
                <c:pt idx="25">
                  <c:v>0.97020636692118301</c:v>
                </c:pt>
                <c:pt idx="26">
                  <c:v>0.96787816270248228</c:v>
                </c:pt>
                <c:pt idx="27">
                  <c:v>0.96533409495181877</c:v>
                </c:pt>
                <c:pt idx="28">
                  <c:v>0.96256947463728626</c:v>
                </c:pt>
                <c:pt idx="29">
                  <c:v>0.95957886753653565</c:v>
                </c:pt>
                <c:pt idx="30">
                  <c:v>0.9563456625002581</c:v>
                </c:pt>
                <c:pt idx="31">
                  <c:v>0.95284457666441091</c:v>
                </c:pt>
                <c:pt idx="32">
                  <c:v>0.9490488250088106</c:v>
                </c:pt>
                <c:pt idx="33">
                  <c:v>0.94493299006451237</c:v>
                </c:pt>
                <c:pt idx="34">
                  <c:v>0.9404833951075976</c:v>
                </c:pt>
                <c:pt idx="35">
                  <c:v>0.9356951119980863</c:v>
                </c:pt>
                <c:pt idx="36">
                  <c:v>0.93057302338549752</c:v>
                </c:pt>
                <c:pt idx="37">
                  <c:v>0.92511698069208603</c:v>
                </c:pt>
                <c:pt idx="38">
                  <c:v>0.91931214917333748</c:v>
                </c:pt>
                <c:pt idx="39">
                  <c:v>0.91312913145164232</c:v>
                </c:pt>
                <c:pt idx="40">
                  <c:v>0.90653606518382202</c:v>
                </c:pt>
                <c:pt idx="41">
                  <c:v>0.89949001361718084</c:v>
                </c:pt>
                <c:pt idx="42">
                  <c:v>0.89194410194394491</c:v>
                </c:pt>
                <c:pt idx="43">
                  <c:v>0.88384471433183276</c:v>
                </c:pt>
                <c:pt idx="44">
                  <c:v>0.87514821264963616</c:v>
                </c:pt>
                <c:pt idx="45">
                  <c:v>0.86582149560296517</c:v>
                </c:pt>
                <c:pt idx="46">
                  <c:v>0.85583545680127882</c:v>
                </c:pt>
                <c:pt idx="47">
                  <c:v>0.8451448737761913</c:v>
                </c:pt>
                <c:pt idx="48">
                  <c:v>0.83365132606527204</c:v>
                </c:pt>
                <c:pt idx="49">
                  <c:v>0.82137806114754131</c:v>
                </c:pt>
                <c:pt idx="50">
                  <c:v>0.80826985294529996</c:v>
                </c:pt>
                <c:pt idx="51">
                  <c:v>0.79429656455456688</c:v>
                </c:pt>
                <c:pt idx="52">
                  <c:v>0.77939929419737664</c:v>
                </c:pt>
                <c:pt idx="53">
                  <c:v>0.76348084301268937</c:v>
                </c:pt>
                <c:pt idx="54">
                  <c:v>0.74639040068993456</c:v>
                </c:pt>
                <c:pt idx="55">
                  <c:v>0.72797060518650802</c:v>
                </c:pt>
                <c:pt idx="56">
                  <c:v>0.70808237545575203</c:v>
                </c:pt>
                <c:pt idx="57">
                  <c:v>0.6866281167535806</c:v>
                </c:pt>
                <c:pt idx="58">
                  <c:v>0.66353296806970385</c:v>
                </c:pt>
                <c:pt idx="59">
                  <c:v>0.63883925689650578</c:v>
                </c:pt>
                <c:pt idx="60">
                  <c:v>0.6125444414308685</c:v>
                </c:pt>
                <c:pt idx="61">
                  <c:v>0.58467158669466301</c:v>
                </c:pt>
                <c:pt idx="62">
                  <c:v>0.55527383157838595</c:v>
                </c:pt>
                <c:pt idx="63">
                  <c:v>0.52443914254653923</c:v>
                </c:pt>
                <c:pt idx="64">
                  <c:v>0.49531672229744439</c:v>
                </c:pt>
                <c:pt idx="65">
                  <c:v>0.46781148751823393</c:v>
                </c:pt>
                <c:pt idx="66">
                  <c:v>0.44183363492945388</c:v>
                </c:pt>
                <c:pt idx="67">
                  <c:v>0.41729834808164035</c:v>
                </c:pt>
                <c:pt idx="68">
                  <c:v>0.39412552043365801</c:v>
                </c:pt>
                <c:pt idx="69">
                  <c:v>0.37223949380866472</c:v>
                </c:pt>
                <c:pt idx="70">
                  <c:v>0.35156881137377327</c:v>
                </c:pt>
                <c:pt idx="71">
                  <c:v>0.3320459843369008</c:v>
                </c:pt>
                <c:pt idx="72">
                  <c:v>0.31360727159908208</c:v>
                </c:pt>
                <c:pt idx="73">
                  <c:v>0.29619247164282209</c:v>
                </c:pt>
                <c:pt idx="74">
                  <c:v>0.27974472597701322</c:v>
                </c:pt>
                <c:pt idx="75">
                  <c:v>0.26421033349667411</c:v>
                </c:pt>
                <c:pt idx="76">
                  <c:v>0.24953857515140371</c:v>
                </c:pt>
                <c:pt idx="77">
                  <c:v>0.23568154835010116</c:v>
                </c:pt>
                <c:pt idx="78">
                  <c:v>0.22259401056129105</c:v>
                </c:pt>
                <c:pt idx="79">
                  <c:v>0.21023323159841623</c:v>
                </c:pt>
                <c:pt idx="80">
                  <c:v>0.19855885410781721</c:v>
                </c:pt>
                <c:pt idx="81">
                  <c:v>0.18753276180389766</c:v>
                </c:pt>
                <c:pt idx="82">
                  <c:v>0.17711895502127015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15-4302-988A-E0C2AD07FAB5}"/>
            </c:ext>
          </c:extLst>
        </c:ser>
        <c:ser>
          <c:idx val="1"/>
          <c:order val="1"/>
          <c:tx>
            <c:v>Dead</c:v>
          </c:tx>
          <c:marker>
            <c:symbol val="none"/>
          </c:marker>
          <c:val>
            <c:numRef>
              <c:f>'2. Strategy Calcs'!$E$8:$E$90</c:f>
              <c:numCache>
                <c:formatCode>General</c:formatCode>
                <c:ptCount val="83"/>
                <c:pt idx="0">
                  <c:v>0</c:v>
                </c:pt>
                <c:pt idx="1">
                  <c:v>7.1509999999999998E-4</c:v>
                </c:pt>
                <c:pt idx="2">
                  <c:v>1.51003113795E-3</c:v>
                </c:pt>
                <c:pt idx="3">
                  <c:v>2.3894012535268074E-3</c:v>
                </c:pt>
                <c:pt idx="4">
                  <c:v>3.349601454820288E-3</c:v>
                </c:pt>
                <c:pt idx="5">
                  <c:v>4.3630952451008814E-3</c:v>
                </c:pt>
                <c:pt idx="6">
                  <c:v>5.3921855498555455E-3</c:v>
                </c:pt>
                <c:pt idx="7">
                  <c:v>6.4092715009122633E-3</c:v>
                </c:pt>
                <c:pt idx="8">
                  <c:v>7.4057436425239986E-3</c:v>
                </c:pt>
                <c:pt idx="9">
                  <c:v>8.3879156591897212E-3</c:v>
                </c:pt>
                <c:pt idx="10">
                  <c:v>9.362174532054568E-3</c:v>
                </c:pt>
                <c:pt idx="11">
                  <c:v>1.0340924703616899E-2</c:v>
                </c:pt>
                <c:pt idx="12">
                  <c:v>1.1335927937919883E-2</c:v>
                </c:pt>
                <c:pt idx="13">
                  <c:v>1.2354350798551033E-2</c:v>
                </c:pt>
                <c:pt idx="14">
                  <c:v>1.3401255186704569E-2</c:v>
                </c:pt>
                <c:pt idx="15">
                  <c:v>1.44854285473799E-2</c:v>
                </c:pt>
                <c:pt idx="16">
                  <c:v>1.5614926797721747E-2</c:v>
                </c:pt>
                <c:pt idx="17">
                  <c:v>1.6797271709145006E-2</c:v>
                </c:pt>
                <c:pt idx="18">
                  <c:v>1.8040433238795964E-2</c:v>
                </c:pt>
                <c:pt idx="19">
                  <c:v>1.935665184208268E-2</c:v>
                </c:pt>
                <c:pt idx="20">
                  <c:v>2.0762404081667053E-2</c:v>
                </c:pt>
                <c:pt idx="21">
                  <c:v>2.2278655575187E-2</c:v>
                </c:pt>
                <c:pt idx="22">
                  <c:v>2.3926507129080579E-2</c:v>
                </c:pt>
                <c:pt idx="23">
                  <c:v>2.5718187632594439E-2</c:v>
                </c:pt>
                <c:pt idx="24">
                  <c:v>2.7666361544604303E-2</c:v>
                </c:pt>
                <c:pt idx="25">
                  <c:v>2.9793633078817015E-2</c:v>
                </c:pt>
                <c:pt idx="26">
                  <c:v>3.2121837297517775E-2</c:v>
                </c:pt>
                <c:pt idx="27">
                  <c:v>3.4665905048181248E-2</c:v>
                </c:pt>
                <c:pt idx="28">
                  <c:v>3.7430525362713761E-2</c:v>
                </c:pt>
                <c:pt idx="29">
                  <c:v>4.0421132463464349E-2</c:v>
                </c:pt>
                <c:pt idx="30">
                  <c:v>4.3654337499741951E-2</c:v>
                </c:pt>
                <c:pt idx="31">
                  <c:v>4.7155423335589142E-2</c:v>
                </c:pt>
                <c:pt idx="32">
                  <c:v>5.0951174991189487E-2</c:v>
                </c:pt>
                <c:pt idx="33">
                  <c:v>5.5067009935487694E-2</c:v>
                </c:pt>
                <c:pt idx="34">
                  <c:v>5.9516604892402479E-2</c:v>
                </c:pt>
                <c:pt idx="35">
                  <c:v>6.4304888001913793E-2</c:v>
                </c:pt>
                <c:pt idx="36">
                  <c:v>6.942697661450252E-2</c:v>
                </c:pt>
                <c:pt idx="37">
                  <c:v>7.4883019307914023E-2</c:v>
                </c:pt>
                <c:pt idx="38">
                  <c:v>8.068785082666266E-2</c:v>
                </c:pt>
                <c:pt idx="39">
                  <c:v>8.687086854835778E-2</c:v>
                </c:pt>
                <c:pt idx="40">
                  <c:v>9.3463934816178082E-2</c:v>
                </c:pt>
                <c:pt idx="41">
                  <c:v>0.10050998638281934</c:v>
                </c:pt>
                <c:pt idx="42">
                  <c:v>0.10805589805605524</c:v>
                </c:pt>
                <c:pt idx="43">
                  <c:v>0.11615528566816742</c:v>
                </c:pt>
                <c:pt idx="44">
                  <c:v>0.12485178735036405</c:v>
                </c:pt>
                <c:pt idx="45">
                  <c:v>0.13417850439703502</c:v>
                </c:pt>
                <c:pt idx="46">
                  <c:v>0.14416454319872138</c:v>
                </c:pt>
                <c:pt idx="47">
                  <c:v>0.15485512622380887</c:v>
                </c:pt>
                <c:pt idx="48">
                  <c:v>0.16634867393472819</c:v>
                </c:pt>
                <c:pt idx="49">
                  <c:v>0.17862193885245894</c:v>
                </c:pt>
                <c:pt idx="50">
                  <c:v>0.19173014705470032</c:v>
                </c:pt>
                <c:pt idx="51">
                  <c:v>0.20570343544543337</c:v>
                </c:pt>
                <c:pt idx="52">
                  <c:v>0.22060070580262364</c:v>
                </c:pt>
                <c:pt idx="53">
                  <c:v>0.23651915698731085</c:v>
                </c:pt>
                <c:pt idx="54">
                  <c:v>0.2536095993100656</c:v>
                </c:pt>
                <c:pt idx="55">
                  <c:v>0.27202939481349214</c:v>
                </c:pt>
                <c:pt idx="56">
                  <c:v>0.29191762454424808</c:v>
                </c:pt>
                <c:pt idx="57">
                  <c:v>0.31337188324641946</c:v>
                </c:pt>
                <c:pt idx="58">
                  <c:v>0.3364670319302962</c:v>
                </c:pt>
                <c:pt idx="59">
                  <c:v>0.36116074310349428</c:v>
                </c:pt>
                <c:pt idx="60">
                  <c:v>0.3874555585691315</c:v>
                </c:pt>
                <c:pt idx="61">
                  <c:v>0.41532841330533687</c:v>
                </c:pt>
                <c:pt idx="62">
                  <c:v>0.44472616842161389</c:v>
                </c:pt>
                <c:pt idx="63">
                  <c:v>0.47556085745346061</c:v>
                </c:pt>
                <c:pt idx="64">
                  <c:v>0.5046832777025555</c:v>
                </c:pt>
                <c:pt idx="65">
                  <c:v>0.53218851248176602</c:v>
                </c:pt>
                <c:pt idx="66">
                  <c:v>0.55816636507054607</c:v>
                </c:pt>
                <c:pt idx="67">
                  <c:v>0.58270165191835965</c:v>
                </c:pt>
                <c:pt idx="68">
                  <c:v>0.60587447956634199</c:v>
                </c:pt>
                <c:pt idx="69">
                  <c:v>0.62776050619133528</c:v>
                </c:pt>
                <c:pt idx="70">
                  <c:v>0.64843118862622673</c:v>
                </c:pt>
                <c:pt idx="71">
                  <c:v>0.6679540156630992</c:v>
                </c:pt>
                <c:pt idx="72">
                  <c:v>0.68639272840091792</c:v>
                </c:pt>
                <c:pt idx="73">
                  <c:v>0.70380752835717786</c:v>
                </c:pt>
                <c:pt idx="74">
                  <c:v>0.72025527402298672</c:v>
                </c:pt>
                <c:pt idx="75">
                  <c:v>0.73578966650332589</c:v>
                </c:pt>
                <c:pt idx="76">
                  <c:v>0.75046142484859635</c:v>
                </c:pt>
                <c:pt idx="77">
                  <c:v>0.76431845164989887</c:v>
                </c:pt>
                <c:pt idx="78">
                  <c:v>0.77740598943870898</c:v>
                </c:pt>
                <c:pt idx="79">
                  <c:v>0.78976676840158377</c:v>
                </c:pt>
                <c:pt idx="80">
                  <c:v>0.80144114589218274</c:v>
                </c:pt>
                <c:pt idx="81">
                  <c:v>0.81246723819610234</c:v>
                </c:pt>
                <c:pt idx="82">
                  <c:v>0.82288104497872983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15-4302-988A-E0C2AD07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9610847"/>
        <c:axId val="741470127"/>
      </c:lineChart>
      <c:catAx>
        <c:axId val="789610847"/>
        <c:scaling>
          <c:orientation val="minMax"/>
        </c:scaling>
        <c:delete val="0"/>
        <c:axPos val="b"/>
        <c:majorTickMark val="out"/>
        <c:minorTickMark val="none"/>
        <c:tickLblPos val="nextTo"/>
        <c:crossAx val="741470127"/>
        <c:crosses val="autoZero"/>
        <c:auto val="1"/>
        <c:lblAlgn val="ctr"/>
        <c:lblOffset val="100"/>
        <c:noMultiLvlLbl val="0"/>
      </c:catAx>
      <c:valAx>
        <c:axId val="741470127"/>
        <c:scaling>
          <c:orientation val="minMax"/>
          <c:max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9610847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1</xdr:col>
          <xdr:colOff>381000</xdr:colOff>
          <xdr:row>17</xdr:row>
          <xdr:rowOff>6350</xdr:rowOff>
        </xdr:to>
        <xdr:sp macro="" textlink="">
          <xdr:nvSpPr>
            <xdr:cNvPr id="2049" name="btnCE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0" name="btnRestore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1" name="btnRestore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25</xdr:row>
      <xdr:rowOff>12700</xdr:rowOff>
    </xdr:from>
    <xdr:to>
      <xdr:col>12</xdr:col>
      <xdr:colOff>412750</xdr:colOff>
      <xdr:row>49</xdr:row>
      <xdr:rowOff>38100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2" name="btnRestore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3" name="btnRestore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4" name="btnRestore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5" name="btnRestore2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6" name="btnRestore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7" name="btnRestore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58</xdr:row>
          <xdr:rowOff>12700</xdr:rowOff>
        </xdr:from>
        <xdr:to>
          <xdr:col>2</xdr:col>
          <xdr:colOff>393700</xdr:colOff>
          <xdr:row>60</xdr:row>
          <xdr:rowOff>25400</xdr:rowOff>
        </xdr:to>
        <xdr:sp macro="" textlink="">
          <xdr:nvSpPr>
            <xdr:cNvPr id="2058" name="btnRestore2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Original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7</xdr:row>
      <xdr:rowOff>0</xdr:rowOff>
    </xdr:from>
    <xdr:to>
      <xdr:col>0</xdr:col>
      <xdr:colOff>6362700</xdr:colOff>
      <xdr:row>34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7A59B7-F978-41B9-AB32-E2AB64A234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7</xdr:row>
      <xdr:rowOff>0</xdr:rowOff>
    </xdr:from>
    <xdr:to>
      <xdr:col>0</xdr:col>
      <xdr:colOff>6362700</xdr:colOff>
      <xdr:row>34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9CDB24-0AA4-4351-B51E-EF164D8760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16</xdr:col>
      <xdr:colOff>207606</xdr:colOff>
      <xdr:row>28</xdr:row>
      <xdr:rowOff>171450</xdr:rowOff>
    </xdr:to>
    <xdr:pic>
      <xdr:nvPicPr>
        <xdr:cNvPr id="2" name="Picture 1" descr="Pictu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10550" cy="51244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</xdr:row>
      <xdr:rowOff>0</xdr:rowOff>
    </xdr:from>
    <xdr:to>
      <xdr:col>16</xdr:col>
      <xdr:colOff>207606</xdr:colOff>
      <xdr:row>28</xdr:row>
      <xdr:rowOff>171450</xdr:rowOff>
    </xdr:to>
    <xdr:pic>
      <xdr:nvPicPr>
        <xdr:cNvPr id="3" name="Picture 1" descr="Pictur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10550" cy="51244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32</xdr:row>
      <xdr:rowOff>0</xdr:rowOff>
    </xdr:from>
    <xdr:to>
      <xdr:col>8</xdr:col>
      <xdr:colOff>475343</xdr:colOff>
      <xdr:row>36</xdr:row>
      <xdr:rowOff>85725</xdr:rowOff>
    </xdr:to>
    <xdr:pic>
      <xdr:nvPicPr>
        <xdr:cNvPr id="4" name="Picture 1" descr="Pictur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4210050" cy="8477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32</xdr:row>
      <xdr:rowOff>0</xdr:rowOff>
    </xdr:from>
    <xdr:to>
      <xdr:col>8</xdr:col>
      <xdr:colOff>475343</xdr:colOff>
      <xdr:row>36</xdr:row>
      <xdr:rowOff>85725</xdr:rowOff>
    </xdr:to>
    <xdr:pic>
      <xdr:nvPicPr>
        <xdr:cNvPr id="5" name="Picture 1" descr="Picture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4210050" cy="84772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1</xdr:row>
      <xdr:rowOff>0</xdr:rowOff>
    </xdr:from>
    <xdr:to>
      <xdr:col>38</xdr:col>
      <xdr:colOff>111709</xdr:colOff>
      <xdr:row>107</xdr:row>
      <xdr:rowOff>152400</xdr:rowOff>
    </xdr:to>
    <xdr:pic>
      <xdr:nvPicPr>
        <xdr:cNvPr id="6" name="Picture 1" descr="Picture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0782300" cy="20345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2508250</xdr:colOff>
          <xdr:row>48</xdr:row>
          <xdr:rowOff>12700</xdr:rowOff>
        </xdr:from>
        <xdr:to>
          <xdr:col>3</xdr:col>
          <xdr:colOff>323850</xdr:colOff>
          <xdr:row>50</xdr:row>
          <xdr:rowOff>25400</xdr:rowOff>
        </xdr:to>
        <xdr:sp macro="" textlink="">
          <xdr:nvSpPr>
            <xdr:cNvPr id="6145" name="btnRestore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0D1A-046C-4F37-8389-B9E33702FC53}">
  <sheetPr codeName="Sheet8"/>
  <dimension ref="A1:E32"/>
  <sheetViews>
    <sheetView workbookViewId="0">
      <selection activeCell="I16" sqref="I16"/>
    </sheetView>
  </sheetViews>
  <sheetFormatPr defaultRowHeight="14.5" x14ac:dyDescent="0.35"/>
  <cols>
    <col min="1" max="1" width="41.1796875" style="116" customWidth="1"/>
    <col min="2" max="2" width="19.36328125" style="127" customWidth="1"/>
    <col min="3" max="4" width="14.6328125" style="127" bestFit="1" customWidth="1"/>
    <col min="5" max="5" width="10.54296875" style="115" customWidth="1"/>
    <col min="6" max="16384" width="8.7265625" style="115"/>
  </cols>
  <sheetData>
    <row r="1" spans="1:5" x14ac:dyDescent="0.35">
      <c r="A1" s="119" t="s">
        <v>199</v>
      </c>
      <c r="B1" s="130" t="s">
        <v>198</v>
      </c>
      <c r="C1" s="130" t="s">
        <v>148</v>
      </c>
      <c r="D1" s="130" t="s">
        <v>149</v>
      </c>
      <c r="E1" s="118" t="s">
        <v>197</v>
      </c>
    </row>
    <row r="2" spans="1:5" x14ac:dyDescent="0.35">
      <c r="A2" s="117" t="s">
        <v>200</v>
      </c>
      <c r="B2" s="127">
        <v>0.03</v>
      </c>
      <c r="C2" s="127">
        <v>0.01</v>
      </c>
      <c r="D2" s="127">
        <v>0.05</v>
      </c>
      <c r="E2" s="115" t="s">
        <v>245</v>
      </c>
    </row>
    <row r="3" spans="1:5" s="179" customFormat="1" x14ac:dyDescent="0.35">
      <c r="A3" s="138" t="s">
        <v>248</v>
      </c>
      <c r="B3" s="178">
        <v>8.4999999999999995E-4</v>
      </c>
      <c r="C3" s="178" t="s">
        <v>196</v>
      </c>
      <c r="D3" s="178" t="s">
        <v>195</v>
      </c>
      <c r="E3" s="179" t="s">
        <v>245</v>
      </c>
    </row>
    <row r="4" spans="1:5" s="179" customFormat="1" x14ac:dyDescent="0.35">
      <c r="A4" s="138" t="s">
        <v>249</v>
      </c>
      <c r="B4" s="178">
        <v>10.86</v>
      </c>
      <c r="C4" s="178" t="s">
        <v>194</v>
      </c>
      <c r="D4" s="178" t="s">
        <v>193</v>
      </c>
      <c r="E4" s="179" t="s">
        <v>245</v>
      </c>
    </row>
    <row r="5" spans="1:5" s="179" customFormat="1" x14ac:dyDescent="0.35">
      <c r="A5" s="138" t="s">
        <v>250</v>
      </c>
      <c r="B5" s="178">
        <v>8.7000000000000001E-4</v>
      </c>
      <c r="C5" s="178" t="s">
        <v>192</v>
      </c>
      <c r="D5" s="178" t="s">
        <v>191</v>
      </c>
      <c r="E5" s="179" t="s">
        <v>245</v>
      </c>
    </row>
    <row r="6" spans="1:5" s="179" customFormat="1" x14ac:dyDescent="0.35">
      <c r="A6" s="138" t="s">
        <v>251</v>
      </c>
      <c r="B6" s="178">
        <v>3.1500000000000001E-9</v>
      </c>
      <c r="C6" s="178">
        <v>1.37E-9</v>
      </c>
      <c r="D6" s="178">
        <v>4.9300000000000001E-9</v>
      </c>
      <c r="E6" s="179" t="s">
        <v>245</v>
      </c>
    </row>
    <row r="7" spans="1:5" s="179" customFormat="1" x14ac:dyDescent="0.35">
      <c r="A7" s="139" t="s">
        <v>190</v>
      </c>
      <c r="B7" s="178">
        <v>6.5799999999999999E-3</v>
      </c>
      <c r="C7" s="178" t="s">
        <v>189</v>
      </c>
      <c r="D7" s="178">
        <v>9.5099999999999994E-3</v>
      </c>
      <c r="E7" s="179" t="s">
        <v>245</v>
      </c>
    </row>
    <row r="8" spans="1:5" s="179" customFormat="1" x14ac:dyDescent="0.35">
      <c r="A8" s="140" t="s">
        <v>246</v>
      </c>
      <c r="B8" s="178">
        <v>0.152</v>
      </c>
      <c r="C8" s="178">
        <v>8.3000000000000004E-2</v>
      </c>
      <c r="D8" s="178">
        <v>0.38300000000000001</v>
      </c>
      <c r="E8" s="179" t="s">
        <v>245</v>
      </c>
    </row>
    <row r="9" spans="1:5" s="179" customFormat="1" x14ac:dyDescent="0.35">
      <c r="A9" s="140" t="s">
        <v>247</v>
      </c>
      <c r="B9" s="178">
        <v>1.3699999999999999E-3</v>
      </c>
      <c r="C9" s="178">
        <v>9.1299999999999997E-4</v>
      </c>
      <c r="D9" s="178">
        <v>2.7399999999999998E-3</v>
      </c>
      <c r="E9" s="179" t="s">
        <v>245</v>
      </c>
    </row>
    <row r="10" spans="1:5" s="179" customFormat="1" x14ac:dyDescent="0.35">
      <c r="A10" s="138" t="s">
        <v>255</v>
      </c>
      <c r="B10" s="178">
        <v>7.5999999999999998E-2</v>
      </c>
      <c r="C10" s="178">
        <v>0</v>
      </c>
      <c r="D10" s="178">
        <v>0.19</v>
      </c>
      <c r="E10" s="179" t="s">
        <v>187</v>
      </c>
    </row>
    <row r="11" spans="1:5" s="179" customFormat="1" x14ac:dyDescent="0.35">
      <c r="A11" s="138" t="s">
        <v>256</v>
      </c>
      <c r="B11" s="178">
        <v>1.9E-2</v>
      </c>
      <c r="C11" s="178">
        <v>5.0000000000000001E-3</v>
      </c>
      <c r="D11" s="178">
        <v>0.1</v>
      </c>
      <c r="E11" s="179" t="s">
        <v>187</v>
      </c>
    </row>
    <row r="12" spans="1:5" s="179" customFormat="1" x14ac:dyDescent="0.35">
      <c r="A12" s="138" t="s">
        <v>257</v>
      </c>
      <c r="B12" s="178">
        <v>1.2E-2</v>
      </c>
      <c r="C12" s="178">
        <v>2.0000000000000001E-4</v>
      </c>
      <c r="D12" s="178">
        <v>0.06</v>
      </c>
      <c r="E12" s="179" t="s">
        <v>187</v>
      </c>
    </row>
    <row r="13" spans="1:5" x14ac:dyDescent="0.35">
      <c r="A13" s="132" t="s">
        <v>258</v>
      </c>
      <c r="B13" s="127">
        <v>6.4000000000000001E-2</v>
      </c>
      <c r="C13" s="127">
        <v>0.02</v>
      </c>
      <c r="D13" s="127">
        <v>0.2</v>
      </c>
      <c r="E13" s="115" t="s">
        <v>187</v>
      </c>
    </row>
    <row r="14" spans="1:5" x14ac:dyDescent="0.35">
      <c r="A14" s="132" t="s">
        <v>259</v>
      </c>
      <c r="B14" s="127">
        <v>2.1000000000000001E-2</v>
      </c>
      <c r="C14" s="127">
        <v>2.0000000000000001E-4</v>
      </c>
      <c r="D14" s="127">
        <v>0.11</v>
      </c>
      <c r="E14" s="115" t="s">
        <v>187</v>
      </c>
    </row>
    <row r="15" spans="1:5" x14ac:dyDescent="0.35">
      <c r="A15" s="116" t="s">
        <v>188</v>
      </c>
      <c r="B15" s="127">
        <v>9.2999999999999999E-2</v>
      </c>
      <c r="C15" s="127">
        <v>3.1E-2</v>
      </c>
      <c r="D15" s="127">
        <v>0.13700000000000001</v>
      </c>
      <c r="E15" s="115" t="s">
        <v>245</v>
      </c>
    </row>
    <row r="16" spans="1:5" x14ac:dyDescent="0.35">
      <c r="A16" s="132" t="s">
        <v>260</v>
      </c>
      <c r="B16" s="127">
        <v>52868</v>
      </c>
      <c r="C16" s="127">
        <v>45997</v>
      </c>
      <c r="D16" s="127">
        <v>64264</v>
      </c>
      <c r="E16" s="115" t="s">
        <v>245</v>
      </c>
    </row>
    <row r="17" spans="1:5" x14ac:dyDescent="0.35">
      <c r="A17" s="117" t="s">
        <v>261</v>
      </c>
      <c r="B17" s="127">
        <v>7378</v>
      </c>
      <c r="C17" s="127">
        <v>3689</v>
      </c>
      <c r="D17" s="127">
        <v>11067</v>
      </c>
      <c r="E17" s="115" t="s">
        <v>245</v>
      </c>
    </row>
    <row r="18" spans="1:5" x14ac:dyDescent="0.35">
      <c r="A18" s="117" t="s">
        <v>262</v>
      </c>
      <c r="B18" s="127">
        <v>215356</v>
      </c>
      <c r="C18" s="127">
        <v>107677</v>
      </c>
      <c r="D18" s="127">
        <v>323034</v>
      </c>
      <c r="E18" s="115" t="s">
        <v>245</v>
      </c>
    </row>
    <row r="19" spans="1:5" x14ac:dyDescent="0.35">
      <c r="A19" s="117" t="s">
        <v>263</v>
      </c>
      <c r="B19" s="127">
        <v>258427</v>
      </c>
      <c r="C19" s="127">
        <v>129213</v>
      </c>
      <c r="D19" s="127">
        <v>387639</v>
      </c>
      <c r="E19" s="115" t="s">
        <v>245</v>
      </c>
    </row>
    <row r="20" spans="1:5" x14ac:dyDescent="0.35">
      <c r="A20" s="117" t="s">
        <v>264</v>
      </c>
      <c r="B20" s="127">
        <v>88879</v>
      </c>
      <c r="C20" s="127">
        <v>33912</v>
      </c>
      <c r="D20" s="127">
        <v>143846</v>
      </c>
      <c r="E20" s="115" t="s">
        <v>245</v>
      </c>
    </row>
    <row r="21" spans="1:5" x14ac:dyDescent="0.35">
      <c r="A21" s="117" t="s">
        <v>265</v>
      </c>
      <c r="B21" s="127">
        <v>3241896</v>
      </c>
      <c r="C21" s="127">
        <v>1195167</v>
      </c>
      <c r="D21" s="127">
        <v>4257677</v>
      </c>
      <c r="E21" s="115" t="s">
        <v>245</v>
      </c>
    </row>
    <row r="22" spans="1:5" x14ac:dyDescent="0.35">
      <c r="A22" s="117" t="s">
        <v>252</v>
      </c>
      <c r="B22" s="127">
        <v>9174</v>
      </c>
      <c r="C22" s="127">
        <v>8916</v>
      </c>
      <c r="D22" s="127">
        <v>9432</v>
      </c>
      <c r="E22" s="115" t="s">
        <v>245</v>
      </c>
    </row>
    <row r="23" spans="1:5" x14ac:dyDescent="0.35">
      <c r="A23" s="117" t="s">
        <v>266</v>
      </c>
      <c r="B23" s="127">
        <v>3.3E-3</v>
      </c>
      <c r="C23" s="127">
        <v>0</v>
      </c>
      <c r="D23" s="127">
        <v>6.6E-3</v>
      </c>
      <c r="E23" s="115" t="s">
        <v>245</v>
      </c>
    </row>
    <row r="24" spans="1:5" x14ac:dyDescent="0.35">
      <c r="A24" s="117" t="s">
        <v>267</v>
      </c>
      <c r="B24" s="127" t="s">
        <v>186</v>
      </c>
      <c r="C24" s="127" t="s">
        <v>185</v>
      </c>
      <c r="D24" s="127" t="s">
        <v>186</v>
      </c>
      <c r="E24" s="115" t="s">
        <v>187</v>
      </c>
    </row>
    <row r="25" spans="1:5" x14ac:dyDescent="0.35">
      <c r="A25" s="117" t="s">
        <v>268</v>
      </c>
      <c r="B25" s="127" t="s">
        <v>184</v>
      </c>
      <c r="C25" s="127" t="s">
        <v>183</v>
      </c>
      <c r="D25" s="127" t="s">
        <v>185</v>
      </c>
      <c r="E25" s="115" t="s">
        <v>245</v>
      </c>
    </row>
    <row r="26" spans="1:5" x14ac:dyDescent="0.35">
      <c r="A26" s="117" t="s">
        <v>269</v>
      </c>
      <c r="B26" s="127" t="s">
        <v>181</v>
      </c>
      <c r="C26" s="127" t="s">
        <v>183</v>
      </c>
      <c r="D26" s="127" t="s">
        <v>182</v>
      </c>
      <c r="E26" s="115" t="s">
        <v>245</v>
      </c>
    </row>
    <row r="27" spans="1:5" x14ac:dyDescent="0.35">
      <c r="A27" s="117" t="s">
        <v>270</v>
      </c>
      <c r="B27" s="127" t="s">
        <v>178</v>
      </c>
      <c r="C27" s="127" t="s">
        <v>180</v>
      </c>
      <c r="D27" s="127" t="s">
        <v>179</v>
      </c>
      <c r="E27" s="115" t="s">
        <v>245</v>
      </c>
    </row>
    <row r="28" spans="1:5" x14ac:dyDescent="0.35">
      <c r="A28" s="117" t="s">
        <v>271</v>
      </c>
      <c r="B28" s="127" t="s">
        <v>175</v>
      </c>
      <c r="C28" s="127" t="s">
        <v>177</v>
      </c>
      <c r="D28" s="127" t="s">
        <v>176</v>
      </c>
      <c r="E28" s="115" t="s">
        <v>187</v>
      </c>
    </row>
    <row r="29" spans="1:5" x14ac:dyDescent="0.35">
      <c r="A29" s="132" t="s">
        <v>253</v>
      </c>
      <c r="B29" s="131">
        <v>14500000</v>
      </c>
      <c r="C29" s="131">
        <v>13200000</v>
      </c>
      <c r="D29" s="131">
        <v>15800000</v>
      </c>
      <c r="E29" s="115" t="s">
        <v>245</v>
      </c>
    </row>
    <row r="30" spans="1:5" x14ac:dyDescent="0.35">
      <c r="A30" s="116" t="s">
        <v>174</v>
      </c>
      <c r="B30" s="127">
        <v>0.1</v>
      </c>
      <c r="C30" s="127">
        <v>0</v>
      </c>
      <c r="D30" s="127">
        <v>0.25</v>
      </c>
      <c r="E30" s="115" t="s">
        <v>245</v>
      </c>
    </row>
    <row r="31" spans="1:5" x14ac:dyDescent="0.35">
      <c r="A31" s="132" t="s">
        <v>173</v>
      </c>
      <c r="B31" s="131">
        <v>310.27</v>
      </c>
      <c r="C31" s="131">
        <v>50</v>
      </c>
      <c r="D31" s="131">
        <v>500</v>
      </c>
      <c r="E31" s="115" t="s">
        <v>245</v>
      </c>
    </row>
    <row r="32" spans="1:5" x14ac:dyDescent="0.35">
      <c r="A32" s="132" t="s">
        <v>254</v>
      </c>
      <c r="B32" s="131">
        <v>28.88</v>
      </c>
      <c r="C32" s="131">
        <v>24.06</v>
      </c>
      <c r="D32" s="131">
        <v>43.3</v>
      </c>
      <c r="E32" s="115" t="s">
        <v>245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N56"/>
  <sheetViews>
    <sheetView topLeftCell="B7" workbookViewId="0">
      <selection activeCell="C21" sqref="C21"/>
    </sheetView>
  </sheetViews>
  <sheetFormatPr defaultRowHeight="14.5" x14ac:dyDescent="0.35"/>
  <cols>
    <col min="1" max="1" width="10" customWidth="1"/>
    <col min="2" max="2" width="23.453125" bestFit="1" customWidth="1"/>
    <col min="3" max="3" width="11.6328125" bestFit="1" customWidth="1"/>
    <col min="4" max="4" width="63.36328125" bestFit="1" customWidth="1"/>
    <col min="5" max="5" width="10" customWidth="1"/>
    <col min="6" max="6" width="15.90625" bestFit="1" customWidth="1"/>
    <col min="7" max="8" width="10" bestFit="1" customWidth="1"/>
    <col min="9" max="20" width="10" customWidth="1"/>
  </cols>
  <sheetData>
    <row r="2" spans="2:14" ht="18.5" x14ac:dyDescent="0.45">
      <c r="B2" s="85" t="s">
        <v>151</v>
      </c>
    </row>
    <row r="3" spans="2:14" x14ac:dyDescent="0.35">
      <c r="B3" t="s">
        <v>152</v>
      </c>
    </row>
    <row r="4" spans="2:14" x14ac:dyDescent="0.35">
      <c r="B4" s="183"/>
      <c r="C4" s="184"/>
      <c r="D4" s="184"/>
      <c r="E4" s="184"/>
      <c r="F4" s="184"/>
      <c r="G4" s="184"/>
      <c r="H4" s="184"/>
      <c r="I4" s="184"/>
      <c r="J4" s="184"/>
      <c r="K4" s="184"/>
      <c r="L4" s="184"/>
      <c r="M4" s="184"/>
      <c r="N4" s="185"/>
    </row>
    <row r="6" spans="2:14" x14ac:dyDescent="0.35">
      <c r="B6" t="s">
        <v>153</v>
      </c>
    </row>
    <row r="7" spans="2:14" x14ac:dyDescent="0.35">
      <c r="B7" s="186" t="s">
        <v>71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8"/>
    </row>
    <row r="8" spans="2:14" x14ac:dyDescent="0.35">
      <c r="B8" s="189" t="s">
        <v>7</v>
      </c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90"/>
    </row>
    <row r="9" spans="2:14" x14ac:dyDescent="0.35">
      <c r="B9" s="189" t="s">
        <v>72</v>
      </c>
      <c r="C9" s="181"/>
      <c r="D9" s="181"/>
      <c r="E9" s="181"/>
      <c r="F9" s="181"/>
      <c r="G9" s="181"/>
      <c r="H9" s="181"/>
      <c r="I9" s="181"/>
      <c r="J9" s="181"/>
      <c r="K9" s="181"/>
      <c r="L9" s="181"/>
      <c r="M9" s="181"/>
      <c r="N9" s="190"/>
    </row>
    <row r="10" spans="2:14" x14ac:dyDescent="0.35">
      <c r="B10" s="191" t="s">
        <v>7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3"/>
    </row>
    <row r="12" spans="2:14" x14ac:dyDescent="0.35">
      <c r="B12" s="180" t="s">
        <v>0</v>
      </c>
      <c r="C12" s="181"/>
      <c r="D12" s="181"/>
    </row>
    <row r="13" spans="2:14" x14ac:dyDescent="0.35">
      <c r="B13" s="182" t="s">
        <v>1</v>
      </c>
      <c r="C13" s="181"/>
      <c r="D13" s="181"/>
    </row>
    <row r="14" spans="2:14" x14ac:dyDescent="0.35">
      <c r="B14" t="s">
        <v>2</v>
      </c>
      <c r="F14" t="s">
        <v>154</v>
      </c>
    </row>
    <row r="15" spans="2:14" x14ac:dyDescent="0.35">
      <c r="B15" s="17" t="s">
        <v>3</v>
      </c>
      <c r="C15" s="13" t="s">
        <v>4</v>
      </c>
      <c r="D15" s="13" t="s">
        <v>5</v>
      </c>
      <c r="F15" t="s">
        <v>155</v>
      </c>
      <c r="G15" s="12">
        <v>100000</v>
      </c>
    </row>
    <row r="16" spans="2:14" ht="15.5" thickTop="1" thickBot="1" x14ac:dyDescent="0.4">
      <c r="B16" s="18" t="s">
        <v>6</v>
      </c>
      <c r="C16" s="21"/>
      <c r="D16" s="15"/>
      <c r="F16" s="92" t="s">
        <v>48</v>
      </c>
      <c r="G16" s="93" t="s">
        <v>156</v>
      </c>
      <c r="H16" s="94" t="s">
        <v>157</v>
      </c>
    </row>
    <row r="17" spans="2:14" ht="15" thickTop="1" x14ac:dyDescent="0.35">
      <c r="B17" s="19" t="s">
        <v>7</v>
      </c>
      <c r="C17" s="133">
        <f>'List of all parameters'!B2</f>
        <v>0.03</v>
      </c>
      <c r="D17" s="14" t="s">
        <v>8</v>
      </c>
      <c r="F17" s="86" t="s">
        <v>68</v>
      </c>
      <c r="G17" s="87">
        <f>'2. Strategy Calcs'!H92</f>
        <v>1534.3727479779975</v>
      </c>
      <c r="H17" s="88">
        <f>'2. Strategy Calcs'!K92</f>
        <v>27.727423753831907</v>
      </c>
    </row>
    <row r="18" spans="2:14" ht="15" thickBot="1" x14ac:dyDescent="0.4">
      <c r="B18" s="19" t="s">
        <v>7</v>
      </c>
      <c r="C18" s="133" t="str">
        <f>'List of all parameters'!B25</f>
        <v>0.7</v>
      </c>
      <c r="D18" s="14" t="s">
        <v>9</v>
      </c>
      <c r="F18" s="89" t="s">
        <v>49</v>
      </c>
      <c r="G18" s="90">
        <f>'1. Strategy Calcs'!M92</f>
        <v>136632.93323927111</v>
      </c>
      <c r="H18" s="91">
        <f>'1. Strategy Calcs'!P92</f>
        <v>23.813582244547764</v>
      </c>
    </row>
    <row r="19" spans="2:14" x14ac:dyDescent="0.35">
      <c r="B19" s="19" t="s">
        <v>7</v>
      </c>
      <c r="C19" s="133" t="str">
        <f>'List of all parameters'!B26</f>
        <v>0.61</v>
      </c>
      <c r="D19" s="14" t="s">
        <v>10</v>
      </c>
    </row>
    <row r="20" spans="2:14" ht="15" thickBot="1" x14ac:dyDescent="0.4">
      <c r="B20" s="19" t="s">
        <v>7</v>
      </c>
      <c r="C20" s="133" t="str">
        <f>'List of all parameters'!B27</f>
        <v>0.72</v>
      </c>
      <c r="D20" s="14" t="s">
        <v>11</v>
      </c>
    </row>
    <row r="21" spans="2:14" ht="15" thickBot="1" x14ac:dyDescent="0.4">
      <c r="B21" s="19" t="s">
        <v>7</v>
      </c>
      <c r="C21" s="133" t="str">
        <f>'List of all parameters'!B28</f>
        <v>0.06</v>
      </c>
      <c r="D21" s="14" t="s">
        <v>12</v>
      </c>
      <c r="F21" s="112" t="s">
        <v>165</v>
      </c>
      <c r="G21" s="113" t="s">
        <v>48</v>
      </c>
      <c r="H21" s="113" t="s">
        <v>156</v>
      </c>
      <c r="I21" s="113" t="s">
        <v>166</v>
      </c>
      <c r="J21" s="113" t="s">
        <v>157</v>
      </c>
      <c r="K21" s="113" t="s">
        <v>167</v>
      </c>
      <c r="L21" s="113" t="s">
        <v>168</v>
      </c>
      <c r="M21" s="113" t="s">
        <v>169</v>
      </c>
      <c r="N21" s="114" t="s">
        <v>170</v>
      </c>
    </row>
    <row r="22" spans="2:14" ht="15" thickTop="1" x14ac:dyDescent="0.35">
      <c r="B22" s="19" t="s">
        <v>7</v>
      </c>
      <c r="C22" s="133">
        <v>1</v>
      </c>
      <c r="D22" s="14" t="s">
        <v>13</v>
      </c>
      <c r="F22" s="106" t="s">
        <v>171</v>
      </c>
      <c r="G22" s="107" t="s">
        <v>68</v>
      </c>
      <c r="H22" s="107">
        <v>1534.3727479779975</v>
      </c>
      <c r="I22" s="107"/>
      <c r="J22" s="107">
        <v>27.727423753831907</v>
      </c>
      <c r="K22" s="107"/>
      <c r="L22" s="107"/>
      <c r="M22" s="107">
        <f>J22*WTP - H22</f>
        <v>2771208.0026352126</v>
      </c>
      <c r="N22" s="108">
        <v>55.337732116780174</v>
      </c>
    </row>
    <row r="23" spans="2:14" ht="15" thickBot="1" x14ac:dyDescent="0.4">
      <c r="B23" s="19" t="s">
        <v>7</v>
      </c>
      <c r="C23" s="133" t="str">
        <f>'List of all parameters'!B24</f>
        <v>1</v>
      </c>
      <c r="D23" s="14" t="s">
        <v>14</v>
      </c>
      <c r="F23" s="109" t="s">
        <v>172</v>
      </c>
      <c r="G23" s="110" t="s">
        <v>49</v>
      </c>
      <c r="H23" s="110">
        <v>135981.1071192711</v>
      </c>
      <c r="I23" s="110"/>
      <c r="J23" s="110">
        <v>23.81356795929776</v>
      </c>
      <c r="K23" s="110"/>
      <c r="L23" s="110"/>
      <c r="M23" s="110">
        <f>J23*WTP - H23</f>
        <v>2245375.688810505</v>
      </c>
      <c r="N23" s="111">
        <v>5710.2365908246302</v>
      </c>
    </row>
    <row r="24" spans="2:14" x14ac:dyDescent="0.35">
      <c r="B24" s="19" t="s">
        <v>7</v>
      </c>
      <c r="C24" s="133">
        <f>'List of all parameters'!B17</f>
        <v>7378</v>
      </c>
      <c r="D24" s="14" t="s">
        <v>15</v>
      </c>
    </row>
    <row r="25" spans="2:14" x14ac:dyDescent="0.35">
      <c r="B25" s="19" t="s">
        <v>7</v>
      </c>
      <c r="C25" s="133">
        <f>'List of all parameters'!B18</f>
        <v>215356</v>
      </c>
      <c r="D25" s="14" t="s">
        <v>16</v>
      </c>
    </row>
    <row r="26" spans="2:14" x14ac:dyDescent="0.35">
      <c r="B26" s="19" t="s">
        <v>7</v>
      </c>
      <c r="C26" s="133">
        <f>'List of all parameters'!B20</f>
        <v>88879</v>
      </c>
      <c r="D26" s="14" t="s">
        <v>17</v>
      </c>
    </row>
    <row r="27" spans="2:14" x14ac:dyDescent="0.35">
      <c r="B27" s="19" t="s">
        <v>7</v>
      </c>
      <c r="C27" s="133">
        <f>'List of all parameters'!B21</f>
        <v>3241896</v>
      </c>
      <c r="D27" s="14" t="s">
        <v>18</v>
      </c>
    </row>
    <row r="28" spans="2:14" x14ac:dyDescent="0.35">
      <c r="B28" s="19" t="s">
        <v>7</v>
      </c>
      <c r="C28" s="133">
        <f>'List of all parameters'!B16</f>
        <v>52868</v>
      </c>
      <c r="D28" s="14" t="s">
        <v>19</v>
      </c>
    </row>
    <row r="29" spans="2:14" x14ac:dyDescent="0.35">
      <c r="B29" s="19" t="s">
        <v>7</v>
      </c>
      <c r="C29" s="133">
        <f>'List of all parameters'!B10</f>
        <v>7.5999999999999998E-2</v>
      </c>
      <c r="D29" s="14" t="s">
        <v>20</v>
      </c>
    </row>
    <row r="30" spans="2:14" x14ac:dyDescent="0.35">
      <c r="B30" s="19" t="s">
        <v>7</v>
      </c>
      <c r="C30" s="133">
        <f>'List of all parameters'!B11</f>
        <v>1.9E-2</v>
      </c>
      <c r="D30" s="14" t="s">
        <v>21</v>
      </c>
    </row>
    <row r="31" spans="2:14" x14ac:dyDescent="0.35">
      <c r="B31" s="19" t="s">
        <v>7</v>
      </c>
      <c r="C31" s="133">
        <f>'List of all parameters'!B12</f>
        <v>1.2E-2</v>
      </c>
      <c r="D31" s="14" t="s">
        <v>22</v>
      </c>
    </row>
    <row r="32" spans="2:14" x14ac:dyDescent="0.35">
      <c r="B32" s="19" t="s">
        <v>7</v>
      </c>
      <c r="C32" s="133">
        <f>'List of all parameters'!B13</f>
        <v>6.4000000000000001E-2</v>
      </c>
      <c r="D32" s="14" t="s">
        <v>23</v>
      </c>
    </row>
    <row r="33" spans="2:4" x14ac:dyDescent="0.35">
      <c r="B33" s="19" t="s">
        <v>7</v>
      </c>
      <c r="C33" s="133">
        <f>'List of all parameters'!B14</f>
        <v>2.1000000000000001E-2</v>
      </c>
      <c r="D33" s="14" t="s">
        <v>24</v>
      </c>
    </row>
    <row r="34" spans="2:4" x14ac:dyDescent="0.35">
      <c r="B34" s="19" t="s">
        <v>7</v>
      </c>
      <c r="C34" s="133">
        <f>'List of all parameters'!B15</f>
        <v>9.2999999999999999E-2</v>
      </c>
      <c r="D34" s="14" t="s">
        <v>25</v>
      </c>
    </row>
    <row r="35" spans="2:4" x14ac:dyDescent="0.35">
      <c r="B35" s="19" t="s">
        <v>7</v>
      </c>
      <c r="C35" s="133">
        <f>'List of all parameters'!B23</f>
        <v>3.3E-3</v>
      </c>
      <c r="D35" s="14" t="s">
        <v>26</v>
      </c>
    </row>
    <row r="36" spans="2:4" x14ac:dyDescent="0.35">
      <c r="B36" s="19" t="s">
        <v>7</v>
      </c>
      <c r="C36" s="133">
        <f>'List of all parameters'!B22</f>
        <v>9174</v>
      </c>
      <c r="D36" s="14" t="s">
        <v>27</v>
      </c>
    </row>
    <row r="37" spans="2:4" x14ac:dyDescent="0.35">
      <c r="B37" s="19" t="s">
        <v>7</v>
      </c>
      <c r="C37" s="133">
        <f>'List of all parameters'!B19</f>
        <v>258427</v>
      </c>
      <c r="D37" s="14" t="s">
        <v>28</v>
      </c>
    </row>
    <row r="38" spans="2:4" x14ac:dyDescent="0.35">
      <c r="B38" s="19" t="s">
        <v>7</v>
      </c>
      <c r="C38" s="133">
        <f>'List of all parameters'!B16</f>
        <v>52868</v>
      </c>
      <c r="D38" s="14" t="s">
        <v>29</v>
      </c>
    </row>
    <row r="39" spans="2:4" x14ac:dyDescent="0.35">
      <c r="B39" s="19" t="s">
        <v>7</v>
      </c>
      <c r="C39" s="133">
        <f>'List of all parameters'!B23</f>
        <v>3.3E-3</v>
      </c>
      <c r="D39" s="14" t="s">
        <v>30</v>
      </c>
    </row>
    <row r="40" spans="2:4" x14ac:dyDescent="0.35">
      <c r="B40" s="19" t="s">
        <v>7</v>
      </c>
      <c r="C40" s="133">
        <f>'List of all parameters'!B16</f>
        <v>52868</v>
      </c>
      <c r="D40" s="14" t="s">
        <v>31</v>
      </c>
    </row>
    <row r="41" spans="2:4" x14ac:dyDescent="0.35">
      <c r="B41" s="19" t="s">
        <v>7</v>
      </c>
      <c r="C41" s="133">
        <f>'List of all parameters'!B17</f>
        <v>7378</v>
      </c>
      <c r="D41" s="14" t="s">
        <v>32</v>
      </c>
    </row>
    <row r="42" spans="2:4" x14ac:dyDescent="0.35">
      <c r="B42" s="19" t="s">
        <v>7</v>
      </c>
      <c r="C42" s="133" t="str">
        <f>'List of all parameters'!B24</f>
        <v>1</v>
      </c>
      <c r="D42" s="14" t="s">
        <v>33</v>
      </c>
    </row>
    <row r="43" spans="2:4" x14ac:dyDescent="0.35">
      <c r="B43" s="19" t="s">
        <v>7</v>
      </c>
      <c r="C43" s="133">
        <f>'List of all parameters'!B16</f>
        <v>52868</v>
      </c>
      <c r="D43" s="14" t="s">
        <v>34</v>
      </c>
    </row>
    <row r="44" spans="2:4" x14ac:dyDescent="0.35">
      <c r="B44" s="19" t="s">
        <v>7</v>
      </c>
      <c r="C44" s="133">
        <f>'List of all parameters'!B18</f>
        <v>215356</v>
      </c>
      <c r="D44" s="14" t="s">
        <v>35</v>
      </c>
    </row>
    <row r="45" spans="2:4" x14ac:dyDescent="0.35">
      <c r="B45" s="19" t="s">
        <v>7</v>
      </c>
      <c r="C45" s="133" t="str">
        <f>'List of all parameters'!B25</f>
        <v>0.7</v>
      </c>
      <c r="D45" s="14" t="s">
        <v>36</v>
      </c>
    </row>
    <row r="46" spans="2:4" x14ac:dyDescent="0.35">
      <c r="B46" s="19" t="s">
        <v>7</v>
      </c>
      <c r="C46" s="133">
        <f>'List of all parameters'!B16</f>
        <v>52868</v>
      </c>
      <c r="D46" s="14" t="s">
        <v>37</v>
      </c>
    </row>
    <row r="47" spans="2:4" x14ac:dyDescent="0.35">
      <c r="B47" s="19" t="s">
        <v>7</v>
      </c>
      <c r="C47" s="133">
        <f>'List of all parameters'!B19</f>
        <v>258427</v>
      </c>
      <c r="D47" s="14" t="s">
        <v>38</v>
      </c>
    </row>
    <row r="48" spans="2:4" x14ac:dyDescent="0.35">
      <c r="B48" s="19" t="s">
        <v>7</v>
      </c>
      <c r="C48" s="133" t="str">
        <f>'List of all parameters'!B26</f>
        <v>0.61</v>
      </c>
      <c r="D48" s="14" t="s">
        <v>39</v>
      </c>
    </row>
    <row r="49" spans="2:4" x14ac:dyDescent="0.35">
      <c r="B49" s="19" t="s">
        <v>7</v>
      </c>
      <c r="C49" s="133">
        <f>'List of all parameters'!B16</f>
        <v>52868</v>
      </c>
      <c r="D49" s="14" t="s">
        <v>40</v>
      </c>
    </row>
    <row r="50" spans="2:4" x14ac:dyDescent="0.35">
      <c r="B50" s="19" t="s">
        <v>7</v>
      </c>
      <c r="C50" s="133">
        <f>'List of all parameters'!B20</f>
        <v>88879</v>
      </c>
      <c r="D50" s="14" t="s">
        <v>41</v>
      </c>
    </row>
    <row r="51" spans="2:4" x14ac:dyDescent="0.35">
      <c r="B51" s="19" t="s">
        <v>7</v>
      </c>
      <c r="C51" s="133" t="str">
        <f>'List of all parameters'!B27</f>
        <v>0.72</v>
      </c>
      <c r="D51" s="14" t="s">
        <v>42</v>
      </c>
    </row>
    <row r="52" spans="2:4" x14ac:dyDescent="0.35">
      <c r="B52" s="19" t="s">
        <v>7</v>
      </c>
      <c r="C52" s="133">
        <f>'List of all parameters'!B16</f>
        <v>52868</v>
      </c>
      <c r="D52" s="14" t="s">
        <v>43</v>
      </c>
    </row>
    <row r="53" spans="2:4" x14ac:dyDescent="0.35">
      <c r="B53" s="19" t="s">
        <v>7</v>
      </c>
      <c r="C53" s="133">
        <f>'List of all parameters'!B21</f>
        <v>3241896</v>
      </c>
      <c r="D53" s="14" t="s">
        <v>44</v>
      </c>
    </row>
    <row r="54" spans="2:4" x14ac:dyDescent="0.35">
      <c r="B54" s="19" t="s">
        <v>7</v>
      </c>
      <c r="C54" s="133" t="str">
        <f>'List of all parameters'!B28</f>
        <v>0.06</v>
      </c>
      <c r="D54" s="14" t="s">
        <v>45</v>
      </c>
    </row>
    <row r="55" spans="2:4" x14ac:dyDescent="0.35">
      <c r="B55" s="19" t="s">
        <v>7</v>
      </c>
      <c r="C55" s="133">
        <f>'List of all parameters'!B16</f>
        <v>52868</v>
      </c>
      <c r="D55" s="14" t="s">
        <v>46</v>
      </c>
    </row>
    <row r="56" spans="2:4" ht="15" thickBot="1" x14ac:dyDescent="0.4">
      <c r="B56" s="20" t="s">
        <v>7</v>
      </c>
      <c r="C56" s="134">
        <v>1</v>
      </c>
      <c r="D56" s="16" t="s">
        <v>47</v>
      </c>
    </row>
  </sheetData>
  <mergeCells count="7">
    <mergeCell ref="B12:D12"/>
    <mergeCell ref="B13:D13"/>
    <mergeCell ref="B4:N4"/>
    <mergeCell ref="B7:N7"/>
    <mergeCell ref="B8:N8"/>
    <mergeCell ref="B9:N9"/>
    <mergeCell ref="B10:N10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CEA">
              <controlPr defaultSize="0" print="0" autoFill="0" autoPict="0" macro="[0]!createRankingsTable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1</xdr:col>
                    <xdr:colOff>381000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tnRestore2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ore">
                <anchor moveWithCells="1" sizeWithCells="1">
                  <from>
                    <xdr:col>1</xdr:col>
                    <xdr:colOff>0</xdr:colOff>
                    <xdr:row>58</xdr:row>
                    <xdr:rowOff>12700</xdr:rowOff>
                  </from>
                  <to>
                    <xdr:col>2</xdr:col>
                    <xdr:colOff>393700</xdr:colOff>
                    <xdr:row>60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045EB-FC27-4D14-9930-275857A67C10}">
  <sheetPr codeName="Sheet10"/>
  <dimension ref="A1:W1012"/>
  <sheetViews>
    <sheetView topLeftCell="E1" workbookViewId="0">
      <selection activeCell="G7" sqref="G7"/>
    </sheetView>
  </sheetViews>
  <sheetFormatPr defaultRowHeight="15.5" x14ac:dyDescent="0.35"/>
  <cols>
    <col min="1" max="1" width="8.7265625" style="141"/>
    <col min="2" max="2" width="26.81640625" style="141" customWidth="1"/>
    <col min="3" max="3" width="15.81640625" style="141" customWidth="1"/>
    <col min="4" max="4" width="15.08984375" style="141" customWidth="1"/>
    <col min="5" max="5" width="13.7265625" style="141" customWidth="1"/>
    <col min="6" max="6" width="17.6328125" style="141" customWidth="1"/>
    <col min="7" max="7" width="24.90625" style="141" customWidth="1"/>
    <col min="8" max="8" width="24.08984375" style="141" customWidth="1"/>
    <col min="9" max="9" width="16.36328125" style="141" customWidth="1"/>
    <col min="10" max="10" width="18.54296875" style="141" customWidth="1"/>
    <col min="11" max="11" width="18.81640625" style="141" customWidth="1"/>
    <col min="12" max="12" width="15.90625" style="141" customWidth="1"/>
    <col min="13" max="13" width="8.7265625" style="141"/>
    <col min="14" max="14" width="15" style="141" bestFit="1" customWidth="1"/>
    <col min="15" max="17" width="8.7265625" style="141"/>
    <col min="18" max="18" width="17.1796875" style="141" customWidth="1"/>
    <col min="19" max="19" width="18" style="141" customWidth="1"/>
    <col min="20" max="20" width="17.1796875" style="141" customWidth="1"/>
    <col min="21" max="21" width="19.36328125" style="141" customWidth="1"/>
    <col min="22" max="23" width="8.7265625" style="141"/>
    <col min="24" max="16384" width="8.7265625" style="120"/>
  </cols>
  <sheetData>
    <row r="1" spans="1:21" x14ac:dyDescent="0.35">
      <c r="A1" s="141" t="s">
        <v>231</v>
      </c>
      <c r="I1" s="129"/>
      <c r="J1" s="142"/>
      <c r="K1" s="142"/>
      <c r="L1" s="142"/>
    </row>
    <row r="2" spans="1:21" x14ac:dyDescent="0.35">
      <c r="A2" s="141" t="s">
        <v>230</v>
      </c>
      <c r="C2" s="141" t="s">
        <v>221</v>
      </c>
      <c r="I2" s="142"/>
      <c r="J2" s="142"/>
      <c r="K2" s="142"/>
      <c r="L2" s="142"/>
      <c r="T2" s="144"/>
    </row>
    <row r="3" spans="1:21" ht="16" thickBot="1" x14ac:dyDescent="0.4">
      <c r="B3" s="141" t="s">
        <v>229</v>
      </c>
      <c r="C3" s="142">
        <f>ICER!H4</f>
        <v>373.065</v>
      </c>
      <c r="E3" s="121"/>
      <c r="I3" s="170" t="s">
        <v>224</v>
      </c>
      <c r="J3" s="142"/>
      <c r="K3" s="142"/>
      <c r="L3" s="142"/>
    </row>
    <row r="4" spans="1:21" ht="16" thickBot="1" x14ac:dyDescent="0.4">
      <c r="B4" s="141" t="s">
        <v>228</v>
      </c>
      <c r="C4" s="142">
        <f>ICER!H5</f>
        <v>14500000</v>
      </c>
      <c r="G4" s="142"/>
      <c r="H4" s="142"/>
      <c r="I4" s="166">
        <f>G10+H10</f>
        <v>21.220516772526267</v>
      </c>
      <c r="J4" s="142"/>
      <c r="K4" s="142"/>
      <c r="L4" s="142"/>
      <c r="N4" s="144"/>
      <c r="P4" s="145"/>
      <c r="Q4" s="146"/>
      <c r="R4" s="146" t="s">
        <v>226</v>
      </c>
      <c r="S4" s="146"/>
      <c r="T4" s="146"/>
      <c r="U4" s="147"/>
    </row>
    <row r="5" spans="1:21" x14ac:dyDescent="0.35">
      <c r="B5" s="141" t="s">
        <v>225</v>
      </c>
      <c r="C5" s="142">
        <f>ICER!H6</f>
        <v>136632.93323927111</v>
      </c>
      <c r="I5" s="142"/>
      <c r="J5" s="142"/>
      <c r="K5" s="142"/>
      <c r="L5" s="142"/>
      <c r="P5" s="148"/>
      <c r="U5" s="149"/>
    </row>
    <row r="6" spans="1:21" x14ac:dyDescent="0.35">
      <c r="C6" s="142"/>
      <c r="I6" s="142"/>
      <c r="J6" s="142"/>
      <c r="K6" s="142"/>
      <c r="L6" s="142"/>
      <c r="P6" s="148"/>
      <c r="R6" s="141" t="s">
        <v>224</v>
      </c>
      <c r="U6" s="149"/>
    </row>
    <row r="7" spans="1:21" x14ac:dyDescent="0.35">
      <c r="F7" s="141" t="s">
        <v>223</v>
      </c>
      <c r="G7" s="123"/>
      <c r="H7" s="123"/>
      <c r="I7" s="122"/>
      <c r="J7" s="122"/>
      <c r="K7" s="122"/>
      <c r="L7" s="122"/>
      <c r="N7" s="144"/>
      <c r="P7" s="148"/>
      <c r="R7" s="143">
        <f>P10+Q10</f>
        <v>262.56902001508627</v>
      </c>
      <c r="U7" s="149"/>
    </row>
    <row r="8" spans="1:21" x14ac:dyDescent="0.35">
      <c r="A8" s="141" t="s">
        <v>222</v>
      </c>
      <c r="C8" s="141" t="s">
        <v>221</v>
      </c>
      <c r="F8" s="150">
        <f t="shared" ref="F8" si="0">MAX(F13:F73252)</f>
        <v>8</v>
      </c>
      <c r="G8" s="151"/>
      <c r="H8" s="150"/>
      <c r="I8" s="142"/>
      <c r="J8" s="142"/>
      <c r="K8" s="142"/>
      <c r="L8" s="142"/>
      <c r="P8" s="148"/>
      <c r="U8" s="149"/>
    </row>
    <row r="9" spans="1:21" ht="16" thickBot="1" x14ac:dyDescent="0.4">
      <c r="B9" s="141" t="s">
        <v>220</v>
      </c>
      <c r="C9" s="143">
        <f>ICER!H9</f>
        <v>23.813582244547764</v>
      </c>
      <c r="E9" s="141" t="s">
        <v>219</v>
      </c>
      <c r="F9" s="141" t="s">
        <v>218</v>
      </c>
      <c r="G9" s="170" t="s">
        <v>217</v>
      </c>
      <c r="H9" s="170" t="s">
        <v>216</v>
      </c>
      <c r="I9" s="168" t="s">
        <v>215</v>
      </c>
      <c r="J9" s="168" t="s">
        <v>272</v>
      </c>
      <c r="K9" s="168" t="s">
        <v>213</v>
      </c>
      <c r="L9" s="168" t="s">
        <v>212</v>
      </c>
      <c r="P9" s="148" t="s">
        <v>217</v>
      </c>
      <c r="Q9" s="141" t="s">
        <v>216</v>
      </c>
      <c r="R9" s="141" t="s">
        <v>215</v>
      </c>
      <c r="S9" s="141" t="s">
        <v>214</v>
      </c>
      <c r="T9" s="141" t="s">
        <v>213</v>
      </c>
      <c r="U9" s="149" t="s">
        <v>212</v>
      </c>
    </row>
    <row r="10" spans="1:21" ht="16" thickBot="1" x14ac:dyDescent="0.4">
      <c r="E10" s="129">
        <f>COUNTIF(F13:F1012,"&gt;1")</f>
        <v>63</v>
      </c>
      <c r="F10" s="136">
        <f>SUM(F13:F73253)</f>
        <v>362</v>
      </c>
      <c r="G10" s="165">
        <f t="shared" ref="G10:L10" si="1">AVERAGE(G13:G73253)</f>
        <v>8.6205167725262655</v>
      </c>
      <c r="H10" s="164">
        <f t="shared" si="1"/>
        <v>12.6</v>
      </c>
      <c r="I10" s="167">
        <f t="shared" si="1"/>
        <v>913500</v>
      </c>
      <c r="J10" s="167">
        <f t="shared" si="1"/>
        <v>0</v>
      </c>
      <c r="K10" s="167">
        <f t="shared" si="1"/>
        <v>49461.121832616249</v>
      </c>
      <c r="L10" s="169">
        <f t="shared" si="1"/>
        <v>962961.12183261337</v>
      </c>
      <c r="P10" s="161">
        <f t="shared" ref="P10:U10" si="2">AVERAGE(P13:P63)</f>
        <v>62.569020015086259</v>
      </c>
      <c r="Q10" s="152">
        <f t="shared" si="2"/>
        <v>200</v>
      </c>
      <c r="R10" s="153">
        <f t="shared" si="2"/>
        <v>14500000</v>
      </c>
      <c r="S10" s="153">
        <f t="shared" si="2"/>
        <v>0</v>
      </c>
      <c r="T10" s="153">
        <f t="shared" si="2"/>
        <v>358996.33439337893</v>
      </c>
      <c r="U10" s="154">
        <f t="shared" si="2"/>
        <v>14858996.334393384</v>
      </c>
    </row>
    <row r="11" spans="1:21" x14ac:dyDescent="0.35">
      <c r="B11" s="141" t="s">
        <v>211</v>
      </c>
      <c r="F11" s="121"/>
      <c r="I11" s="142"/>
      <c r="J11" s="142"/>
      <c r="K11" s="142"/>
      <c r="L11" s="142"/>
    </row>
    <row r="12" spans="1:21" x14ac:dyDescent="0.35">
      <c r="B12" s="141" t="s">
        <v>210</v>
      </c>
      <c r="C12" s="141">
        <f>ICER!H11</f>
        <v>0.04</v>
      </c>
      <c r="E12" s="141" t="s">
        <v>209</v>
      </c>
      <c r="F12" s="141" t="s">
        <v>208</v>
      </c>
      <c r="G12" s="141" t="s">
        <v>207</v>
      </c>
      <c r="H12" s="141" t="s">
        <v>206</v>
      </c>
      <c r="I12" s="142" t="s">
        <v>205</v>
      </c>
      <c r="J12" s="142" t="s">
        <v>204</v>
      </c>
      <c r="K12" s="142" t="s">
        <v>203</v>
      </c>
      <c r="L12" s="142" t="s">
        <v>202</v>
      </c>
      <c r="N12" s="141" t="s">
        <v>209</v>
      </c>
      <c r="O12" s="141" t="s">
        <v>208</v>
      </c>
      <c r="P12" s="141" t="s">
        <v>207</v>
      </c>
      <c r="Q12" s="141" t="s">
        <v>206</v>
      </c>
      <c r="R12" s="142" t="s">
        <v>205</v>
      </c>
      <c r="S12" s="142" t="s">
        <v>204</v>
      </c>
      <c r="T12" s="142" t="s">
        <v>203</v>
      </c>
      <c r="U12" s="142" t="s">
        <v>202</v>
      </c>
    </row>
    <row r="13" spans="1:21" x14ac:dyDescent="0.35">
      <c r="B13" s="141" t="s">
        <v>201</v>
      </c>
      <c r="C13" s="141">
        <f>ICER!H12</f>
        <v>0.01</v>
      </c>
      <c r="E13" s="135">
        <v>1</v>
      </c>
      <c r="F13" s="135">
        <v>0</v>
      </c>
      <c r="G13" s="141">
        <f t="shared" ref="G13:G76" si="3">F13*$C$9</f>
        <v>0</v>
      </c>
      <c r="H13" s="155">
        <f t="shared" ref="H13:H76" si="4">IF(F13 &gt; 1,$C$13*20000,0)</f>
        <v>0</v>
      </c>
      <c r="I13" s="142">
        <f t="shared" ref="I13:I76" si="5">IF(F13 &gt; 1,$C$4,0)</f>
        <v>0</v>
      </c>
      <c r="J13" s="142">
        <f>0</f>
        <v>0</v>
      </c>
      <c r="K13" s="142">
        <f t="shared" ref="K13:K76" si="6">F13*$C$5</f>
        <v>0</v>
      </c>
      <c r="L13" s="142">
        <f t="shared" ref="L13:L76" si="7">J13+I13+K13</f>
        <v>0</v>
      </c>
      <c r="N13" s="141">
        <v>5</v>
      </c>
      <c r="O13" s="141">
        <v>2</v>
      </c>
      <c r="P13" s="141">
        <f t="shared" ref="P13:P75" si="8">O13*$C$9</f>
        <v>47.627164489095527</v>
      </c>
      <c r="Q13" s="155">
        <f t="shared" ref="Q13:Q75" si="9">IF(O13 &gt; 1,$C$13*20000,0)</f>
        <v>200</v>
      </c>
      <c r="R13" s="142">
        <f t="shared" ref="R13:R75" si="10">IF(O13 &gt; 1,$C$4,0)</f>
        <v>14500000</v>
      </c>
      <c r="S13" s="142">
        <v>0</v>
      </c>
      <c r="T13" s="142">
        <f t="shared" ref="T13:T75" si="11">O13*$C$5</f>
        <v>273265.86647854222</v>
      </c>
      <c r="U13" s="142">
        <f t="shared" ref="U13:U75" si="12">S13+R13+T13</f>
        <v>14773265.866478542</v>
      </c>
    </row>
    <row r="14" spans="1:21" x14ac:dyDescent="0.35">
      <c r="E14" s="135">
        <v>2</v>
      </c>
      <c r="F14" s="135">
        <v>0</v>
      </c>
      <c r="G14" s="141">
        <f t="shared" si="3"/>
        <v>0</v>
      </c>
      <c r="H14" s="155">
        <f t="shared" si="4"/>
        <v>0</v>
      </c>
      <c r="I14" s="142">
        <f t="shared" si="5"/>
        <v>0</v>
      </c>
      <c r="J14" s="142">
        <f>0</f>
        <v>0</v>
      </c>
      <c r="K14" s="142">
        <f t="shared" si="6"/>
        <v>0</v>
      </c>
      <c r="L14" s="142">
        <f t="shared" si="7"/>
        <v>0</v>
      </c>
      <c r="N14" s="141">
        <v>33</v>
      </c>
      <c r="O14" s="141">
        <v>4</v>
      </c>
      <c r="P14" s="141">
        <f t="shared" si="8"/>
        <v>95.254328978191054</v>
      </c>
      <c r="Q14" s="155">
        <f t="shared" si="9"/>
        <v>200</v>
      </c>
      <c r="R14" s="142">
        <f t="shared" si="10"/>
        <v>14500000</v>
      </c>
      <c r="S14" s="142">
        <v>0</v>
      </c>
      <c r="T14" s="142">
        <f t="shared" si="11"/>
        <v>546531.73295708443</v>
      </c>
      <c r="U14" s="142">
        <f t="shared" si="12"/>
        <v>15046531.732957084</v>
      </c>
    </row>
    <row r="15" spans="1:21" x14ac:dyDescent="0.35">
      <c r="E15" s="135">
        <v>3</v>
      </c>
      <c r="F15" s="135">
        <v>0</v>
      </c>
      <c r="G15" s="141">
        <f t="shared" si="3"/>
        <v>0</v>
      </c>
      <c r="H15" s="155">
        <f t="shared" si="4"/>
        <v>0</v>
      </c>
      <c r="I15" s="142">
        <f t="shared" si="5"/>
        <v>0</v>
      </c>
      <c r="J15" s="142">
        <f>0</f>
        <v>0</v>
      </c>
      <c r="K15" s="142">
        <f t="shared" si="6"/>
        <v>0</v>
      </c>
      <c r="L15" s="142">
        <f t="shared" si="7"/>
        <v>0</v>
      </c>
      <c r="N15" s="163">
        <v>34</v>
      </c>
      <c r="O15" s="163">
        <v>2</v>
      </c>
      <c r="P15" s="141">
        <f t="shared" si="8"/>
        <v>47.627164489095527</v>
      </c>
      <c r="Q15" s="155">
        <f t="shared" si="9"/>
        <v>200</v>
      </c>
      <c r="R15" s="142">
        <f t="shared" si="10"/>
        <v>14500000</v>
      </c>
      <c r="S15" s="142">
        <v>0</v>
      </c>
      <c r="T15" s="142">
        <f t="shared" si="11"/>
        <v>273265.86647854222</v>
      </c>
      <c r="U15" s="142">
        <f t="shared" si="12"/>
        <v>14773265.866478542</v>
      </c>
    </row>
    <row r="16" spans="1:21" x14ac:dyDescent="0.35">
      <c r="E16" s="135">
        <v>4</v>
      </c>
      <c r="F16" s="135">
        <v>0</v>
      </c>
      <c r="G16" s="141">
        <f t="shared" si="3"/>
        <v>0</v>
      </c>
      <c r="H16" s="155">
        <f t="shared" si="4"/>
        <v>0</v>
      </c>
      <c r="I16" s="142">
        <f t="shared" si="5"/>
        <v>0</v>
      </c>
      <c r="J16" s="142">
        <f>0</f>
        <v>0</v>
      </c>
      <c r="K16" s="142">
        <f t="shared" si="6"/>
        <v>0</v>
      </c>
      <c r="L16" s="142">
        <f t="shared" si="7"/>
        <v>0</v>
      </c>
      <c r="N16" s="163">
        <v>42</v>
      </c>
      <c r="O16" s="163">
        <v>8</v>
      </c>
      <c r="P16" s="141">
        <f t="shared" si="8"/>
        <v>190.50865795638211</v>
      </c>
      <c r="Q16" s="155">
        <f t="shared" si="9"/>
        <v>200</v>
      </c>
      <c r="R16" s="142">
        <f t="shared" si="10"/>
        <v>14500000</v>
      </c>
      <c r="S16" s="142">
        <v>0</v>
      </c>
      <c r="T16" s="142">
        <f t="shared" si="11"/>
        <v>1093063.4659141689</v>
      </c>
      <c r="U16" s="142">
        <f t="shared" si="12"/>
        <v>15593063.465914169</v>
      </c>
    </row>
    <row r="17" spans="5:21" x14ac:dyDescent="0.35">
      <c r="E17" s="135">
        <v>5</v>
      </c>
      <c r="F17" s="135">
        <v>2</v>
      </c>
      <c r="G17" s="141">
        <f t="shared" si="3"/>
        <v>47.627164489095527</v>
      </c>
      <c r="H17" s="155">
        <f t="shared" si="4"/>
        <v>200</v>
      </c>
      <c r="I17" s="142">
        <f t="shared" si="5"/>
        <v>14500000</v>
      </c>
      <c r="J17" s="142">
        <f>0</f>
        <v>0</v>
      </c>
      <c r="K17" s="142">
        <f t="shared" si="6"/>
        <v>273265.86647854222</v>
      </c>
      <c r="L17" s="142">
        <f t="shared" si="7"/>
        <v>14773265.866478542</v>
      </c>
      <c r="N17" s="163">
        <v>58</v>
      </c>
      <c r="O17" s="163">
        <v>2</v>
      </c>
      <c r="P17" s="141">
        <f t="shared" si="8"/>
        <v>47.627164489095527</v>
      </c>
      <c r="Q17" s="155">
        <f t="shared" si="9"/>
        <v>200</v>
      </c>
      <c r="R17" s="142">
        <f t="shared" si="10"/>
        <v>14500000</v>
      </c>
      <c r="S17" s="142">
        <v>0</v>
      </c>
      <c r="T17" s="142">
        <f t="shared" si="11"/>
        <v>273265.86647854222</v>
      </c>
      <c r="U17" s="142">
        <f t="shared" si="12"/>
        <v>14773265.866478542</v>
      </c>
    </row>
    <row r="18" spans="5:21" x14ac:dyDescent="0.35">
      <c r="E18" s="135">
        <v>6</v>
      </c>
      <c r="F18" s="135">
        <v>0</v>
      </c>
      <c r="G18" s="141">
        <f t="shared" si="3"/>
        <v>0</v>
      </c>
      <c r="H18" s="155">
        <f t="shared" si="4"/>
        <v>0</v>
      </c>
      <c r="I18" s="142">
        <f t="shared" si="5"/>
        <v>0</v>
      </c>
      <c r="J18" s="142">
        <f>0</f>
        <v>0</v>
      </c>
      <c r="K18" s="142">
        <f t="shared" si="6"/>
        <v>0</v>
      </c>
      <c r="L18" s="142">
        <f t="shared" si="7"/>
        <v>0</v>
      </c>
      <c r="N18" s="163">
        <v>84</v>
      </c>
      <c r="O18" s="163">
        <v>2</v>
      </c>
      <c r="P18" s="141">
        <f t="shared" si="8"/>
        <v>47.627164489095527</v>
      </c>
      <c r="Q18" s="155">
        <f t="shared" si="9"/>
        <v>200</v>
      </c>
      <c r="R18" s="142">
        <f t="shared" si="10"/>
        <v>14500000</v>
      </c>
      <c r="S18" s="142">
        <v>0</v>
      </c>
      <c r="T18" s="142">
        <f t="shared" si="11"/>
        <v>273265.86647854222</v>
      </c>
      <c r="U18" s="142">
        <f t="shared" si="12"/>
        <v>14773265.866478542</v>
      </c>
    </row>
    <row r="19" spans="5:21" x14ac:dyDescent="0.35">
      <c r="E19" s="135">
        <v>7</v>
      </c>
      <c r="F19" s="135">
        <v>1</v>
      </c>
      <c r="G19" s="141">
        <f t="shared" si="3"/>
        <v>23.813582244547764</v>
      </c>
      <c r="H19" s="155">
        <f t="shared" si="4"/>
        <v>0</v>
      </c>
      <c r="I19" s="142">
        <f t="shared" si="5"/>
        <v>0</v>
      </c>
      <c r="J19" s="142">
        <f>0</f>
        <v>0</v>
      </c>
      <c r="K19" s="142">
        <f t="shared" si="6"/>
        <v>136632.93323927111</v>
      </c>
      <c r="L19" s="142">
        <f t="shared" si="7"/>
        <v>136632.93323927111</v>
      </c>
      <c r="N19" s="163">
        <v>86</v>
      </c>
      <c r="O19" s="163">
        <v>3</v>
      </c>
      <c r="P19" s="141">
        <f t="shared" si="8"/>
        <v>71.440746733643294</v>
      </c>
      <c r="Q19" s="155">
        <f t="shared" si="9"/>
        <v>200</v>
      </c>
      <c r="R19" s="142">
        <f t="shared" si="10"/>
        <v>14500000</v>
      </c>
      <c r="S19" s="142">
        <v>0</v>
      </c>
      <c r="T19" s="142">
        <f t="shared" si="11"/>
        <v>409898.79971781332</v>
      </c>
      <c r="U19" s="142">
        <f t="shared" si="12"/>
        <v>14909898.799717814</v>
      </c>
    </row>
    <row r="20" spans="5:21" x14ac:dyDescent="0.35">
      <c r="E20" s="135">
        <v>8</v>
      </c>
      <c r="F20" s="135">
        <v>1</v>
      </c>
      <c r="G20" s="141">
        <f t="shared" si="3"/>
        <v>23.813582244547764</v>
      </c>
      <c r="H20" s="155">
        <f t="shared" si="4"/>
        <v>0</v>
      </c>
      <c r="I20" s="142">
        <f t="shared" si="5"/>
        <v>0</v>
      </c>
      <c r="J20" s="142">
        <f>0</f>
        <v>0</v>
      </c>
      <c r="K20" s="142">
        <f t="shared" si="6"/>
        <v>136632.93323927111</v>
      </c>
      <c r="L20" s="142">
        <f t="shared" si="7"/>
        <v>136632.93323927111</v>
      </c>
      <c r="N20" s="163">
        <v>150</v>
      </c>
      <c r="O20" s="163">
        <v>2</v>
      </c>
      <c r="P20" s="141">
        <f t="shared" si="8"/>
        <v>47.627164489095527</v>
      </c>
      <c r="Q20" s="155">
        <f t="shared" si="9"/>
        <v>200</v>
      </c>
      <c r="R20" s="142">
        <f t="shared" si="10"/>
        <v>14500000</v>
      </c>
      <c r="S20" s="142">
        <v>0</v>
      </c>
      <c r="T20" s="142">
        <f t="shared" si="11"/>
        <v>273265.86647854222</v>
      </c>
      <c r="U20" s="142">
        <f t="shared" si="12"/>
        <v>14773265.866478542</v>
      </c>
    </row>
    <row r="21" spans="5:21" x14ac:dyDescent="0.35">
      <c r="E21" s="135">
        <v>9</v>
      </c>
      <c r="F21" s="135">
        <v>0</v>
      </c>
      <c r="G21" s="141">
        <f t="shared" si="3"/>
        <v>0</v>
      </c>
      <c r="H21" s="155">
        <f t="shared" si="4"/>
        <v>0</v>
      </c>
      <c r="I21" s="142">
        <f t="shared" si="5"/>
        <v>0</v>
      </c>
      <c r="J21" s="142">
        <f>0</f>
        <v>0</v>
      </c>
      <c r="K21" s="142">
        <f t="shared" si="6"/>
        <v>0</v>
      </c>
      <c r="L21" s="142">
        <f t="shared" si="7"/>
        <v>0</v>
      </c>
      <c r="N21" s="163">
        <v>152</v>
      </c>
      <c r="O21" s="163">
        <v>2</v>
      </c>
      <c r="P21" s="141">
        <f t="shared" si="8"/>
        <v>47.627164489095527</v>
      </c>
      <c r="Q21" s="155">
        <f t="shared" si="9"/>
        <v>200</v>
      </c>
      <c r="R21" s="142">
        <f t="shared" si="10"/>
        <v>14500000</v>
      </c>
      <c r="S21" s="142">
        <v>0</v>
      </c>
      <c r="T21" s="142">
        <f t="shared" si="11"/>
        <v>273265.86647854222</v>
      </c>
      <c r="U21" s="142">
        <f t="shared" si="12"/>
        <v>14773265.866478542</v>
      </c>
    </row>
    <row r="22" spans="5:21" x14ac:dyDescent="0.35">
      <c r="E22" s="135">
        <v>10</v>
      </c>
      <c r="F22" s="135">
        <v>0</v>
      </c>
      <c r="G22" s="141">
        <f t="shared" si="3"/>
        <v>0</v>
      </c>
      <c r="H22" s="155">
        <f t="shared" si="4"/>
        <v>0</v>
      </c>
      <c r="I22" s="142">
        <f t="shared" si="5"/>
        <v>0</v>
      </c>
      <c r="J22" s="142">
        <f>0</f>
        <v>0</v>
      </c>
      <c r="K22" s="142">
        <f t="shared" si="6"/>
        <v>0</v>
      </c>
      <c r="L22" s="142">
        <f t="shared" si="7"/>
        <v>0</v>
      </c>
      <c r="N22" s="163">
        <v>174</v>
      </c>
      <c r="O22" s="163">
        <v>2</v>
      </c>
      <c r="P22" s="141">
        <f t="shared" si="8"/>
        <v>47.627164489095527</v>
      </c>
      <c r="Q22" s="155">
        <f t="shared" si="9"/>
        <v>200</v>
      </c>
      <c r="R22" s="142">
        <f t="shared" si="10"/>
        <v>14500000</v>
      </c>
      <c r="S22" s="142">
        <v>0</v>
      </c>
      <c r="T22" s="142">
        <f t="shared" si="11"/>
        <v>273265.86647854222</v>
      </c>
      <c r="U22" s="142">
        <f t="shared" si="12"/>
        <v>14773265.866478542</v>
      </c>
    </row>
    <row r="23" spans="5:21" x14ac:dyDescent="0.35">
      <c r="E23" s="135">
        <v>11</v>
      </c>
      <c r="F23" s="135">
        <v>0</v>
      </c>
      <c r="G23" s="141">
        <f t="shared" si="3"/>
        <v>0</v>
      </c>
      <c r="H23" s="155">
        <f t="shared" si="4"/>
        <v>0</v>
      </c>
      <c r="I23" s="142">
        <f t="shared" si="5"/>
        <v>0</v>
      </c>
      <c r="J23" s="142">
        <f>0</f>
        <v>0</v>
      </c>
      <c r="K23" s="142">
        <f t="shared" si="6"/>
        <v>0</v>
      </c>
      <c r="L23" s="142">
        <f t="shared" si="7"/>
        <v>0</v>
      </c>
      <c r="N23" s="163">
        <v>188</v>
      </c>
      <c r="O23" s="163">
        <v>2</v>
      </c>
      <c r="P23" s="141">
        <f t="shared" si="8"/>
        <v>47.627164489095527</v>
      </c>
      <c r="Q23" s="155">
        <f t="shared" si="9"/>
        <v>200</v>
      </c>
      <c r="R23" s="142">
        <f t="shared" si="10"/>
        <v>14500000</v>
      </c>
      <c r="S23" s="142">
        <v>0</v>
      </c>
      <c r="T23" s="142">
        <f t="shared" si="11"/>
        <v>273265.86647854222</v>
      </c>
      <c r="U23" s="142">
        <f t="shared" si="12"/>
        <v>14773265.866478542</v>
      </c>
    </row>
    <row r="24" spans="5:21" x14ac:dyDescent="0.35">
      <c r="E24" s="135">
        <v>12</v>
      </c>
      <c r="F24" s="135">
        <v>0</v>
      </c>
      <c r="G24" s="141">
        <f t="shared" si="3"/>
        <v>0</v>
      </c>
      <c r="H24" s="155">
        <f t="shared" si="4"/>
        <v>0</v>
      </c>
      <c r="I24" s="142">
        <f t="shared" si="5"/>
        <v>0</v>
      </c>
      <c r="J24" s="142">
        <f>0</f>
        <v>0</v>
      </c>
      <c r="K24" s="142">
        <f t="shared" si="6"/>
        <v>0</v>
      </c>
      <c r="L24" s="142">
        <f t="shared" si="7"/>
        <v>0</v>
      </c>
      <c r="N24" s="163">
        <v>204</v>
      </c>
      <c r="O24" s="163">
        <v>2</v>
      </c>
      <c r="P24" s="141">
        <f t="shared" si="8"/>
        <v>47.627164489095527</v>
      </c>
      <c r="Q24" s="155">
        <f t="shared" si="9"/>
        <v>200</v>
      </c>
      <c r="R24" s="142">
        <f t="shared" si="10"/>
        <v>14500000</v>
      </c>
      <c r="S24" s="142">
        <v>0</v>
      </c>
      <c r="T24" s="142">
        <f t="shared" si="11"/>
        <v>273265.86647854222</v>
      </c>
      <c r="U24" s="142">
        <f t="shared" si="12"/>
        <v>14773265.866478542</v>
      </c>
    </row>
    <row r="25" spans="5:21" x14ac:dyDescent="0.35">
      <c r="E25" s="135">
        <v>13</v>
      </c>
      <c r="F25" s="135">
        <v>0</v>
      </c>
      <c r="G25" s="141">
        <f t="shared" si="3"/>
        <v>0</v>
      </c>
      <c r="H25" s="155">
        <f t="shared" si="4"/>
        <v>0</v>
      </c>
      <c r="I25" s="142">
        <f t="shared" si="5"/>
        <v>0</v>
      </c>
      <c r="J25" s="142">
        <f>0</f>
        <v>0</v>
      </c>
      <c r="K25" s="142">
        <f t="shared" si="6"/>
        <v>0</v>
      </c>
      <c r="L25" s="142">
        <f t="shared" si="7"/>
        <v>0</v>
      </c>
      <c r="N25" s="163">
        <v>206</v>
      </c>
      <c r="O25" s="163">
        <v>2</v>
      </c>
      <c r="P25" s="141">
        <f t="shared" si="8"/>
        <v>47.627164489095527</v>
      </c>
      <c r="Q25" s="155">
        <f t="shared" si="9"/>
        <v>200</v>
      </c>
      <c r="R25" s="142">
        <f t="shared" si="10"/>
        <v>14500000</v>
      </c>
      <c r="S25" s="142">
        <v>0</v>
      </c>
      <c r="T25" s="142">
        <f t="shared" si="11"/>
        <v>273265.86647854222</v>
      </c>
      <c r="U25" s="142">
        <f t="shared" si="12"/>
        <v>14773265.866478542</v>
      </c>
    </row>
    <row r="26" spans="5:21" x14ac:dyDescent="0.35">
      <c r="E26" s="135">
        <v>14</v>
      </c>
      <c r="F26" s="135">
        <v>1</v>
      </c>
      <c r="G26" s="141">
        <f t="shared" si="3"/>
        <v>23.813582244547764</v>
      </c>
      <c r="H26" s="155">
        <f t="shared" si="4"/>
        <v>0</v>
      </c>
      <c r="I26" s="142">
        <f t="shared" si="5"/>
        <v>0</v>
      </c>
      <c r="J26" s="142">
        <f>0</f>
        <v>0</v>
      </c>
      <c r="K26" s="142">
        <f t="shared" si="6"/>
        <v>136632.93323927111</v>
      </c>
      <c r="L26" s="142">
        <f t="shared" si="7"/>
        <v>136632.93323927111</v>
      </c>
      <c r="N26" s="163">
        <v>215</v>
      </c>
      <c r="O26" s="163">
        <v>2</v>
      </c>
      <c r="P26" s="141">
        <f t="shared" si="8"/>
        <v>47.627164489095527</v>
      </c>
      <c r="Q26" s="155">
        <f t="shared" si="9"/>
        <v>200</v>
      </c>
      <c r="R26" s="142">
        <f t="shared" si="10"/>
        <v>14500000</v>
      </c>
      <c r="S26" s="142">
        <v>0</v>
      </c>
      <c r="T26" s="142">
        <f t="shared" si="11"/>
        <v>273265.86647854222</v>
      </c>
      <c r="U26" s="142">
        <f t="shared" si="12"/>
        <v>14773265.866478542</v>
      </c>
    </row>
    <row r="27" spans="5:21" x14ac:dyDescent="0.35">
      <c r="E27" s="135">
        <v>15</v>
      </c>
      <c r="F27" s="135">
        <v>0</v>
      </c>
      <c r="G27" s="141">
        <f t="shared" si="3"/>
        <v>0</v>
      </c>
      <c r="H27" s="155">
        <f t="shared" si="4"/>
        <v>0</v>
      </c>
      <c r="I27" s="142">
        <f t="shared" si="5"/>
        <v>0</v>
      </c>
      <c r="J27" s="142">
        <f>0</f>
        <v>0</v>
      </c>
      <c r="K27" s="142">
        <f t="shared" si="6"/>
        <v>0</v>
      </c>
      <c r="L27" s="142">
        <f t="shared" si="7"/>
        <v>0</v>
      </c>
      <c r="N27" s="163">
        <v>219</v>
      </c>
      <c r="O27" s="163">
        <v>2</v>
      </c>
      <c r="P27" s="141">
        <f t="shared" si="8"/>
        <v>47.627164489095527</v>
      </c>
      <c r="Q27" s="155">
        <f t="shared" si="9"/>
        <v>200</v>
      </c>
      <c r="R27" s="142">
        <f t="shared" si="10"/>
        <v>14500000</v>
      </c>
      <c r="S27" s="142">
        <v>0</v>
      </c>
      <c r="T27" s="142">
        <f t="shared" si="11"/>
        <v>273265.86647854222</v>
      </c>
      <c r="U27" s="142">
        <f t="shared" si="12"/>
        <v>14773265.866478542</v>
      </c>
    </row>
    <row r="28" spans="5:21" x14ac:dyDescent="0.35">
      <c r="E28" s="135">
        <v>16</v>
      </c>
      <c r="F28" s="135">
        <v>0</v>
      </c>
      <c r="G28" s="141">
        <f t="shared" si="3"/>
        <v>0</v>
      </c>
      <c r="H28" s="155">
        <f t="shared" si="4"/>
        <v>0</v>
      </c>
      <c r="I28" s="142">
        <f t="shared" si="5"/>
        <v>0</v>
      </c>
      <c r="J28" s="142">
        <f>0</f>
        <v>0</v>
      </c>
      <c r="K28" s="142">
        <f t="shared" si="6"/>
        <v>0</v>
      </c>
      <c r="L28" s="142">
        <f t="shared" si="7"/>
        <v>0</v>
      </c>
      <c r="N28" s="163">
        <v>238</v>
      </c>
      <c r="O28" s="163">
        <v>3</v>
      </c>
      <c r="P28" s="141">
        <f t="shared" si="8"/>
        <v>71.440746733643294</v>
      </c>
      <c r="Q28" s="155">
        <f t="shared" si="9"/>
        <v>200</v>
      </c>
      <c r="R28" s="142">
        <f t="shared" si="10"/>
        <v>14500000</v>
      </c>
      <c r="S28" s="142">
        <v>0</v>
      </c>
      <c r="T28" s="142">
        <f t="shared" si="11"/>
        <v>409898.79971781332</v>
      </c>
      <c r="U28" s="142">
        <f t="shared" si="12"/>
        <v>14909898.799717814</v>
      </c>
    </row>
    <row r="29" spans="5:21" x14ac:dyDescent="0.35">
      <c r="E29" s="135">
        <v>17</v>
      </c>
      <c r="F29" s="135">
        <v>1</v>
      </c>
      <c r="G29" s="141">
        <f t="shared" si="3"/>
        <v>23.813582244547764</v>
      </c>
      <c r="H29" s="155">
        <f t="shared" si="4"/>
        <v>0</v>
      </c>
      <c r="I29" s="142">
        <f t="shared" si="5"/>
        <v>0</v>
      </c>
      <c r="J29" s="142">
        <f>0</f>
        <v>0</v>
      </c>
      <c r="K29" s="142">
        <f t="shared" si="6"/>
        <v>136632.93323927111</v>
      </c>
      <c r="L29" s="142">
        <f t="shared" si="7"/>
        <v>136632.93323927111</v>
      </c>
      <c r="N29" s="163">
        <v>288</v>
      </c>
      <c r="O29" s="163">
        <v>2</v>
      </c>
      <c r="P29" s="141">
        <f t="shared" si="8"/>
        <v>47.627164489095527</v>
      </c>
      <c r="Q29" s="155">
        <f t="shared" si="9"/>
        <v>200</v>
      </c>
      <c r="R29" s="142">
        <f t="shared" si="10"/>
        <v>14500000</v>
      </c>
      <c r="S29" s="142">
        <v>0</v>
      </c>
      <c r="T29" s="142">
        <f t="shared" si="11"/>
        <v>273265.86647854222</v>
      </c>
      <c r="U29" s="142">
        <f t="shared" si="12"/>
        <v>14773265.866478542</v>
      </c>
    </row>
    <row r="30" spans="5:21" x14ac:dyDescent="0.35">
      <c r="E30" s="135">
        <v>18</v>
      </c>
      <c r="F30" s="135">
        <v>0</v>
      </c>
      <c r="G30" s="141">
        <f t="shared" si="3"/>
        <v>0</v>
      </c>
      <c r="H30" s="155">
        <f t="shared" si="4"/>
        <v>0</v>
      </c>
      <c r="I30" s="142">
        <f t="shared" si="5"/>
        <v>0</v>
      </c>
      <c r="J30" s="142">
        <f>0</f>
        <v>0</v>
      </c>
      <c r="K30" s="142">
        <f t="shared" si="6"/>
        <v>0</v>
      </c>
      <c r="L30" s="142">
        <f t="shared" si="7"/>
        <v>0</v>
      </c>
      <c r="N30" s="163">
        <v>290</v>
      </c>
      <c r="O30" s="163">
        <v>2</v>
      </c>
      <c r="P30" s="141">
        <f t="shared" si="8"/>
        <v>47.627164489095527</v>
      </c>
      <c r="Q30" s="155">
        <f t="shared" si="9"/>
        <v>200</v>
      </c>
      <c r="R30" s="142">
        <f t="shared" si="10"/>
        <v>14500000</v>
      </c>
      <c r="S30" s="142">
        <v>0</v>
      </c>
      <c r="T30" s="142">
        <f t="shared" si="11"/>
        <v>273265.86647854222</v>
      </c>
      <c r="U30" s="142">
        <f t="shared" si="12"/>
        <v>14773265.866478542</v>
      </c>
    </row>
    <row r="31" spans="5:21" x14ac:dyDescent="0.35">
      <c r="E31" s="135">
        <v>19</v>
      </c>
      <c r="F31" s="135">
        <v>0</v>
      </c>
      <c r="G31" s="141">
        <f t="shared" si="3"/>
        <v>0</v>
      </c>
      <c r="H31" s="155">
        <f t="shared" si="4"/>
        <v>0</v>
      </c>
      <c r="I31" s="142">
        <f t="shared" si="5"/>
        <v>0</v>
      </c>
      <c r="J31" s="142">
        <f>0</f>
        <v>0</v>
      </c>
      <c r="K31" s="142">
        <f t="shared" si="6"/>
        <v>0</v>
      </c>
      <c r="L31" s="142">
        <f t="shared" si="7"/>
        <v>0</v>
      </c>
      <c r="N31" s="163">
        <v>309</v>
      </c>
      <c r="O31" s="163">
        <v>2</v>
      </c>
      <c r="P31" s="141">
        <f t="shared" si="8"/>
        <v>47.627164489095527</v>
      </c>
      <c r="Q31" s="155">
        <f t="shared" si="9"/>
        <v>200</v>
      </c>
      <c r="R31" s="142">
        <f t="shared" si="10"/>
        <v>14500000</v>
      </c>
      <c r="S31" s="142">
        <v>0</v>
      </c>
      <c r="T31" s="142">
        <f t="shared" si="11"/>
        <v>273265.86647854222</v>
      </c>
      <c r="U31" s="142">
        <f t="shared" si="12"/>
        <v>14773265.866478542</v>
      </c>
    </row>
    <row r="32" spans="5:21" x14ac:dyDescent="0.35">
      <c r="E32" s="135">
        <v>20</v>
      </c>
      <c r="F32" s="135">
        <v>0</v>
      </c>
      <c r="G32" s="141">
        <f t="shared" si="3"/>
        <v>0</v>
      </c>
      <c r="H32" s="155">
        <f t="shared" si="4"/>
        <v>0</v>
      </c>
      <c r="I32" s="142">
        <f t="shared" si="5"/>
        <v>0</v>
      </c>
      <c r="J32" s="142">
        <f>0</f>
        <v>0</v>
      </c>
      <c r="K32" s="142">
        <f t="shared" si="6"/>
        <v>0</v>
      </c>
      <c r="L32" s="142">
        <f t="shared" si="7"/>
        <v>0</v>
      </c>
      <c r="N32" s="163">
        <v>327</v>
      </c>
      <c r="O32" s="163">
        <v>3</v>
      </c>
      <c r="P32" s="141">
        <f t="shared" si="8"/>
        <v>71.440746733643294</v>
      </c>
      <c r="Q32" s="155">
        <f t="shared" si="9"/>
        <v>200</v>
      </c>
      <c r="R32" s="142">
        <f t="shared" si="10"/>
        <v>14500000</v>
      </c>
      <c r="S32" s="142">
        <v>0</v>
      </c>
      <c r="T32" s="142">
        <f t="shared" si="11"/>
        <v>409898.79971781332</v>
      </c>
      <c r="U32" s="142">
        <f t="shared" si="12"/>
        <v>14909898.799717814</v>
      </c>
    </row>
    <row r="33" spans="5:21" x14ac:dyDescent="0.35">
      <c r="E33" s="135">
        <v>21</v>
      </c>
      <c r="F33" s="135">
        <v>0</v>
      </c>
      <c r="G33" s="141">
        <f t="shared" si="3"/>
        <v>0</v>
      </c>
      <c r="H33" s="155">
        <f t="shared" si="4"/>
        <v>0</v>
      </c>
      <c r="I33" s="142">
        <f t="shared" si="5"/>
        <v>0</v>
      </c>
      <c r="J33" s="142">
        <f>0</f>
        <v>0</v>
      </c>
      <c r="K33" s="142">
        <f t="shared" si="6"/>
        <v>0</v>
      </c>
      <c r="L33" s="142">
        <f t="shared" si="7"/>
        <v>0</v>
      </c>
      <c r="N33" s="163">
        <v>350</v>
      </c>
      <c r="O33" s="163">
        <v>2</v>
      </c>
      <c r="P33" s="141">
        <f t="shared" si="8"/>
        <v>47.627164489095527</v>
      </c>
      <c r="Q33" s="155">
        <f t="shared" si="9"/>
        <v>200</v>
      </c>
      <c r="R33" s="142">
        <f t="shared" si="10"/>
        <v>14500000</v>
      </c>
      <c r="S33" s="142">
        <v>0</v>
      </c>
      <c r="T33" s="142">
        <f t="shared" si="11"/>
        <v>273265.86647854222</v>
      </c>
      <c r="U33" s="142">
        <f t="shared" si="12"/>
        <v>14773265.866478542</v>
      </c>
    </row>
    <row r="34" spans="5:21" x14ac:dyDescent="0.35">
      <c r="E34" s="135">
        <v>22</v>
      </c>
      <c r="F34" s="135">
        <v>0</v>
      </c>
      <c r="G34" s="141">
        <f t="shared" si="3"/>
        <v>0</v>
      </c>
      <c r="H34" s="155">
        <f t="shared" si="4"/>
        <v>0</v>
      </c>
      <c r="I34" s="142">
        <f t="shared" si="5"/>
        <v>0</v>
      </c>
      <c r="J34" s="142">
        <f>0</f>
        <v>0</v>
      </c>
      <c r="K34" s="142">
        <f t="shared" si="6"/>
        <v>0</v>
      </c>
      <c r="L34" s="142">
        <f t="shared" si="7"/>
        <v>0</v>
      </c>
      <c r="N34" s="163">
        <v>358</v>
      </c>
      <c r="O34" s="163">
        <v>3</v>
      </c>
      <c r="P34" s="141">
        <f t="shared" si="8"/>
        <v>71.440746733643294</v>
      </c>
      <c r="Q34" s="155">
        <f t="shared" si="9"/>
        <v>200</v>
      </c>
      <c r="R34" s="142">
        <f t="shared" si="10"/>
        <v>14500000</v>
      </c>
      <c r="S34" s="142">
        <v>0</v>
      </c>
      <c r="T34" s="142">
        <f t="shared" si="11"/>
        <v>409898.79971781332</v>
      </c>
      <c r="U34" s="142">
        <f t="shared" si="12"/>
        <v>14909898.799717814</v>
      </c>
    </row>
    <row r="35" spans="5:21" x14ac:dyDescent="0.35">
      <c r="E35" s="135">
        <v>23</v>
      </c>
      <c r="F35" s="135">
        <v>0</v>
      </c>
      <c r="G35" s="141">
        <f t="shared" si="3"/>
        <v>0</v>
      </c>
      <c r="H35" s="155">
        <f t="shared" si="4"/>
        <v>0</v>
      </c>
      <c r="I35" s="142">
        <f t="shared" si="5"/>
        <v>0</v>
      </c>
      <c r="J35" s="142">
        <f>0</f>
        <v>0</v>
      </c>
      <c r="K35" s="142">
        <f t="shared" si="6"/>
        <v>0</v>
      </c>
      <c r="L35" s="142">
        <f t="shared" si="7"/>
        <v>0</v>
      </c>
      <c r="N35" s="163">
        <v>402</v>
      </c>
      <c r="O35" s="163">
        <v>2</v>
      </c>
      <c r="P35" s="141">
        <f t="shared" si="8"/>
        <v>47.627164489095527</v>
      </c>
      <c r="Q35" s="155">
        <f t="shared" si="9"/>
        <v>200</v>
      </c>
      <c r="R35" s="142">
        <f t="shared" si="10"/>
        <v>14500000</v>
      </c>
      <c r="S35" s="142">
        <v>0</v>
      </c>
      <c r="T35" s="142">
        <f t="shared" si="11"/>
        <v>273265.86647854222</v>
      </c>
      <c r="U35" s="142">
        <f t="shared" si="12"/>
        <v>14773265.866478542</v>
      </c>
    </row>
    <row r="36" spans="5:21" x14ac:dyDescent="0.35">
      <c r="E36" s="135">
        <v>24</v>
      </c>
      <c r="F36" s="135">
        <v>0</v>
      </c>
      <c r="G36" s="141">
        <f t="shared" si="3"/>
        <v>0</v>
      </c>
      <c r="H36" s="155">
        <f t="shared" si="4"/>
        <v>0</v>
      </c>
      <c r="I36" s="142">
        <f t="shared" si="5"/>
        <v>0</v>
      </c>
      <c r="J36" s="142">
        <f>0</f>
        <v>0</v>
      </c>
      <c r="K36" s="142">
        <f t="shared" si="6"/>
        <v>0</v>
      </c>
      <c r="L36" s="142">
        <f t="shared" si="7"/>
        <v>0</v>
      </c>
      <c r="N36" s="163">
        <v>497</v>
      </c>
      <c r="O36" s="163">
        <v>2</v>
      </c>
      <c r="P36" s="141">
        <f t="shared" si="8"/>
        <v>47.627164489095527</v>
      </c>
      <c r="Q36" s="155">
        <f t="shared" si="9"/>
        <v>200</v>
      </c>
      <c r="R36" s="142">
        <f t="shared" si="10"/>
        <v>14500000</v>
      </c>
      <c r="S36" s="142">
        <v>0</v>
      </c>
      <c r="T36" s="142">
        <f t="shared" si="11"/>
        <v>273265.86647854222</v>
      </c>
      <c r="U36" s="142">
        <f t="shared" si="12"/>
        <v>14773265.866478542</v>
      </c>
    </row>
    <row r="37" spans="5:21" x14ac:dyDescent="0.35">
      <c r="E37" s="135">
        <v>25</v>
      </c>
      <c r="F37" s="135">
        <v>0</v>
      </c>
      <c r="G37" s="141">
        <f t="shared" si="3"/>
        <v>0</v>
      </c>
      <c r="H37" s="155">
        <f t="shared" si="4"/>
        <v>0</v>
      </c>
      <c r="I37" s="142">
        <f t="shared" si="5"/>
        <v>0</v>
      </c>
      <c r="J37" s="142">
        <f>0</f>
        <v>0</v>
      </c>
      <c r="K37" s="142">
        <f t="shared" si="6"/>
        <v>0</v>
      </c>
      <c r="L37" s="142">
        <f t="shared" si="7"/>
        <v>0</v>
      </c>
      <c r="N37" s="163">
        <v>501</v>
      </c>
      <c r="O37" s="163">
        <v>3</v>
      </c>
      <c r="P37" s="141">
        <f t="shared" si="8"/>
        <v>71.440746733643294</v>
      </c>
      <c r="Q37" s="155">
        <f t="shared" si="9"/>
        <v>200</v>
      </c>
      <c r="R37" s="142">
        <f t="shared" si="10"/>
        <v>14500000</v>
      </c>
      <c r="S37" s="142">
        <v>0</v>
      </c>
      <c r="T37" s="142">
        <f t="shared" si="11"/>
        <v>409898.79971781332</v>
      </c>
      <c r="U37" s="142">
        <f t="shared" si="12"/>
        <v>14909898.799717814</v>
      </c>
    </row>
    <row r="38" spans="5:21" x14ac:dyDescent="0.35">
      <c r="E38" s="135">
        <v>26</v>
      </c>
      <c r="F38" s="135">
        <v>0</v>
      </c>
      <c r="G38" s="141">
        <f t="shared" si="3"/>
        <v>0</v>
      </c>
      <c r="H38" s="155">
        <f t="shared" si="4"/>
        <v>0</v>
      </c>
      <c r="I38" s="142">
        <f t="shared" si="5"/>
        <v>0</v>
      </c>
      <c r="J38" s="142">
        <f>0</f>
        <v>0</v>
      </c>
      <c r="K38" s="142">
        <f t="shared" si="6"/>
        <v>0</v>
      </c>
      <c r="L38" s="142">
        <f t="shared" si="7"/>
        <v>0</v>
      </c>
      <c r="N38" s="163">
        <v>506</v>
      </c>
      <c r="O38" s="163">
        <v>2</v>
      </c>
      <c r="P38" s="141">
        <f t="shared" si="8"/>
        <v>47.627164489095527</v>
      </c>
      <c r="Q38" s="155">
        <f t="shared" si="9"/>
        <v>200</v>
      </c>
      <c r="R38" s="142">
        <f t="shared" si="10"/>
        <v>14500000</v>
      </c>
      <c r="S38" s="142">
        <v>0</v>
      </c>
      <c r="T38" s="142">
        <f t="shared" si="11"/>
        <v>273265.86647854222</v>
      </c>
      <c r="U38" s="142">
        <f t="shared" si="12"/>
        <v>14773265.866478542</v>
      </c>
    </row>
    <row r="39" spans="5:21" x14ac:dyDescent="0.35">
      <c r="E39" s="135">
        <v>27</v>
      </c>
      <c r="F39" s="135">
        <v>0</v>
      </c>
      <c r="G39" s="141">
        <f t="shared" si="3"/>
        <v>0</v>
      </c>
      <c r="H39" s="155">
        <f t="shared" si="4"/>
        <v>0</v>
      </c>
      <c r="I39" s="142">
        <f t="shared" si="5"/>
        <v>0</v>
      </c>
      <c r="J39" s="142">
        <f>0</f>
        <v>0</v>
      </c>
      <c r="K39" s="142">
        <f t="shared" si="6"/>
        <v>0</v>
      </c>
      <c r="L39" s="142">
        <f t="shared" si="7"/>
        <v>0</v>
      </c>
      <c r="N39" s="163">
        <v>511</v>
      </c>
      <c r="O39" s="163">
        <v>2</v>
      </c>
      <c r="P39" s="141">
        <f t="shared" si="8"/>
        <v>47.627164489095527</v>
      </c>
      <c r="Q39" s="155">
        <f t="shared" si="9"/>
        <v>200</v>
      </c>
      <c r="R39" s="142">
        <f t="shared" si="10"/>
        <v>14500000</v>
      </c>
      <c r="S39" s="142">
        <v>0</v>
      </c>
      <c r="T39" s="142">
        <f t="shared" si="11"/>
        <v>273265.86647854222</v>
      </c>
      <c r="U39" s="142">
        <f t="shared" si="12"/>
        <v>14773265.866478542</v>
      </c>
    </row>
    <row r="40" spans="5:21" x14ac:dyDescent="0.35">
      <c r="E40" s="135">
        <v>28</v>
      </c>
      <c r="F40" s="135">
        <v>1</v>
      </c>
      <c r="G40" s="141">
        <f t="shared" si="3"/>
        <v>23.813582244547764</v>
      </c>
      <c r="H40" s="155">
        <f t="shared" si="4"/>
        <v>0</v>
      </c>
      <c r="I40" s="142">
        <f t="shared" si="5"/>
        <v>0</v>
      </c>
      <c r="J40" s="142">
        <f>0</f>
        <v>0</v>
      </c>
      <c r="K40" s="142">
        <f t="shared" si="6"/>
        <v>136632.93323927111</v>
      </c>
      <c r="L40" s="142">
        <f t="shared" si="7"/>
        <v>136632.93323927111</v>
      </c>
      <c r="N40" s="163">
        <v>546</v>
      </c>
      <c r="O40" s="163">
        <v>2</v>
      </c>
      <c r="P40" s="141">
        <f t="shared" si="8"/>
        <v>47.627164489095527</v>
      </c>
      <c r="Q40" s="155">
        <f t="shared" si="9"/>
        <v>200</v>
      </c>
      <c r="R40" s="142">
        <f t="shared" si="10"/>
        <v>14500000</v>
      </c>
      <c r="S40" s="142">
        <v>0</v>
      </c>
      <c r="T40" s="142">
        <f t="shared" si="11"/>
        <v>273265.86647854222</v>
      </c>
      <c r="U40" s="142">
        <f t="shared" si="12"/>
        <v>14773265.866478542</v>
      </c>
    </row>
    <row r="41" spans="5:21" x14ac:dyDescent="0.35">
      <c r="E41" s="135">
        <v>29</v>
      </c>
      <c r="F41" s="135">
        <v>1</v>
      </c>
      <c r="G41" s="141">
        <f t="shared" si="3"/>
        <v>23.813582244547764</v>
      </c>
      <c r="H41" s="155">
        <f t="shared" si="4"/>
        <v>0</v>
      </c>
      <c r="I41" s="142">
        <f t="shared" si="5"/>
        <v>0</v>
      </c>
      <c r="J41" s="142">
        <f>0</f>
        <v>0</v>
      </c>
      <c r="K41" s="142">
        <f t="shared" si="6"/>
        <v>136632.93323927111</v>
      </c>
      <c r="L41" s="142">
        <f t="shared" si="7"/>
        <v>136632.93323927111</v>
      </c>
      <c r="N41" s="163">
        <v>556</v>
      </c>
      <c r="O41" s="163">
        <v>2</v>
      </c>
      <c r="P41" s="141">
        <f t="shared" si="8"/>
        <v>47.627164489095527</v>
      </c>
      <c r="Q41" s="155">
        <f t="shared" si="9"/>
        <v>200</v>
      </c>
      <c r="R41" s="142">
        <f t="shared" si="10"/>
        <v>14500000</v>
      </c>
      <c r="S41" s="142">
        <v>0</v>
      </c>
      <c r="T41" s="142">
        <f t="shared" si="11"/>
        <v>273265.86647854222</v>
      </c>
      <c r="U41" s="142">
        <f t="shared" si="12"/>
        <v>14773265.866478542</v>
      </c>
    </row>
    <row r="42" spans="5:21" x14ac:dyDescent="0.35">
      <c r="E42" s="135">
        <v>30</v>
      </c>
      <c r="F42" s="135">
        <v>0</v>
      </c>
      <c r="G42" s="141">
        <f t="shared" si="3"/>
        <v>0</v>
      </c>
      <c r="H42" s="155">
        <f t="shared" si="4"/>
        <v>0</v>
      </c>
      <c r="I42" s="142">
        <f t="shared" si="5"/>
        <v>0</v>
      </c>
      <c r="J42" s="142">
        <f>0</f>
        <v>0</v>
      </c>
      <c r="K42" s="142">
        <f t="shared" si="6"/>
        <v>0</v>
      </c>
      <c r="L42" s="142">
        <f t="shared" si="7"/>
        <v>0</v>
      </c>
      <c r="N42" s="163">
        <v>583</v>
      </c>
      <c r="O42" s="163">
        <v>2</v>
      </c>
      <c r="P42" s="141">
        <f t="shared" si="8"/>
        <v>47.627164489095527</v>
      </c>
      <c r="Q42" s="155">
        <f t="shared" si="9"/>
        <v>200</v>
      </c>
      <c r="R42" s="142">
        <f t="shared" si="10"/>
        <v>14500000</v>
      </c>
      <c r="S42" s="142">
        <v>0</v>
      </c>
      <c r="T42" s="142">
        <f t="shared" si="11"/>
        <v>273265.86647854222</v>
      </c>
      <c r="U42" s="142">
        <f t="shared" si="12"/>
        <v>14773265.866478542</v>
      </c>
    </row>
    <row r="43" spans="5:21" x14ac:dyDescent="0.35">
      <c r="E43" s="135">
        <v>31</v>
      </c>
      <c r="F43" s="135">
        <v>0</v>
      </c>
      <c r="G43" s="141">
        <f t="shared" si="3"/>
        <v>0</v>
      </c>
      <c r="H43" s="155">
        <f t="shared" si="4"/>
        <v>0</v>
      </c>
      <c r="I43" s="142">
        <f t="shared" si="5"/>
        <v>0</v>
      </c>
      <c r="J43" s="142">
        <f>0</f>
        <v>0</v>
      </c>
      <c r="K43" s="142">
        <f t="shared" si="6"/>
        <v>0</v>
      </c>
      <c r="L43" s="142">
        <f t="shared" si="7"/>
        <v>0</v>
      </c>
      <c r="N43" s="163">
        <v>585</v>
      </c>
      <c r="O43" s="163">
        <v>2</v>
      </c>
      <c r="P43" s="141">
        <f t="shared" si="8"/>
        <v>47.627164489095527</v>
      </c>
      <c r="Q43" s="155">
        <f t="shared" si="9"/>
        <v>200</v>
      </c>
      <c r="R43" s="142">
        <f t="shared" si="10"/>
        <v>14500000</v>
      </c>
      <c r="S43" s="142">
        <v>0</v>
      </c>
      <c r="T43" s="142">
        <f t="shared" si="11"/>
        <v>273265.86647854222</v>
      </c>
      <c r="U43" s="142">
        <f t="shared" si="12"/>
        <v>14773265.866478542</v>
      </c>
    </row>
    <row r="44" spans="5:21" x14ac:dyDescent="0.35">
      <c r="E44" s="135">
        <v>32</v>
      </c>
      <c r="F44" s="135">
        <v>0</v>
      </c>
      <c r="G44" s="141">
        <f t="shared" si="3"/>
        <v>0</v>
      </c>
      <c r="H44" s="155">
        <f t="shared" si="4"/>
        <v>0</v>
      </c>
      <c r="I44" s="142">
        <f t="shared" si="5"/>
        <v>0</v>
      </c>
      <c r="J44" s="142">
        <f>0</f>
        <v>0</v>
      </c>
      <c r="K44" s="142">
        <f t="shared" si="6"/>
        <v>0</v>
      </c>
      <c r="L44" s="142">
        <f t="shared" si="7"/>
        <v>0</v>
      </c>
      <c r="N44" s="163">
        <v>595</v>
      </c>
      <c r="O44" s="163">
        <v>2</v>
      </c>
      <c r="P44" s="141">
        <f t="shared" si="8"/>
        <v>47.627164489095527</v>
      </c>
      <c r="Q44" s="155">
        <f t="shared" si="9"/>
        <v>200</v>
      </c>
      <c r="R44" s="142">
        <f t="shared" si="10"/>
        <v>14500000</v>
      </c>
      <c r="S44" s="142">
        <v>0</v>
      </c>
      <c r="T44" s="142">
        <f t="shared" si="11"/>
        <v>273265.86647854222</v>
      </c>
      <c r="U44" s="142">
        <f t="shared" si="12"/>
        <v>14773265.866478542</v>
      </c>
    </row>
    <row r="45" spans="5:21" x14ac:dyDescent="0.35">
      <c r="E45" s="135">
        <v>33</v>
      </c>
      <c r="F45" s="135">
        <v>4</v>
      </c>
      <c r="G45" s="141">
        <f t="shared" si="3"/>
        <v>95.254328978191054</v>
      </c>
      <c r="H45" s="155">
        <f t="shared" si="4"/>
        <v>200</v>
      </c>
      <c r="I45" s="142">
        <f t="shared" si="5"/>
        <v>14500000</v>
      </c>
      <c r="J45" s="142">
        <f>0</f>
        <v>0</v>
      </c>
      <c r="K45" s="142">
        <f t="shared" si="6"/>
        <v>546531.73295708443</v>
      </c>
      <c r="L45" s="142">
        <f t="shared" si="7"/>
        <v>15046531.732957084</v>
      </c>
      <c r="N45" s="163">
        <v>609</v>
      </c>
      <c r="O45" s="163">
        <v>2</v>
      </c>
      <c r="P45" s="141">
        <f t="shared" si="8"/>
        <v>47.627164489095527</v>
      </c>
      <c r="Q45" s="155">
        <f t="shared" si="9"/>
        <v>200</v>
      </c>
      <c r="R45" s="142">
        <f t="shared" si="10"/>
        <v>14500000</v>
      </c>
      <c r="S45" s="142">
        <v>0</v>
      </c>
      <c r="T45" s="142">
        <f t="shared" si="11"/>
        <v>273265.86647854222</v>
      </c>
      <c r="U45" s="142">
        <f t="shared" si="12"/>
        <v>14773265.866478542</v>
      </c>
    </row>
    <row r="46" spans="5:21" x14ac:dyDescent="0.35">
      <c r="E46" s="135">
        <v>34</v>
      </c>
      <c r="F46" s="135">
        <v>2</v>
      </c>
      <c r="G46" s="141">
        <f t="shared" si="3"/>
        <v>47.627164489095527</v>
      </c>
      <c r="H46" s="155">
        <f t="shared" si="4"/>
        <v>200</v>
      </c>
      <c r="I46" s="142">
        <f t="shared" si="5"/>
        <v>14500000</v>
      </c>
      <c r="J46" s="142">
        <f>0</f>
        <v>0</v>
      </c>
      <c r="K46" s="142">
        <f t="shared" si="6"/>
        <v>273265.86647854222</v>
      </c>
      <c r="L46" s="142">
        <f t="shared" si="7"/>
        <v>14773265.866478542</v>
      </c>
      <c r="N46" s="163">
        <v>614</v>
      </c>
      <c r="O46" s="163">
        <v>2</v>
      </c>
      <c r="P46" s="141">
        <f t="shared" si="8"/>
        <v>47.627164489095527</v>
      </c>
      <c r="Q46" s="155">
        <f t="shared" si="9"/>
        <v>200</v>
      </c>
      <c r="R46" s="142">
        <f t="shared" si="10"/>
        <v>14500000</v>
      </c>
      <c r="S46" s="142">
        <v>0</v>
      </c>
      <c r="T46" s="142">
        <f t="shared" si="11"/>
        <v>273265.86647854222</v>
      </c>
      <c r="U46" s="142">
        <f t="shared" si="12"/>
        <v>14773265.866478542</v>
      </c>
    </row>
    <row r="47" spans="5:21" x14ac:dyDescent="0.35">
      <c r="E47" s="135">
        <v>35</v>
      </c>
      <c r="F47" s="135">
        <v>0</v>
      </c>
      <c r="G47" s="141">
        <f t="shared" si="3"/>
        <v>0</v>
      </c>
      <c r="H47" s="155">
        <f t="shared" si="4"/>
        <v>0</v>
      </c>
      <c r="I47" s="142">
        <f t="shared" si="5"/>
        <v>0</v>
      </c>
      <c r="J47" s="142">
        <f>0</f>
        <v>0</v>
      </c>
      <c r="K47" s="142">
        <f t="shared" si="6"/>
        <v>0</v>
      </c>
      <c r="L47" s="142">
        <f t="shared" si="7"/>
        <v>0</v>
      </c>
      <c r="N47" s="163">
        <v>620</v>
      </c>
      <c r="O47" s="163">
        <v>2</v>
      </c>
      <c r="P47" s="141">
        <f t="shared" si="8"/>
        <v>47.627164489095527</v>
      </c>
      <c r="Q47" s="155">
        <f t="shared" si="9"/>
        <v>200</v>
      </c>
      <c r="R47" s="142">
        <f t="shared" si="10"/>
        <v>14500000</v>
      </c>
      <c r="S47" s="142">
        <v>0</v>
      </c>
      <c r="T47" s="142">
        <f t="shared" si="11"/>
        <v>273265.86647854222</v>
      </c>
      <c r="U47" s="142">
        <f t="shared" si="12"/>
        <v>14773265.866478542</v>
      </c>
    </row>
    <row r="48" spans="5:21" x14ac:dyDescent="0.35">
      <c r="E48" s="135">
        <v>36</v>
      </c>
      <c r="F48" s="135">
        <v>1</v>
      </c>
      <c r="G48" s="141">
        <f t="shared" si="3"/>
        <v>23.813582244547764</v>
      </c>
      <c r="H48" s="155">
        <f t="shared" si="4"/>
        <v>0</v>
      </c>
      <c r="I48" s="142">
        <f t="shared" si="5"/>
        <v>0</v>
      </c>
      <c r="J48" s="142">
        <f>0</f>
        <v>0</v>
      </c>
      <c r="K48" s="142">
        <f t="shared" si="6"/>
        <v>136632.93323927111</v>
      </c>
      <c r="L48" s="142">
        <f t="shared" si="7"/>
        <v>136632.93323927111</v>
      </c>
      <c r="N48" s="163">
        <v>623</v>
      </c>
      <c r="O48" s="163">
        <v>2</v>
      </c>
      <c r="P48" s="141">
        <f t="shared" si="8"/>
        <v>47.627164489095527</v>
      </c>
      <c r="Q48" s="155">
        <f t="shared" si="9"/>
        <v>200</v>
      </c>
      <c r="R48" s="142">
        <f t="shared" si="10"/>
        <v>14500000</v>
      </c>
      <c r="S48" s="142">
        <v>0</v>
      </c>
      <c r="T48" s="142">
        <f t="shared" si="11"/>
        <v>273265.86647854222</v>
      </c>
      <c r="U48" s="142">
        <f t="shared" si="12"/>
        <v>14773265.866478542</v>
      </c>
    </row>
    <row r="49" spans="5:21" x14ac:dyDescent="0.35">
      <c r="E49" s="135">
        <v>37</v>
      </c>
      <c r="F49" s="135">
        <v>0</v>
      </c>
      <c r="G49" s="141">
        <f t="shared" si="3"/>
        <v>0</v>
      </c>
      <c r="H49" s="155">
        <f t="shared" si="4"/>
        <v>0</v>
      </c>
      <c r="I49" s="142">
        <f t="shared" si="5"/>
        <v>0</v>
      </c>
      <c r="J49" s="142">
        <f>0</f>
        <v>0</v>
      </c>
      <c r="K49" s="142">
        <f t="shared" si="6"/>
        <v>0</v>
      </c>
      <c r="L49" s="142">
        <f t="shared" si="7"/>
        <v>0</v>
      </c>
      <c r="N49" s="163">
        <v>642</v>
      </c>
      <c r="O49" s="163">
        <v>4</v>
      </c>
      <c r="P49" s="141">
        <f t="shared" si="8"/>
        <v>95.254328978191054</v>
      </c>
      <c r="Q49" s="155">
        <f t="shared" si="9"/>
        <v>200</v>
      </c>
      <c r="R49" s="142">
        <f t="shared" si="10"/>
        <v>14500000</v>
      </c>
      <c r="S49" s="142">
        <v>0</v>
      </c>
      <c r="T49" s="142">
        <f t="shared" si="11"/>
        <v>546531.73295708443</v>
      </c>
      <c r="U49" s="142">
        <f t="shared" si="12"/>
        <v>15046531.732957084</v>
      </c>
    </row>
    <row r="50" spans="5:21" x14ac:dyDescent="0.35">
      <c r="E50" s="135">
        <v>38</v>
      </c>
      <c r="F50" s="135">
        <v>0</v>
      </c>
      <c r="G50" s="141">
        <f t="shared" si="3"/>
        <v>0</v>
      </c>
      <c r="H50" s="155">
        <f t="shared" si="4"/>
        <v>0</v>
      </c>
      <c r="I50" s="142">
        <f t="shared" si="5"/>
        <v>0</v>
      </c>
      <c r="J50" s="142">
        <f>0</f>
        <v>0</v>
      </c>
      <c r="K50" s="142">
        <f t="shared" si="6"/>
        <v>0</v>
      </c>
      <c r="L50" s="142">
        <f t="shared" si="7"/>
        <v>0</v>
      </c>
      <c r="N50" s="163">
        <v>643</v>
      </c>
      <c r="O50" s="163">
        <v>4</v>
      </c>
      <c r="P50" s="141">
        <f t="shared" si="8"/>
        <v>95.254328978191054</v>
      </c>
      <c r="Q50" s="155">
        <f t="shared" si="9"/>
        <v>200</v>
      </c>
      <c r="R50" s="142">
        <f t="shared" si="10"/>
        <v>14500000</v>
      </c>
      <c r="S50" s="142">
        <v>0</v>
      </c>
      <c r="T50" s="142">
        <f t="shared" si="11"/>
        <v>546531.73295708443</v>
      </c>
      <c r="U50" s="142">
        <f t="shared" si="12"/>
        <v>15046531.732957084</v>
      </c>
    </row>
    <row r="51" spans="5:21" x14ac:dyDescent="0.35">
      <c r="E51" s="135">
        <v>39</v>
      </c>
      <c r="F51" s="135">
        <v>0</v>
      </c>
      <c r="G51" s="141">
        <f t="shared" si="3"/>
        <v>0</v>
      </c>
      <c r="H51" s="155">
        <f t="shared" si="4"/>
        <v>0</v>
      </c>
      <c r="I51" s="142">
        <f t="shared" si="5"/>
        <v>0</v>
      </c>
      <c r="J51" s="142">
        <f>0</f>
        <v>0</v>
      </c>
      <c r="K51" s="142">
        <f t="shared" si="6"/>
        <v>0</v>
      </c>
      <c r="L51" s="142">
        <f t="shared" si="7"/>
        <v>0</v>
      </c>
      <c r="N51" s="163">
        <v>668</v>
      </c>
      <c r="O51" s="163">
        <v>2</v>
      </c>
      <c r="P51" s="141">
        <f t="shared" si="8"/>
        <v>47.627164489095527</v>
      </c>
      <c r="Q51" s="155">
        <f t="shared" si="9"/>
        <v>200</v>
      </c>
      <c r="R51" s="142">
        <f t="shared" si="10"/>
        <v>14500000</v>
      </c>
      <c r="S51" s="142">
        <v>0</v>
      </c>
      <c r="T51" s="142">
        <f t="shared" si="11"/>
        <v>273265.86647854222</v>
      </c>
      <c r="U51" s="142">
        <f t="shared" si="12"/>
        <v>14773265.866478542</v>
      </c>
    </row>
    <row r="52" spans="5:21" x14ac:dyDescent="0.35">
      <c r="E52" s="135">
        <v>40</v>
      </c>
      <c r="F52" s="135">
        <v>0</v>
      </c>
      <c r="G52" s="141">
        <f t="shared" si="3"/>
        <v>0</v>
      </c>
      <c r="H52" s="155">
        <f t="shared" si="4"/>
        <v>0</v>
      </c>
      <c r="I52" s="142">
        <f t="shared" si="5"/>
        <v>0</v>
      </c>
      <c r="J52" s="142">
        <f>0</f>
        <v>0</v>
      </c>
      <c r="K52" s="142">
        <f t="shared" si="6"/>
        <v>0</v>
      </c>
      <c r="L52" s="142">
        <f t="shared" si="7"/>
        <v>0</v>
      </c>
      <c r="N52" s="163">
        <v>670</v>
      </c>
      <c r="O52" s="163">
        <v>6</v>
      </c>
      <c r="P52" s="141">
        <f t="shared" si="8"/>
        <v>142.88149346728659</v>
      </c>
      <c r="Q52" s="155">
        <f t="shared" si="9"/>
        <v>200</v>
      </c>
      <c r="R52" s="142">
        <f t="shared" si="10"/>
        <v>14500000</v>
      </c>
      <c r="S52" s="142">
        <v>0</v>
      </c>
      <c r="T52" s="142">
        <f t="shared" si="11"/>
        <v>819797.59943562665</v>
      </c>
      <c r="U52" s="142">
        <f t="shared" si="12"/>
        <v>15319797.599435627</v>
      </c>
    </row>
    <row r="53" spans="5:21" x14ac:dyDescent="0.35">
      <c r="E53" s="135">
        <v>41</v>
      </c>
      <c r="F53" s="135">
        <v>0</v>
      </c>
      <c r="G53" s="141">
        <f t="shared" si="3"/>
        <v>0</v>
      </c>
      <c r="H53" s="155">
        <f t="shared" si="4"/>
        <v>0</v>
      </c>
      <c r="I53" s="142">
        <f t="shared" si="5"/>
        <v>0</v>
      </c>
      <c r="J53" s="142">
        <f>0</f>
        <v>0</v>
      </c>
      <c r="K53" s="142">
        <f t="shared" si="6"/>
        <v>0</v>
      </c>
      <c r="L53" s="142">
        <f t="shared" si="7"/>
        <v>0</v>
      </c>
      <c r="N53" s="163">
        <v>673</v>
      </c>
      <c r="O53" s="163">
        <v>2</v>
      </c>
      <c r="P53" s="141">
        <f t="shared" si="8"/>
        <v>47.627164489095527</v>
      </c>
      <c r="Q53" s="155">
        <f t="shared" si="9"/>
        <v>200</v>
      </c>
      <c r="R53" s="142">
        <f t="shared" si="10"/>
        <v>14500000</v>
      </c>
      <c r="S53" s="142">
        <v>0</v>
      </c>
      <c r="T53" s="142">
        <f t="shared" si="11"/>
        <v>273265.86647854222</v>
      </c>
      <c r="U53" s="142">
        <f t="shared" si="12"/>
        <v>14773265.866478542</v>
      </c>
    </row>
    <row r="54" spans="5:21" x14ac:dyDescent="0.35">
      <c r="E54" s="135">
        <v>42</v>
      </c>
      <c r="F54" s="135">
        <v>8</v>
      </c>
      <c r="G54" s="141">
        <f t="shared" si="3"/>
        <v>190.50865795638211</v>
      </c>
      <c r="H54" s="155">
        <f t="shared" si="4"/>
        <v>200</v>
      </c>
      <c r="I54" s="142">
        <f t="shared" si="5"/>
        <v>14500000</v>
      </c>
      <c r="J54" s="142">
        <f>0</f>
        <v>0</v>
      </c>
      <c r="K54" s="142">
        <f t="shared" si="6"/>
        <v>1093063.4659141689</v>
      </c>
      <c r="L54" s="142">
        <f t="shared" si="7"/>
        <v>15593063.465914169</v>
      </c>
      <c r="N54" s="163">
        <v>675</v>
      </c>
      <c r="O54" s="163">
        <v>3</v>
      </c>
      <c r="P54" s="141">
        <f t="shared" si="8"/>
        <v>71.440746733643294</v>
      </c>
      <c r="Q54" s="155">
        <f t="shared" si="9"/>
        <v>200</v>
      </c>
      <c r="R54" s="142">
        <f t="shared" si="10"/>
        <v>14500000</v>
      </c>
      <c r="S54" s="142">
        <v>0</v>
      </c>
      <c r="T54" s="142">
        <f t="shared" si="11"/>
        <v>409898.79971781332</v>
      </c>
      <c r="U54" s="142">
        <f t="shared" si="12"/>
        <v>14909898.799717814</v>
      </c>
    </row>
    <row r="55" spans="5:21" x14ac:dyDescent="0.35">
      <c r="E55" s="135">
        <v>43</v>
      </c>
      <c r="F55" s="135">
        <v>0</v>
      </c>
      <c r="G55" s="141">
        <f t="shared" si="3"/>
        <v>0</v>
      </c>
      <c r="H55" s="155">
        <f t="shared" si="4"/>
        <v>0</v>
      </c>
      <c r="I55" s="142">
        <f t="shared" si="5"/>
        <v>0</v>
      </c>
      <c r="J55" s="142">
        <f>0</f>
        <v>0</v>
      </c>
      <c r="K55" s="142">
        <f t="shared" si="6"/>
        <v>0</v>
      </c>
      <c r="L55" s="142">
        <f t="shared" si="7"/>
        <v>0</v>
      </c>
      <c r="N55" s="163">
        <v>682</v>
      </c>
      <c r="O55" s="163">
        <v>3</v>
      </c>
      <c r="P55" s="141">
        <f t="shared" si="8"/>
        <v>71.440746733643294</v>
      </c>
      <c r="Q55" s="155">
        <f t="shared" si="9"/>
        <v>200</v>
      </c>
      <c r="R55" s="142">
        <f t="shared" si="10"/>
        <v>14500000</v>
      </c>
      <c r="S55" s="142">
        <v>0</v>
      </c>
      <c r="T55" s="142">
        <f t="shared" si="11"/>
        <v>409898.79971781332</v>
      </c>
      <c r="U55" s="142">
        <f t="shared" si="12"/>
        <v>14909898.799717814</v>
      </c>
    </row>
    <row r="56" spans="5:21" x14ac:dyDescent="0.35">
      <c r="E56" s="135">
        <v>44</v>
      </c>
      <c r="F56" s="135">
        <v>0</v>
      </c>
      <c r="G56" s="141">
        <f t="shared" si="3"/>
        <v>0</v>
      </c>
      <c r="H56" s="155">
        <f t="shared" si="4"/>
        <v>0</v>
      </c>
      <c r="I56" s="142">
        <f t="shared" si="5"/>
        <v>0</v>
      </c>
      <c r="J56" s="142">
        <f>0</f>
        <v>0</v>
      </c>
      <c r="K56" s="142">
        <f t="shared" si="6"/>
        <v>0</v>
      </c>
      <c r="L56" s="142">
        <f t="shared" si="7"/>
        <v>0</v>
      </c>
      <c r="N56" s="163">
        <v>705</v>
      </c>
      <c r="O56" s="163">
        <v>2</v>
      </c>
      <c r="P56" s="141">
        <f t="shared" si="8"/>
        <v>47.627164489095527</v>
      </c>
      <c r="Q56" s="155">
        <f t="shared" si="9"/>
        <v>200</v>
      </c>
      <c r="R56" s="142">
        <f t="shared" si="10"/>
        <v>14500000</v>
      </c>
      <c r="S56" s="142">
        <v>0</v>
      </c>
      <c r="T56" s="142">
        <f t="shared" si="11"/>
        <v>273265.86647854222</v>
      </c>
      <c r="U56" s="142">
        <f t="shared" si="12"/>
        <v>14773265.866478542</v>
      </c>
    </row>
    <row r="57" spans="5:21" x14ac:dyDescent="0.35">
      <c r="E57" s="135">
        <v>45</v>
      </c>
      <c r="F57" s="135">
        <v>0</v>
      </c>
      <c r="G57" s="141">
        <f t="shared" si="3"/>
        <v>0</v>
      </c>
      <c r="H57" s="155">
        <f t="shared" si="4"/>
        <v>0</v>
      </c>
      <c r="I57" s="142">
        <f t="shared" si="5"/>
        <v>0</v>
      </c>
      <c r="J57" s="142">
        <f>0</f>
        <v>0</v>
      </c>
      <c r="K57" s="142">
        <f t="shared" si="6"/>
        <v>0</v>
      </c>
      <c r="L57" s="142">
        <f t="shared" si="7"/>
        <v>0</v>
      </c>
      <c r="N57" s="163">
        <v>721</v>
      </c>
      <c r="O57" s="163">
        <v>2</v>
      </c>
      <c r="P57" s="141">
        <f t="shared" si="8"/>
        <v>47.627164489095527</v>
      </c>
      <c r="Q57" s="155">
        <f t="shared" si="9"/>
        <v>200</v>
      </c>
      <c r="R57" s="142">
        <f t="shared" si="10"/>
        <v>14500000</v>
      </c>
      <c r="S57" s="142">
        <v>0</v>
      </c>
      <c r="T57" s="142">
        <f t="shared" si="11"/>
        <v>273265.86647854222</v>
      </c>
      <c r="U57" s="142">
        <f t="shared" si="12"/>
        <v>14773265.866478542</v>
      </c>
    </row>
    <row r="58" spans="5:21" x14ac:dyDescent="0.35">
      <c r="E58" s="135">
        <v>46</v>
      </c>
      <c r="F58" s="135">
        <v>0</v>
      </c>
      <c r="G58" s="141">
        <f t="shared" si="3"/>
        <v>0</v>
      </c>
      <c r="H58" s="155">
        <f t="shared" si="4"/>
        <v>0</v>
      </c>
      <c r="I58" s="142">
        <f t="shared" si="5"/>
        <v>0</v>
      </c>
      <c r="J58" s="142">
        <f>0</f>
        <v>0</v>
      </c>
      <c r="K58" s="142">
        <f t="shared" si="6"/>
        <v>0</v>
      </c>
      <c r="L58" s="142">
        <f t="shared" si="7"/>
        <v>0</v>
      </c>
      <c r="N58" s="163">
        <v>754</v>
      </c>
      <c r="O58" s="163">
        <v>5</v>
      </c>
      <c r="P58" s="141">
        <f t="shared" si="8"/>
        <v>119.06791122273881</v>
      </c>
      <c r="Q58" s="155">
        <f t="shared" si="9"/>
        <v>200</v>
      </c>
      <c r="R58" s="142">
        <f t="shared" si="10"/>
        <v>14500000</v>
      </c>
      <c r="S58" s="142">
        <v>0</v>
      </c>
      <c r="T58" s="142">
        <f t="shared" si="11"/>
        <v>683164.6661963556</v>
      </c>
      <c r="U58" s="142">
        <f t="shared" si="12"/>
        <v>15183164.666196356</v>
      </c>
    </row>
    <row r="59" spans="5:21" x14ac:dyDescent="0.35">
      <c r="E59" s="135">
        <v>47</v>
      </c>
      <c r="F59" s="135">
        <v>0</v>
      </c>
      <c r="G59" s="141">
        <f t="shared" si="3"/>
        <v>0</v>
      </c>
      <c r="H59" s="155">
        <f t="shared" si="4"/>
        <v>0</v>
      </c>
      <c r="I59" s="142">
        <f t="shared" si="5"/>
        <v>0</v>
      </c>
      <c r="J59" s="142">
        <f>0</f>
        <v>0</v>
      </c>
      <c r="K59" s="142">
        <f t="shared" si="6"/>
        <v>0</v>
      </c>
      <c r="L59" s="142">
        <f t="shared" si="7"/>
        <v>0</v>
      </c>
      <c r="N59" s="163">
        <v>760</v>
      </c>
      <c r="O59" s="163">
        <v>2</v>
      </c>
      <c r="P59" s="141">
        <f t="shared" si="8"/>
        <v>47.627164489095527</v>
      </c>
      <c r="Q59" s="155">
        <f t="shared" si="9"/>
        <v>200</v>
      </c>
      <c r="R59" s="142">
        <f t="shared" si="10"/>
        <v>14500000</v>
      </c>
      <c r="S59" s="142">
        <v>0</v>
      </c>
      <c r="T59" s="142">
        <f t="shared" si="11"/>
        <v>273265.86647854222</v>
      </c>
      <c r="U59" s="142">
        <f t="shared" si="12"/>
        <v>14773265.866478542</v>
      </c>
    </row>
    <row r="60" spans="5:21" x14ac:dyDescent="0.35">
      <c r="E60" s="135">
        <v>48</v>
      </c>
      <c r="F60" s="135">
        <v>0</v>
      </c>
      <c r="G60" s="141">
        <f t="shared" si="3"/>
        <v>0</v>
      </c>
      <c r="H60" s="155">
        <f t="shared" si="4"/>
        <v>0</v>
      </c>
      <c r="I60" s="142">
        <f t="shared" si="5"/>
        <v>0</v>
      </c>
      <c r="J60" s="142">
        <f>0</f>
        <v>0</v>
      </c>
      <c r="K60" s="142">
        <f t="shared" si="6"/>
        <v>0</v>
      </c>
      <c r="L60" s="142">
        <f t="shared" si="7"/>
        <v>0</v>
      </c>
      <c r="N60" s="163">
        <v>766</v>
      </c>
      <c r="O60" s="163">
        <v>4</v>
      </c>
      <c r="P60" s="141">
        <f t="shared" si="8"/>
        <v>95.254328978191054</v>
      </c>
      <c r="Q60" s="155">
        <f t="shared" si="9"/>
        <v>200</v>
      </c>
      <c r="R60" s="142">
        <f t="shared" si="10"/>
        <v>14500000</v>
      </c>
      <c r="S60" s="142">
        <v>0</v>
      </c>
      <c r="T60" s="142">
        <f t="shared" si="11"/>
        <v>546531.73295708443</v>
      </c>
      <c r="U60" s="142">
        <f t="shared" si="12"/>
        <v>15046531.732957084</v>
      </c>
    </row>
    <row r="61" spans="5:21" x14ac:dyDescent="0.35">
      <c r="E61" s="135">
        <v>49</v>
      </c>
      <c r="F61" s="135">
        <v>0</v>
      </c>
      <c r="G61" s="141">
        <f t="shared" si="3"/>
        <v>0</v>
      </c>
      <c r="H61" s="155">
        <f t="shared" si="4"/>
        <v>0</v>
      </c>
      <c r="I61" s="142">
        <f t="shared" si="5"/>
        <v>0</v>
      </c>
      <c r="J61" s="142">
        <f>0</f>
        <v>0</v>
      </c>
      <c r="K61" s="142">
        <f t="shared" si="6"/>
        <v>0</v>
      </c>
      <c r="L61" s="142">
        <f t="shared" si="7"/>
        <v>0</v>
      </c>
      <c r="N61" s="163">
        <v>768</v>
      </c>
      <c r="O61" s="163">
        <v>3</v>
      </c>
      <c r="P61" s="141">
        <f t="shared" si="8"/>
        <v>71.440746733643294</v>
      </c>
      <c r="Q61" s="155">
        <f t="shared" si="9"/>
        <v>200</v>
      </c>
      <c r="R61" s="142">
        <f t="shared" si="10"/>
        <v>14500000</v>
      </c>
      <c r="S61" s="142">
        <v>0</v>
      </c>
      <c r="T61" s="142">
        <f t="shared" si="11"/>
        <v>409898.79971781332</v>
      </c>
      <c r="U61" s="142">
        <f t="shared" si="12"/>
        <v>14909898.799717814</v>
      </c>
    </row>
    <row r="62" spans="5:21" x14ac:dyDescent="0.35">
      <c r="E62" s="135">
        <v>50</v>
      </c>
      <c r="F62" s="135">
        <v>0</v>
      </c>
      <c r="G62" s="141">
        <f t="shared" si="3"/>
        <v>0</v>
      </c>
      <c r="H62" s="155">
        <f t="shared" si="4"/>
        <v>0</v>
      </c>
      <c r="I62" s="142">
        <f t="shared" si="5"/>
        <v>0</v>
      </c>
      <c r="J62" s="142">
        <f>0</f>
        <v>0</v>
      </c>
      <c r="K62" s="142">
        <f t="shared" si="6"/>
        <v>0</v>
      </c>
      <c r="L62" s="142">
        <f t="shared" si="7"/>
        <v>0</v>
      </c>
      <c r="N62" s="163">
        <v>769</v>
      </c>
      <c r="O62" s="163">
        <v>5</v>
      </c>
      <c r="P62" s="141">
        <f t="shared" si="8"/>
        <v>119.06791122273881</v>
      </c>
      <c r="Q62" s="155">
        <f t="shared" si="9"/>
        <v>200</v>
      </c>
      <c r="R62" s="142">
        <f t="shared" si="10"/>
        <v>14500000</v>
      </c>
      <c r="S62" s="142">
        <v>0</v>
      </c>
      <c r="T62" s="142">
        <f t="shared" si="11"/>
        <v>683164.6661963556</v>
      </c>
      <c r="U62" s="142">
        <f t="shared" si="12"/>
        <v>15183164.666196356</v>
      </c>
    </row>
    <row r="63" spans="5:21" x14ac:dyDescent="0.35">
      <c r="E63" s="135">
        <v>51</v>
      </c>
      <c r="F63" s="135">
        <v>0</v>
      </c>
      <c r="G63" s="141">
        <f t="shared" si="3"/>
        <v>0</v>
      </c>
      <c r="H63" s="155">
        <f t="shared" si="4"/>
        <v>0</v>
      </c>
      <c r="I63" s="142">
        <f t="shared" si="5"/>
        <v>0</v>
      </c>
      <c r="J63" s="142">
        <f>0</f>
        <v>0</v>
      </c>
      <c r="K63" s="142">
        <f t="shared" si="6"/>
        <v>0</v>
      </c>
      <c r="L63" s="142">
        <f t="shared" si="7"/>
        <v>0</v>
      </c>
      <c r="N63" s="163">
        <v>789</v>
      </c>
      <c r="O63" s="163">
        <v>2</v>
      </c>
      <c r="P63" s="141">
        <f t="shared" si="8"/>
        <v>47.627164489095527</v>
      </c>
      <c r="Q63" s="155">
        <f t="shared" si="9"/>
        <v>200</v>
      </c>
      <c r="R63" s="142">
        <f t="shared" si="10"/>
        <v>14500000</v>
      </c>
      <c r="S63" s="142">
        <v>0</v>
      </c>
      <c r="T63" s="142">
        <f t="shared" si="11"/>
        <v>273265.86647854222</v>
      </c>
      <c r="U63" s="142">
        <f t="shared" si="12"/>
        <v>14773265.866478542</v>
      </c>
    </row>
    <row r="64" spans="5:21" x14ac:dyDescent="0.35">
      <c r="E64" s="135">
        <v>52</v>
      </c>
      <c r="F64" s="135">
        <v>0</v>
      </c>
      <c r="G64" s="141">
        <f t="shared" si="3"/>
        <v>0</v>
      </c>
      <c r="H64" s="155">
        <f t="shared" si="4"/>
        <v>0</v>
      </c>
      <c r="I64" s="142">
        <f t="shared" si="5"/>
        <v>0</v>
      </c>
      <c r="J64" s="142">
        <f>0</f>
        <v>0</v>
      </c>
      <c r="K64" s="142">
        <f t="shared" si="6"/>
        <v>0</v>
      </c>
      <c r="L64" s="142">
        <f t="shared" si="7"/>
        <v>0</v>
      </c>
      <c r="N64" s="163">
        <v>827</v>
      </c>
      <c r="O64" s="163">
        <v>2</v>
      </c>
      <c r="P64" s="141">
        <f t="shared" si="8"/>
        <v>47.627164489095527</v>
      </c>
      <c r="Q64" s="155">
        <f t="shared" si="9"/>
        <v>200</v>
      </c>
      <c r="R64" s="142">
        <f t="shared" si="10"/>
        <v>14500000</v>
      </c>
      <c r="S64" s="142">
        <v>0</v>
      </c>
      <c r="T64" s="142">
        <f t="shared" si="11"/>
        <v>273265.86647854222</v>
      </c>
      <c r="U64" s="142">
        <f t="shared" si="12"/>
        <v>14773265.866478542</v>
      </c>
    </row>
    <row r="65" spans="5:21" x14ac:dyDescent="0.35">
      <c r="E65" s="135">
        <v>53</v>
      </c>
      <c r="F65" s="135">
        <v>0</v>
      </c>
      <c r="G65" s="141">
        <f t="shared" si="3"/>
        <v>0</v>
      </c>
      <c r="H65" s="155">
        <f t="shared" si="4"/>
        <v>0</v>
      </c>
      <c r="I65" s="142">
        <f t="shared" si="5"/>
        <v>0</v>
      </c>
      <c r="J65" s="142">
        <f>0</f>
        <v>0</v>
      </c>
      <c r="K65" s="142">
        <f t="shared" si="6"/>
        <v>0</v>
      </c>
      <c r="L65" s="142">
        <f t="shared" si="7"/>
        <v>0</v>
      </c>
      <c r="N65" s="163">
        <v>832</v>
      </c>
      <c r="O65" s="163">
        <v>2</v>
      </c>
      <c r="P65" s="141">
        <f t="shared" si="8"/>
        <v>47.627164489095527</v>
      </c>
      <c r="Q65" s="155">
        <f t="shared" si="9"/>
        <v>200</v>
      </c>
      <c r="R65" s="142">
        <f t="shared" si="10"/>
        <v>14500000</v>
      </c>
      <c r="S65" s="142">
        <v>0</v>
      </c>
      <c r="T65" s="142">
        <f t="shared" si="11"/>
        <v>273265.86647854222</v>
      </c>
      <c r="U65" s="142">
        <f t="shared" si="12"/>
        <v>14773265.866478542</v>
      </c>
    </row>
    <row r="66" spans="5:21" x14ac:dyDescent="0.35">
      <c r="E66" s="135">
        <v>54</v>
      </c>
      <c r="F66" s="135">
        <v>0</v>
      </c>
      <c r="G66" s="141">
        <f t="shared" si="3"/>
        <v>0</v>
      </c>
      <c r="H66" s="155">
        <f t="shared" si="4"/>
        <v>0</v>
      </c>
      <c r="I66" s="142">
        <f t="shared" si="5"/>
        <v>0</v>
      </c>
      <c r="J66" s="142">
        <f>0</f>
        <v>0</v>
      </c>
      <c r="K66" s="142">
        <f t="shared" si="6"/>
        <v>0</v>
      </c>
      <c r="L66" s="142">
        <f t="shared" si="7"/>
        <v>0</v>
      </c>
      <c r="N66" s="163">
        <v>840</v>
      </c>
      <c r="O66" s="163">
        <v>4</v>
      </c>
      <c r="P66" s="141">
        <f t="shared" si="8"/>
        <v>95.254328978191054</v>
      </c>
      <c r="Q66" s="155">
        <f t="shared" si="9"/>
        <v>200</v>
      </c>
      <c r="R66" s="142">
        <f t="shared" si="10"/>
        <v>14500000</v>
      </c>
      <c r="S66" s="142">
        <v>0</v>
      </c>
      <c r="T66" s="142">
        <f t="shared" si="11"/>
        <v>546531.73295708443</v>
      </c>
      <c r="U66" s="142">
        <f t="shared" si="12"/>
        <v>15046531.732957084</v>
      </c>
    </row>
    <row r="67" spans="5:21" x14ac:dyDescent="0.35">
      <c r="E67" s="135">
        <v>55</v>
      </c>
      <c r="F67" s="135">
        <v>0</v>
      </c>
      <c r="G67" s="141">
        <f t="shared" si="3"/>
        <v>0</v>
      </c>
      <c r="H67" s="155">
        <f t="shared" si="4"/>
        <v>0</v>
      </c>
      <c r="I67" s="142">
        <f t="shared" si="5"/>
        <v>0</v>
      </c>
      <c r="J67" s="142">
        <f>0</f>
        <v>0</v>
      </c>
      <c r="K67" s="142">
        <f t="shared" si="6"/>
        <v>0</v>
      </c>
      <c r="L67" s="142">
        <f t="shared" si="7"/>
        <v>0</v>
      </c>
      <c r="N67" s="163">
        <v>844</v>
      </c>
      <c r="O67" s="163">
        <v>2</v>
      </c>
      <c r="P67" s="141">
        <f t="shared" si="8"/>
        <v>47.627164489095527</v>
      </c>
      <c r="Q67" s="155">
        <f t="shared" si="9"/>
        <v>200</v>
      </c>
      <c r="R67" s="142">
        <f t="shared" si="10"/>
        <v>14500000</v>
      </c>
      <c r="S67" s="142">
        <v>0</v>
      </c>
      <c r="T67" s="142">
        <f t="shared" si="11"/>
        <v>273265.86647854222</v>
      </c>
      <c r="U67" s="142">
        <f t="shared" si="12"/>
        <v>14773265.866478542</v>
      </c>
    </row>
    <row r="68" spans="5:21" x14ac:dyDescent="0.35">
      <c r="E68" s="135">
        <v>56</v>
      </c>
      <c r="F68" s="135">
        <v>0</v>
      </c>
      <c r="G68" s="141">
        <f t="shared" si="3"/>
        <v>0</v>
      </c>
      <c r="H68" s="155">
        <f t="shared" si="4"/>
        <v>0</v>
      </c>
      <c r="I68" s="142">
        <f t="shared" si="5"/>
        <v>0</v>
      </c>
      <c r="J68" s="142">
        <f>0</f>
        <v>0</v>
      </c>
      <c r="K68" s="142">
        <f t="shared" si="6"/>
        <v>0</v>
      </c>
      <c r="L68" s="142">
        <f t="shared" si="7"/>
        <v>0</v>
      </c>
      <c r="N68" s="163">
        <v>849</v>
      </c>
      <c r="O68" s="163">
        <v>2</v>
      </c>
      <c r="P68" s="141">
        <f t="shared" si="8"/>
        <v>47.627164489095527</v>
      </c>
      <c r="Q68" s="155">
        <f t="shared" si="9"/>
        <v>200</v>
      </c>
      <c r="R68" s="142">
        <f t="shared" si="10"/>
        <v>14500000</v>
      </c>
      <c r="S68" s="142">
        <v>0</v>
      </c>
      <c r="T68" s="142">
        <f t="shared" si="11"/>
        <v>273265.86647854222</v>
      </c>
      <c r="U68" s="142">
        <f t="shared" si="12"/>
        <v>14773265.866478542</v>
      </c>
    </row>
    <row r="69" spans="5:21" x14ac:dyDescent="0.35">
      <c r="E69" s="135">
        <v>57</v>
      </c>
      <c r="F69" s="135">
        <v>1</v>
      </c>
      <c r="G69" s="141">
        <f t="shared" si="3"/>
        <v>23.813582244547764</v>
      </c>
      <c r="H69" s="155">
        <f t="shared" si="4"/>
        <v>0</v>
      </c>
      <c r="I69" s="142">
        <f t="shared" si="5"/>
        <v>0</v>
      </c>
      <c r="J69" s="142">
        <f>0</f>
        <v>0</v>
      </c>
      <c r="K69" s="142">
        <f t="shared" si="6"/>
        <v>136632.93323927111</v>
      </c>
      <c r="L69" s="142">
        <f t="shared" si="7"/>
        <v>136632.93323927111</v>
      </c>
      <c r="N69" s="163">
        <v>855</v>
      </c>
      <c r="O69" s="163">
        <v>2</v>
      </c>
      <c r="P69" s="141">
        <f t="shared" si="8"/>
        <v>47.627164489095527</v>
      </c>
      <c r="Q69" s="155">
        <f t="shared" si="9"/>
        <v>200</v>
      </c>
      <c r="R69" s="142">
        <f t="shared" si="10"/>
        <v>14500000</v>
      </c>
      <c r="S69" s="142">
        <v>0</v>
      </c>
      <c r="T69" s="142">
        <f t="shared" si="11"/>
        <v>273265.86647854222</v>
      </c>
      <c r="U69" s="142">
        <f t="shared" si="12"/>
        <v>14773265.866478542</v>
      </c>
    </row>
    <row r="70" spans="5:21" x14ac:dyDescent="0.35">
      <c r="E70" s="135">
        <v>58</v>
      </c>
      <c r="F70" s="135">
        <v>2</v>
      </c>
      <c r="G70" s="141">
        <f t="shared" si="3"/>
        <v>47.627164489095527</v>
      </c>
      <c r="H70" s="155">
        <f t="shared" si="4"/>
        <v>200</v>
      </c>
      <c r="I70" s="142">
        <f t="shared" si="5"/>
        <v>14500000</v>
      </c>
      <c r="J70" s="142">
        <f>0</f>
        <v>0</v>
      </c>
      <c r="K70" s="142">
        <f t="shared" si="6"/>
        <v>273265.86647854222</v>
      </c>
      <c r="L70" s="142">
        <f t="shared" si="7"/>
        <v>14773265.866478542</v>
      </c>
      <c r="N70" s="163">
        <v>866</v>
      </c>
      <c r="O70" s="163">
        <v>2</v>
      </c>
      <c r="P70" s="141">
        <f t="shared" si="8"/>
        <v>47.627164489095527</v>
      </c>
      <c r="Q70" s="155">
        <f t="shared" si="9"/>
        <v>200</v>
      </c>
      <c r="R70" s="142">
        <f t="shared" si="10"/>
        <v>14500000</v>
      </c>
      <c r="S70" s="142">
        <v>0</v>
      </c>
      <c r="T70" s="142">
        <f t="shared" si="11"/>
        <v>273265.86647854222</v>
      </c>
      <c r="U70" s="142">
        <f t="shared" si="12"/>
        <v>14773265.866478542</v>
      </c>
    </row>
    <row r="71" spans="5:21" x14ac:dyDescent="0.35">
      <c r="E71" s="135">
        <v>59</v>
      </c>
      <c r="F71" s="135">
        <v>0</v>
      </c>
      <c r="G71" s="141">
        <f t="shared" si="3"/>
        <v>0</v>
      </c>
      <c r="H71" s="155">
        <f t="shared" si="4"/>
        <v>0</v>
      </c>
      <c r="I71" s="142">
        <f t="shared" si="5"/>
        <v>0</v>
      </c>
      <c r="J71" s="142">
        <f>0</f>
        <v>0</v>
      </c>
      <c r="K71" s="142">
        <f t="shared" si="6"/>
        <v>0</v>
      </c>
      <c r="L71" s="142">
        <f t="shared" si="7"/>
        <v>0</v>
      </c>
      <c r="N71" s="163">
        <v>917</v>
      </c>
      <c r="O71" s="163">
        <v>3</v>
      </c>
      <c r="P71" s="141">
        <f t="shared" si="8"/>
        <v>71.440746733643294</v>
      </c>
      <c r="Q71" s="155">
        <f t="shared" si="9"/>
        <v>200</v>
      </c>
      <c r="R71" s="142">
        <f t="shared" si="10"/>
        <v>14500000</v>
      </c>
      <c r="S71" s="142">
        <v>0</v>
      </c>
      <c r="T71" s="142">
        <f t="shared" si="11"/>
        <v>409898.79971781332</v>
      </c>
      <c r="U71" s="142">
        <f t="shared" si="12"/>
        <v>14909898.799717814</v>
      </c>
    </row>
    <row r="72" spans="5:21" x14ac:dyDescent="0.35">
      <c r="E72" s="135">
        <v>60</v>
      </c>
      <c r="F72" s="135">
        <v>0</v>
      </c>
      <c r="G72" s="141">
        <f t="shared" si="3"/>
        <v>0</v>
      </c>
      <c r="H72" s="155">
        <f t="shared" si="4"/>
        <v>0</v>
      </c>
      <c r="I72" s="142">
        <f t="shared" si="5"/>
        <v>0</v>
      </c>
      <c r="J72" s="142">
        <f>0</f>
        <v>0</v>
      </c>
      <c r="K72" s="142">
        <f t="shared" si="6"/>
        <v>0</v>
      </c>
      <c r="L72" s="142">
        <f t="shared" si="7"/>
        <v>0</v>
      </c>
      <c r="N72" s="163">
        <v>935</v>
      </c>
      <c r="O72" s="163">
        <v>3</v>
      </c>
      <c r="P72" s="141">
        <f t="shared" si="8"/>
        <v>71.440746733643294</v>
      </c>
      <c r="Q72" s="155">
        <f t="shared" si="9"/>
        <v>200</v>
      </c>
      <c r="R72" s="142">
        <f t="shared" si="10"/>
        <v>14500000</v>
      </c>
      <c r="S72" s="142">
        <v>0</v>
      </c>
      <c r="T72" s="142">
        <f t="shared" si="11"/>
        <v>409898.79971781332</v>
      </c>
      <c r="U72" s="142">
        <f t="shared" si="12"/>
        <v>14909898.799717814</v>
      </c>
    </row>
    <row r="73" spans="5:21" x14ac:dyDescent="0.35">
      <c r="E73" s="135">
        <v>61</v>
      </c>
      <c r="F73" s="135">
        <v>0</v>
      </c>
      <c r="G73" s="141">
        <f t="shared" si="3"/>
        <v>0</v>
      </c>
      <c r="H73" s="155">
        <f t="shared" si="4"/>
        <v>0</v>
      </c>
      <c r="I73" s="142">
        <f t="shared" si="5"/>
        <v>0</v>
      </c>
      <c r="J73" s="142">
        <f>0</f>
        <v>0</v>
      </c>
      <c r="K73" s="142">
        <f t="shared" si="6"/>
        <v>0</v>
      </c>
      <c r="L73" s="142">
        <f t="shared" si="7"/>
        <v>0</v>
      </c>
      <c r="N73" s="163">
        <v>939</v>
      </c>
      <c r="O73" s="163">
        <v>3</v>
      </c>
      <c r="P73" s="141">
        <f t="shared" si="8"/>
        <v>71.440746733643294</v>
      </c>
      <c r="Q73" s="155">
        <f t="shared" si="9"/>
        <v>200</v>
      </c>
      <c r="R73" s="142">
        <f t="shared" si="10"/>
        <v>14500000</v>
      </c>
      <c r="S73" s="142">
        <v>0</v>
      </c>
      <c r="T73" s="142">
        <f t="shared" si="11"/>
        <v>409898.79971781332</v>
      </c>
      <c r="U73" s="142">
        <f t="shared" si="12"/>
        <v>14909898.799717814</v>
      </c>
    </row>
    <row r="74" spans="5:21" x14ac:dyDescent="0.35">
      <c r="E74" s="135">
        <v>62</v>
      </c>
      <c r="F74" s="135">
        <v>1</v>
      </c>
      <c r="G74" s="141">
        <f t="shared" si="3"/>
        <v>23.813582244547764</v>
      </c>
      <c r="H74" s="155">
        <f t="shared" si="4"/>
        <v>0</v>
      </c>
      <c r="I74" s="142">
        <f t="shared" si="5"/>
        <v>0</v>
      </c>
      <c r="J74" s="142">
        <f>0</f>
        <v>0</v>
      </c>
      <c r="K74" s="142">
        <f t="shared" si="6"/>
        <v>136632.93323927111</v>
      </c>
      <c r="L74" s="142">
        <f t="shared" si="7"/>
        <v>136632.93323927111</v>
      </c>
      <c r="N74" s="163">
        <v>969</v>
      </c>
      <c r="O74" s="163">
        <v>2</v>
      </c>
      <c r="P74" s="141">
        <f t="shared" si="8"/>
        <v>47.627164489095527</v>
      </c>
      <c r="Q74" s="155">
        <f t="shared" si="9"/>
        <v>200</v>
      </c>
      <c r="R74" s="142">
        <f t="shared" si="10"/>
        <v>14500000</v>
      </c>
      <c r="S74" s="142">
        <v>0</v>
      </c>
      <c r="T74" s="142">
        <f t="shared" si="11"/>
        <v>273265.86647854222</v>
      </c>
      <c r="U74" s="142">
        <f t="shared" si="12"/>
        <v>14773265.866478542</v>
      </c>
    </row>
    <row r="75" spans="5:21" x14ac:dyDescent="0.35">
      <c r="E75" s="135">
        <v>63</v>
      </c>
      <c r="F75" s="135">
        <v>0</v>
      </c>
      <c r="G75" s="141">
        <f t="shared" si="3"/>
        <v>0</v>
      </c>
      <c r="H75" s="155">
        <f t="shared" si="4"/>
        <v>0</v>
      </c>
      <c r="I75" s="142">
        <f t="shared" si="5"/>
        <v>0</v>
      </c>
      <c r="J75" s="142">
        <f>0</f>
        <v>0</v>
      </c>
      <c r="K75" s="142">
        <f t="shared" si="6"/>
        <v>0</v>
      </c>
      <c r="L75" s="142">
        <f t="shared" si="7"/>
        <v>0</v>
      </c>
      <c r="N75" s="163">
        <v>984</v>
      </c>
      <c r="O75" s="163">
        <v>2</v>
      </c>
      <c r="P75" s="141">
        <f t="shared" si="8"/>
        <v>47.627164489095527</v>
      </c>
      <c r="Q75" s="155">
        <f t="shared" si="9"/>
        <v>200</v>
      </c>
      <c r="R75" s="142">
        <f t="shared" si="10"/>
        <v>14500000</v>
      </c>
      <c r="S75" s="142">
        <v>0</v>
      </c>
      <c r="T75" s="142">
        <f t="shared" si="11"/>
        <v>273265.86647854222</v>
      </c>
      <c r="U75" s="142">
        <f t="shared" si="12"/>
        <v>14773265.866478542</v>
      </c>
    </row>
    <row r="76" spans="5:21" x14ac:dyDescent="0.35">
      <c r="E76" s="135">
        <v>64</v>
      </c>
      <c r="F76" s="135">
        <v>0</v>
      </c>
      <c r="G76" s="141">
        <f t="shared" si="3"/>
        <v>0</v>
      </c>
      <c r="H76" s="155">
        <f t="shared" si="4"/>
        <v>0</v>
      </c>
      <c r="I76" s="142">
        <f t="shared" si="5"/>
        <v>0</v>
      </c>
      <c r="J76" s="142">
        <f>0</f>
        <v>0</v>
      </c>
      <c r="K76" s="142">
        <f t="shared" si="6"/>
        <v>0</v>
      </c>
      <c r="L76" s="142">
        <f t="shared" si="7"/>
        <v>0</v>
      </c>
      <c r="Q76" s="155"/>
      <c r="R76" s="142"/>
      <c r="S76" s="142"/>
      <c r="T76" s="142"/>
      <c r="U76" s="142"/>
    </row>
    <row r="77" spans="5:21" x14ac:dyDescent="0.35">
      <c r="E77" s="135">
        <v>65</v>
      </c>
      <c r="F77" s="135">
        <v>0</v>
      </c>
      <c r="G77" s="141">
        <f t="shared" ref="G77:G140" si="13">F77*$C$9</f>
        <v>0</v>
      </c>
      <c r="H77" s="155">
        <f t="shared" ref="H77:H140" si="14">IF(F77 &gt; 1,$C$13*20000,0)</f>
        <v>0</v>
      </c>
      <c r="I77" s="142">
        <f t="shared" ref="I77:I140" si="15">IF(F77 &gt; 1,$C$4,0)</f>
        <v>0</v>
      </c>
      <c r="J77" s="142">
        <f>0</f>
        <v>0</v>
      </c>
      <c r="K77" s="142">
        <f t="shared" ref="K77:K140" si="16">F77*$C$5</f>
        <v>0</v>
      </c>
      <c r="L77" s="142">
        <f t="shared" ref="L77:L140" si="17">J77+I77+K77</f>
        <v>0</v>
      </c>
      <c r="Q77" s="155"/>
      <c r="R77" s="142"/>
      <c r="S77" s="142"/>
      <c r="T77" s="142"/>
      <c r="U77" s="142"/>
    </row>
    <row r="78" spans="5:21" x14ac:dyDescent="0.35">
      <c r="E78" s="135">
        <v>66</v>
      </c>
      <c r="F78" s="135">
        <v>0</v>
      </c>
      <c r="G78" s="141">
        <f t="shared" si="13"/>
        <v>0</v>
      </c>
      <c r="H78" s="155">
        <f t="shared" si="14"/>
        <v>0</v>
      </c>
      <c r="I78" s="142">
        <f t="shared" si="15"/>
        <v>0</v>
      </c>
      <c r="J78" s="142">
        <f>0</f>
        <v>0</v>
      </c>
      <c r="K78" s="142">
        <f t="shared" si="16"/>
        <v>0</v>
      </c>
      <c r="L78" s="142">
        <f t="shared" si="17"/>
        <v>0</v>
      </c>
      <c r="Q78" s="155"/>
      <c r="R78" s="142"/>
      <c r="S78" s="142"/>
      <c r="T78" s="142"/>
      <c r="U78" s="142"/>
    </row>
    <row r="79" spans="5:21" x14ac:dyDescent="0.35">
      <c r="E79" s="135">
        <v>67</v>
      </c>
      <c r="F79" s="135">
        <v>1</v>
      </c>
      <c r="G79" s="141">
        <f t="shared" si="13"/>
        <v>23.813582244547764</v>
      </c>
      <c r="H79" s="155">
        <f t="shared" si="14"/>
        <v>0</v>
      </c>
      <c r="I79" s="142">
        <f t="shared" si="15"/>
        <v>0</v>
      </c>
      <c r="J79" s="142">
        <f>0</f>
        <v>0</v>
      </c>
      <c r="K79" s="142">
        <f t="shared" si="16"/>
        <v>136632.93323927111</v>
      </c>
      <c r="L79" s="142">
        <f t="shared" si="17"/>
        <v>136632.93323927111</v>
      </c>
      <c r="Q79" s="155"/>
      <c r="R79" s="142"/>
      <c r="S79" s="142"/>
      <c r="T79" s="142"/>
      <c r="U79" s="142"/>
    </row>
    <row r="80" spans="5:21" x14ac:dyDescent="0.35">
      <c r="E80" s="135">
        <v>68</v>
      </c>
      <c r="F80" s="135">
        <v>1</v>
      </c>
      <c r="G80" s="141">
        <f t="shared" si="13"/>
        <v>23.813582244547764</v>
      </c>
      <c r="H80" s="155">
        <f t="shared" si="14"/>
        <v>0</v>
      </c>
      <c r="I80" s="142">
        <f t="shared" si="15"/>
        <v>0</v>
      </c>
      <c r="J80" s="142">
        <f>0</f>
        <v>0</v>
      </c>
      <c r="K80" s="142">
        <f t="shared" si="16"/>
        <v>136632.93323927111</v>
      </c>
      <c r="L80" s="142">
        <f t="shared" si="17"/>
        <v>136632.93323927111</v>
      </c>
      <c r="Q80" s="155"/>
      <c r="R80" s="142"/>
      <c r="S80" s="142"/>
      <c r="T80" s="142"/>
      <c r="U80" s="142"/>
    </row>
    <row r="81" spans="5:21" x14ac:dyDescent="0.35">
      <c r="E81" s="135">
        <v>69</v>
      </c>
      <c r="F81" s="135">
        <v>0</v>
      </c>
      <c r="G81" s="141">
        <f t="shared" si="13"/>
        <v>0</v>
      </c>
      <c r="H81" s="155">
        <f t="shared" si="14"/>
        <v>0</v>
      </c>
      <c r="I81" s="142">
        <f t="shared" si="15"/>
        <v>0</v>
      </c>
      <c r="J81" s="142">
        <f>0</f>
        <v>0</v>
      </c>
      <c r="K81" s="142">
        <f t="shared" si="16"/>
        <v>0</v>
      </c>
      <c r="L81" s="142">
        <f t="shared" si="17"/>
        <v>0</v>
      </c>
      <c r="Q81" s="155"/>
      <c r="R81" s="142"/>
      <c r="S81" s="142"/>
      <c r="T81" s="142"/>
      <c r="U81" s="142"/>
    </row>
    <row r="82" spans="5:21" x14ac:dyDescent="0.35">
      <c r="E82" s="135">
        <v>70</v>
      </c>
      <c r="F82" s="135">
        <v>0</v>
      </c>
      <c r="G82" s="141">
        <f t="shared" si="13"/>
        <v>0</v>
      </c>
      <c r="H82" s="155">
        <f t="shared" si="14"/>
        <v>0</v>
      </c>
      <c r="I82" s="142">
        <f t="shared" si="15"/>
        <v>0</v>
      </c>
      <c r="J82" s="142">
        <f>0</f>
        <v>0</v>
      </c>
      <c r="K82" s="142">
        <f t="shared" si="16"/>
        <v>0</v>
      </c>
      <c r="L82" s="142">
        <f t="shared" si="17"/>
        <v>0</v>
      </c>
      <c r="Q82" s="155"/>
      <c r="R82" s="142"/>
      <c r="S82" s="142"/>
      <c r="T82" s="142"/>
      <c r="U82" s="142"/>
    </row>
    <row r="83" spans="5:21" x14ac:dyDescent="0.35">
      <c r="E83" s="135">
        <v>71</v>
      </c>
      <c r="F83" s="135">
        <v>0</v>
      </c>
      <c r="G83" s="141">
        <f t="shared" si="13"/>
        <v>0</v>
      </c>
      <c r="H83" s="155">
        <f t="shared" si="14"/>
        <v>0</v>
      </c>
      <c r="I83" s="142">
        <f t="shared" si="15"/>
        <v>0</v>
      </c>
      <c r="J83" s="142">
        <f>0</f>
        <v>0</v>
      </c>
      <c r="K83" s="142">
        <f t="shared" si="16"/>
        <v>0</v>
      </c>
      <c r="L83" s="142">
        <f t="shared" si="17"/>
        <v>0</v>
      </c>
      <c r="Q83" s="155"/>
      <c r="R83" s="142"/>
      <c r="S83" s="142"/>
      <c r="T83" s="142"/>
      <c r="U83" s="142"/>
    </row>
    <row r="84" spans="5:21" x14ac:dyDescent="0.35">
      <c r="E84" s="135">
        <v>72</v>
      </c>
      <c r="F84" s="135">
        <v>0</v>
      </c>
      <c r="G84" s="141">
        <f t="shared" si="13"/>
        <v>0</v>
      </c>
      <c r="H84" s="155">
        <f t="shared" si="14"/>
        <v>0</v>
      </c>
      <c r="I84" s="142">
        <f t="shared" si="15"/>
        <v>0</v>
      </c>
      <c r="J84" s="142">
        <f>0</f>
        <v>0</v>
      </c>
      <c r="K84" s="142">
        <f t="shared" si="16"/>
        <v>0</v>
      </c>
      <c r="L84" s="142">
        <f t="shared" si="17"/>
        <v>0</v>
      </c>
      <c r="Q84" s="155"/>
      <c r="R84" s="142"/>
      <c r="S84" s="142"/>
      <c r="T84" s="142"/>
      <c r="U84" s="142"/>
    </row>
    <row r="85" spans="5:21" x14ac:dyDescent="0.35">
      <c r="E85" s="135">
        <v>73</v>
      </c>
      <c r="F85" s="135">
        <v>0</v>
      </c>
      <c r="G85" s="141">
        <f t="shared" si="13"/>
        <v>0</v>
      </c>
      <c r="H85" s="155">
        <f t="shared" si="14"/>
        <v>0</v>
      </c>
      <c r="I85" s="142">
        <f t="shared" si="15"/>
        <v>0</v>
      </c>
      <c r="J85" s="142">
        <f>0</f>
        <v>0</v>
      </c>
      <c r="K85" s="142">
        <f t="shared" si="16"/>
        <v>0</v>
      </c>
      <c r="L85" s="142">
        <f t="shared" si="17"/>
        <v>0</v>
      </c>
      <c r="Q85" s="155"/>
      <c r="R85" s="142"/>
      <c r="S85" s="142"/>
      <c r="T85" s="142"/>
      <c r="U85" s="142"/>
    </row>
    <row r="86" spans="5:21" x14ac:dyDescent="0.35">
      <c r="E86" s="135">
        <v>74</v>
      </c>
      <c r="F86" s="135">
        <v>1</v>
      </c>
      <c r="G86" s="141">
        <f t="shared" si="13"/>
        <v>23.813582244547764</v>
      </c>
      <c r="H86" s="155">
        <f t="shared" si="14"/>
        <v>0</v>
      </c>
      <c r="I86" s="142">
        <f t="shared" si="15"/>
        <v>0</v>
      </c>
      <c r="J86" s="142">
        <f>0</f>
        <v>0</v>
      </c>
      <c r="K86" s="142">
        <f t="shared" si="16"/>
        <v>136632.93323927111</v>
      </c>
      <c r="L86" s="142">
        <f t="shared" si="17"/>
        <v>136632.93323927111</v>
      </c>
      <c r="Q86" s="155"/>
      <c r="R86" s="142"/>
      <c r="S86" s="142"/>
      <c r="T86" s="142"/>
      <c r="U86" s="142"/>
    </row>
    <row r="87" spans="5:21" x14ac:dyDescent="0.35">
      <c r="E87" s="135">
        <v>75</v>
      </c>
      <c r="F87" s="135">
        <v>0</v>
      </c>
      <c r="G87" s="141">
        <f t="shared" si="13"/>
        <v>0</v>
      </c>
      <c r="H87" s="155">
        <f t="shared" si="14"/>
        <v>0</v>
      </c>
      <c r="I87" s="142">
        <f t="shared" si="15"/>
        <v>0</v>
      </c>
      <c r="J87" s="142">
        <f>0</f>
        <v>0</v>
      </c>
      <c r="K87" s="142">
        <f t="shared" si="16"/>
        <v>0</v>
      </c>
      <c r="L87" s="142">
        <f t="shared" si="17"/>
        <v>0</v>
      </c>
      <c r="Q87" s="155"/>
      <c r="R87" s="142"/>
      <c r="S87" s="142"/>
      <c r="T87" s="142"/>
      <c r="U87" s="142"/>
    </row>
    <row r="88" spans="5:21" x14ac:dyDescent="0.35">
      <c r="E88" s="135">
        <v>76</v>
      </c>
      <c r="F88" s="135">
        <v>0</v>
      </c>
      <c r="G88" s="141">
        <f t="shared" si="13"/>
        <v>0</v>
      </c>
      <c r="H88" s="155">
        <f t="shared" si="14"/>
        <v>0</v>
      </c>
      <c r="I88" s="142">
        <f t="shared" si="15"/>
        <v>0</v>
      </c>
      <c r="J88" s="142">
        <f>0</f>
        <v>0</v>
      </c>
      <c r="K88" s="142">
        <f t="shared" si="16"/>
        <v>0</v>
      </c>
      <c r="L88" s="142">
        <f t="shared" si="17"/>
        <v>0</v>
      </c>
      <c r="Q88" s="155"/>
      <c r="R88" s="142"/>
      <c r="S88" s="142"/>
      <c r="T88" s="142"/>
      <c r="U88" s="142"/>
    </row>
    <row r="89" spans="5:21" x14ac:dyDescent="0.35">
      <c r="E89" s="135">
        <v>77</v>
      </c>
      <c r="F89" s="135">
        <v>1</v>
      </c>
      <c r="G89" s="141">
        <f t="shared" si="13"/>
        <v>23.813582244547764</v>
      </c>
      <c r="H89" s="155">
        <f t="shared" si="14"/>
        <v>0</v>
      </c>
      <c r="I89" s="142">
        <f t="shared" si="15"/>
        <v>0</v>
      </c>
      <c r="J89" s="142">
        <f>0</f>
        <v>0</v>
      </c>
      <c r="K89" s="142">
        <f t="shared" si="16"/>
        <v>136632.93323927111</v>
      </c>
      <c r="L89" s="142">
        <f t="shared" si="17"/>
        <v>136632.93323927111</v>
      </c>
      <c r="Q89" s="155"/>
      <c r="R89" s="142"/>
      <c r="S89" s="142"/>
      <c r="T89" s="142"/>
      <c r="U89" s="142"/>
    </row>
    <row r="90" spans="5:21" x14ac:dyDescent="0.35">
      <c r="E90" s="135">
        <v>78</v>
      </c>
      <c r="F90" s="135">
        <v>0</v>
      </c>
      <c r="G90" s="141">
        <f t="shared" si="13"/>
        <v>0</v>
      </c>
      <c r="H90" s="155">
        <f t="shared" si="14"/>
        <v>0</v>
      </c>
      <c r="I90" s="142">
        <f t="shared" si="15"/>
        <v>0</v>
      </c>
      <c r="J90" s="142">
        <f>0</f>
        <v>0</v>
      </c>
      <c r="K90" s="142">
        <f t="shared" si="16"/>
        <v>0</v>
      </c>
      <c r="L90" s="142">
        <f t="shared" si="17"/>
        <v>0</v>
      </c>
      <c r="Q90" s="155"/>
      <c r="R90" s="142"/>
      <c r="S90" s="142"/>
      <c r="T90" s="142"/>
      <c r="U90" s="142"/>
    </row>
    <row r="91" spans="5:21" x14ac:dyDescent="0.35">
      <c r="E91" s="135">
        <v>79</v>
      </c>
      <c r="F91" s="135">
        <v>0</v>
      </c>
      <c r="G91" s="141">
        <f t="shared" si="13"/>
        <v>0</v>
      </c>
      <c r="H91" s="155">
        <f t="shared" si="14"/>
        <v>0</v>
      </c>
      <c r="I91" s="142">
        <f t="shared" si="15"/>
        <v>0</v>
      </c>
      <c r="J91" s="142">
        <f>0</f>
        <v>0</v>
      </c>
      <c r="K91" s="142">
        <f t="shared" si="16"/>
        <v>0</v>
      </c>
      <c r="L91" s="142">
        <f t="shared" si="17"/>
        <v>0</v>
      </c>
      <c r="Q91" s="155"/>
      <c r="R91" s="142"/>
      <c r="S91" s="142"/>
      <c r="T91" s="142"/>
      <c r="U91" s="142"/>
    </row>
    <row r="92" spans="5:21" x14ac:dyDescent="0.35">
      <c r="E92" s="135">
        <v>80</v>
      </c>
      <c r="F92" s="135">
        <v>0</v>
      </c>
      <c r="G92" s="141">
        <f t="shared" si="13"/>
        <v>0</v>
      </c>
      <c r="H92" s="155">
        <f t="shared" si="14"/>
        <v>0</v>
      </c>
      <c r="I92" s="142">
        <f t="shared" si="15"/>
        <v>0</v>
      </c>
      <c r="J92" s="142">
        <f>0</f>
        <v>0</v>
      </c>
      <c r="K92" s="142">
        <f t="shared" si="16"/>
        <v>0</v>
      </c>
      <c r="L92" s="142">
        <f t="shared" si="17"/>
        <v>0</v>
      </c>
      <c r="Q92" s="155"/>
      <c r="R92" s="142"/>
      <c r="S92" s="142"/>
      <c r="T92" s="142"/>
      <c r="U92" s="142"/>
    </row>
    <row r="93" spans="5:21" x14ac:dyDescent="0.35">
      <c r="E93" s="135">
        <v>81</v>
      </c>
      <c r="F93" s="135">
        <v>0</v>
      </c>
      <c r="G93" s="141">
        <f t="shared" si="13"/>
        <v>0</v>
      </c>
      <c r="H93" s="155">
        <f t="shared" si="14"/>
        <v>0</v>
      </c>
      <c r="I93" s="142">
        <f t="shared" si="15"/>
        <v>0</v>
      </c>
      <c r="J93" s="142">
        <f>0</f>
        <v>0</v>
      </c>
      <c r="K93" s="142">
        <f t="shared" si="16"/>
        <v>0</v>
      </c>
      <c r="L93" s="142">
        <f t="shared" si="17"/>
        <v>0</v>
      </c>
      <c r="Q93" s="155"/>
      <c r="R93" s="142"/>
      <c r="S93" s="142"/>
      <c r="T93" s="142"/>
      <c r="U93" s="142"/>
    </row>
    <row r="94" spans="5:21" x14ac:dyDescent="0.35">
      <c r="E94" s="135">
        <v>82</v>
      </c>
      <c r="F94" s="135">
        <v>0</v>
      </c>
      <c r="G94" s="141">
        <f t="shared" si="13"/>
        <v>0</v>
      </c>
      <c r="H94" s="155">
        <f t="shared" si="14"/>
        <v>0</v>
      </c>
      <c r="I94" s="142">
        <f t="shared" si="15"/>
        <v>0</v>
      </c>
      <c r="J94" s="142">
        <f>0</f>
        <v>0</v>
      </c>
      <c r="K94" s="142">
        <f t="shared" si="16"/>
        <v>0</v>
      </c>
      <c r="L94" s="142">
        <f t="shared" si="17"/>
        <v>0</v>
      </c>
      <c r="Q94" s="155"/>
      <c r="R94" s="142"/>
      <c r="S94" s="142"/>
      <c r="T94" s="142"/>
      <c r="U94" s="142"/>
    </row>
    <row r="95" spans="5:21" x14ac:dyDescent="0.35">
      <c r="E95" s="135">
        <v>83</v>
      </c>
      <c r="F95" s="135">
        <v>0</v>
      </c>
      <c r="G95" s="141">
        <f t="shared" si="13"/>
        <v>0</v>
      </c>
      <c r="H95" s="155">
        <f t="shared" si="14"/>
        <v>0</v>
      </c>
      <c r="I95" s="142">
        <f t="shared" si="15"/>
        <v>0</v>
      </c>
      <c r="J95" s="142">
        <f>0</f>
        <v>0</v>
      </c>
      <c r="K95" s="142">
        <f t="shared" si="16"/>
        <v>0</v>
      </c>
      <c r="L95" s="142">
        <f t="shared" si="17"/>
        <v>0</v>
      </c>
      <c r="Q95" s="155"/>
      <c r="R95" s="142"/>
      <c r="S95" s="142"/>
      <c r="T95" s="142"/>
      <c r="U95" s="142"/>
    </row>
    <row r="96" spans="5:21" x14ac:dyDescent="0.35">
      <c r="E96" s="135">
        <v>84</v>
      </c>
      <c r="F96" s="135">
        <v>2</v>
      </c>
      <c r="G96" s="141">
        <f t="shared" si="13"/>
        <v>47.627164489095527</v>
      </c>
      <c r="H96" s="155">
        <f t="shared" si="14"/>
        <v>200</v>
      </c>
      <c r="I96" s="142">
        <f t="shared" si="15"/>
        <v>14500000</v>
      </c>
      <c r="J96" s="142">
        <f>0</f>
        <v>0</v>
      </c>
      <c r="K96" s="142">
        <f t="shared" si="16"/>
        <v>273265.86647854222</v>
      </c>
      <c r="L96" s="142">
        <f t="shared" si="17"/>
        <v>14773265.866478542</v>
      </c>
      <c r="Q96" s="155"/>
      <c r="R96" s="142"/>
      <c r="S96" s="142"/>
      <c r="T96" s="142"/>
      <c r="U96" s="142"/>
    </row>
    <row r="97" spans="5:21" x14ac:dyDescent="0.35">
      <c r="E97" s="135">
        <v>85</v>
      </c>
      <c r="F97" s="135">
        <v>0</v>
      </c>
      <c r="G97" s="141">
        <f t="shared" si="13"/>
        <v>0</v>
      </c>
      <c r="H97" s="155">
        <f t="shared" si="14"/>
        <v>0</v>
      </c>
      <c r="I97" s="142">
        <f t="shared" si="15"/>
        <v>0</v>
      </c>
      <c r="J97" s="142">
        <f>0</f>
        <v>0</v>
      </c>
      <c r="K97" s="142">
        <f t="shared" si="16"/>
        <v>0</v>
      </c>
      <c r="L97" s="142">
        <f t="shared" si="17"/>
        <v>0</v>
      </c>
      <c r="Q97" s="155"/>
      <c r="R97" s="142"/>
      <c r="S97" s="142"/>
      <c r="T97" s="142"/>
      <c r="U97" s="142"/>
    </row>
    <row r="98" spans="5:21" x14ac:dyDescent="0.35">
      <c r="E98" s="135">
        <v>86</v>
      </c>
      <c r="F98" s="135">
        <v>3</v>
      </c>
      <c r="G98" s="141">
        <f t="shared" si="13"/>
        <v>71.440746733643294</v>
      </c>
      <c r="H98" s="155">
        <f t="shared" si="14"/>
        <v>200</v>
      </c>
      <c r="I98" s="142">
        <f t="shared" si="15"/>
        <v>14500000</v>
      </c>
      <c r="J98" s="142">
        <f>0</f>
        <v>0</v>
      </c>
      <c r="K98" s="142">
        <f t="shared" si="16"/>
        <v>409898.79971781332</v>
      </c>
      <c r="L98" s="142">
        <f t="shared" si="17"/>
        <v>14909898.799717814</v>
      </c>
      <c r="Q98" s="155"/>
      <c r="R98" s="142"/>
      <c r="S98" s="142"/>
      <c r="T98" s="142"/>
      <c r="U98" s="142"/>
    </row>
    <row r="99" spans="5:21" x14ac:dyDescent="0.35">
      <c r="E99" s="135">
        <v>87</v>
      </c>
      <c r="F99" s="135">
        <v>0</v>
      </c>
      <c r="G99" s="141">
        <f t="shared" si="13"/>
        <v>0</v>
      </c>
      <c r="H99" s="155">
        <f t="shared" si="14"/>
        <v>0</v>
      </c>
      <c r="I99" s="142">
        <f t="shared" si="15"/>
        <v>0</v>
      </c>
      <c r="J99" s="142">
        <f>0</f>
        <v>0</v>
      </c>
      <c r="K99" s="142">
        <f t="shared" si="16"/>
        <v>0</v>
      </c>
      <c r="L99" s="142">
        <f t="shared" si="17"/>
        <v>0</v>
      </c>
      <c r="Q99" s="155"/>
      <c r="R99" s="142"/>
      <c r="S99" s="142"/>
      <c r="T99" s="142"/>
      <c r="U99" s="142"/>
    </row>
    <row r="100" spans="5:21" x14ac:dyDescent="0.35">
      <c r="E100" s="135">
        <v>88</v>
      </c>
      <c r="F100" s="135">
        <v>0</v>
      </c>
      <c r="G100" s="141">
        <f t="shared" si="13"/>
        <v>0</v>
      </c>
      <c r="H100" s="155">
        <f t="shared" si="14"/>
        <v>0</v>
      </c>
      <c r="I100" s="142">
        <f t="shared" si="15"/>
        <v>0</v>
      </c>
      <c r="J100" s="142">
        <f>0</f>
        <v>0</v>
      </c>
      <c r="K100" s="142">
        <f t="shared" si="16"/>
        <v>0</v>
      </c>
      <c r="L100" s="142">
        <f t="shared" si="17"/>
        <v>0</v>
      </c>
      <c r="Q100" s="155"/>
      <c r="R100" s="142"/>
      <c r="S100" s="142"/>
      <c r="T100" s="142"/>
      <c r="U100" s="142"/>
    </row>
    <row r="101" spans="5:21" x14ac:dyDescent="0.35">
      <c r="E101" s="135">
        <v>89</v>
      </c>
      <c r="F101" s="135">
        <v>1</v>
      </c>
      <c r="G101" s="141">
        <f t="shared" si="13"/>
        <v>23.813582244547764</v>
      </c>
      <c r="H101" s="155">
        <f t="shared" si="14"/>
        <v>0</v>
      </c>
      <c r="I101" s="142">
        <f t="shared" si="15"/>
        <v>0</v>
      </c>
      <c r="J101" s="142">
        <f>0</f>
        <v>0</v>
      </c>
      <c r="K101" s="142">
        <f t="shared" si="16"/>
        <v>136632.93323927111</v>
      </c>
      <c r="L101" s="142">
        <f t="shared" si="17"/>
        <v>136632.93323927111</v>
      </c>
      <c r="Q101" s="155"/>
      <c r="R101" s="142"/>
      <c r="S101" s="142"/>
      <c r="T101" s="142"/>
      <c r="U101" s="142"/>
    </row>
    <row r="102" spans="5:21" x14ac:dyDescent="0.35">
      <c r="E102" s="135">
        <v>90</v>
      </c>
      <c r="F102" s="135">
        <v>0</v>
      </c>
      <c r="G102" s="141">
        <f t="shared" si="13"/>
        <v>0</v>
      </c>
      <c r="H102" s="155">
        <f t="shared" si="14"/>
        <v>0</v>
      </c>
      <c r="I102" s="142">
        <f t="shared" si="15"/>
        <v>0</v>
      </c>
      <c r="J102" s="142">
        <f>0</f>
        <v>0</v>
      </c>
      <c r="K102" s="142">
        <f t="shared" si="16"/>
        <v>0</v>
      </c>
      <c r="L102" s="142">
        <f t="shared" si="17"/>
        <v>0</v>
      </c>
      <c r="Q102" s="155"/>
      <c r="R102" s="142"/>
      <c r="S102" s="142"/>
      <c r="T102" s="142"/>
      <c r="U102" s="142"/>
    </row>
    <row r="103" spans="5:21" x14ac:dyDescent="0.35">
      <c r="E103" s="135">
        <v>91</v>
      </c>
      <c r="F103" s="135">
        <v>0</v>
      </c>
      <c r="G103" s="141">
        <f t="shared" si="13"/>
        <v>0</v>
      </c>
      <c r="H103" s="155">
        <f t="shared" si="14"/>
        <v>0</v>
      </c>
      <c r="I103" s="142">
        <f t="shared" si="15"/>
        <v>0</v>
      </c>
      <c r="J103" s="142">
        <f>0</f>
        <v>0</v>
      </c>
      <c r="K103" s="142">
        <f t="shared" si="16"/>
        <v>0</v>
      </c>
      <c r="L103" s="142">
        <f t="shared" si="17"/>
        <v>0</v>
      </c>
      <c r="Q103" s="155"/>
      <c r="R103" s="142"/>
      <c r="S103" s="142"/>
      <c r="T103" s="142"/>
      <c r="U103" s="142"/>
    </row>
    <row r="104" spans="5:21" x14ac:dyDescent="0.35">
      <c r="E104" s="135">
        <v>92</v>
      </c>
      <c r="F104" s="135">
        <v>0</v>
      </c>
      <c r="G104" s="141">
        <f t="shared" si="13"/>
        <v>0</v>
      </c>
      <c r="H104" s="155">
        <f t="shared" si="14"/>
        <v>0</v>
      </c>
      <c r="I104" s="142">
        <f t="shared" si="15"/>
        <v>0</v>
      </c>
      <c r="J104" s="142">
        <f>0</f>
        <v>0</v>
      </c>
      <c r="K104" s="142">
        <f t="shared" si="16"/>
        <v>0</v>
      </c>
      <c r="L104" s="142">
        <f t="shared" si="17"/>
        <v>0</v>
      </c>
      <c r="Q104" s="155"/>
      <c r="R104" s="142"/>
      <c r="S104" s="142"/>
      <c r="T104" s="142"/>
      <c r="U104" s="142"/>
    </row>
    <row r="105" spans="5:21" x14ac:dyDescent="0.35">
      <c r="E105" s="135">
        <v>93</v>
      </c>
      <c r="F105" s="135">
        <v>0</v>
      </c>
      <c r="G105" s="141">
        <f t="shared" si="13"/>
        <v>0</v>
      </c>
      <c r="H105" s="155">
        <f t="shared" si="14"/>
        <v>0</v>
      </c>
      <c r="I105" s="142">
        <f t="shared" si="15"/>
        <v>0</v>
      </c>
      <c r="J105" s="142">
        <f>0</f>
        <v>0</v>
      </c>
      <c r="K105" s="142">
        <f t="shared" si="16"/>
        <v>0</v>
      </c>
      <c r="L105" s="142">
        <f t="shared" si="17"/>
        <v>0</v>
      </c>
      <c r="Q105" s="155"/>
      <c r="R105" s="142"/>
      <c r="S105" s="142"/>
      <c r="T105" s="142"/>
      <c r="U105" s="142"/>
    </row>
    <row r="106" spans="5:21" x14ac:dyDescent="0.35">
      <c r="E106" s="135">
        <v>94</v>
      </c>
      <c r="F106" s="135">
        <v>0</v>
      </c>
      <c r="G106" s="141">
        <f t="shared" si="13"/>
        <v>0</v>
      </c>
      <c r="H106" s="155">
        <f t="shared" si="14"/>
        <v>0</v>
      </c>
      <c r="I106" s="142">
        <f t="shared" si="15"/>
        <v>0</v>
      </c>
      <c r="J106" s="142">
        <f>0</f>
        <v>0</v>
      </c>
      <c r="K106" s="142">
        <f t="shared" si="16"/>
        <v>0</v>
      </c>
      <c r="L106" s="142">
        <f t="shared" si="17"/>
        <v>0</v>
      </c>
      <c r="Q106" s="155"/>
      <c r="R106" s="142"/>
      <c r="S106" s="142"/>
      <c r="T106" s="142"/>
      <c r="U106" s="142"/>
    </row>
    <row r="107" spans="5:21" x14ac:dyDescent="0.35">
      <c r="E107" s="135">
        <v>95</v>
      </c>
      <c r="F107" s="135">
        <v>0</v>
      </c>
      <c r="G107" s="141">
        <f t="shared" si="13"/>
        <v>0</v>
      </c>
      <c r="H107" s="155">
        <f t="shared" si="14"/>
        <v>0</v>
      </c>
      <c r="I107" s="142">
        <f t="shared" si="15"/>
        <v>0</v>
      </c>
      <c r="J107" s="142">
        <f>0</f>
        <v>0</v>
      </c>
      <c r="K107" s="142">
        <f t="shared" si="16"/>
        <v>0</v>
      </c>
      <c r="L107" s="142">
        <f t="shared" si="17"/>
        <v>0</v>
      </c>
      <c r="Q107" s="155"/>
      <c r="R107" s="142"/>
      <c r="S107" s="142"/>
      <c r="T107" s="142"/>
      <c r="U107" s="142"/>
    </row>
    <row r="108" spans="5:21" x14ac:dyDescent="0.35">
      <c r="E108" s="135">
        <v>96</v>
      </c>
      <c r="F108" s="135">
        <v>0</v>
      </c>
      <c r="G108" s="141">
        <f t="shared" si="13"/>
        <v>0</v>
      </c>
      <c r="H108" s="155">
        <f t="shared" si="14"/>
        <v>0</v>
      </c>
      <c r="I108" s="142">
        <f t="shared" si="15"/>
        <v>0</v>
      </c>
      <c r="J108" s="142">
        <f>0</f>
        <v>0</v>
      </c>
      <c r="K108" s="142">
        <f t="shared" si="16"/>
        <v>0</v>
      </c>
      <c r="L108" s="142">
        <f t="shared" si="17"/>
        <v>0</v>
      </c>
      <c r="Q108" s="155"/>
      <c r="R108" s="142"/>
      <c r="S108" s="142"/>
      <c r="T108" s="142"/>
      <c r="U108" s="142"/>
    </row>
    <row r="109" spans="5:21" x14ac:dyDescent="0.35">
      <c r="E109" s="135">
        <v>97</v>
      </c>
      <c r="F109" s="135">
        <v>1</v>
      </c>
      <c r="G109" s="141">
        <f t="shared" si="13"/>
        <v>23.813582244547764</v>
      </c>
      <c r="H109" s="155">
        <f t="shared" si="14"/>
        <v>0</v>
      </c>
      <c r="I109" s="142">
        <f t="shared" si="15"/>
        <v>0</v>
      </c>
      <c r="J109" s="142">
        <f>0</f>
        <v>0</v>
      </c>
      <c r="K109" s="142">
        <f t="shared" si="16"/>
        <v>136632.93323927111</v>
      </c>
      <c r="L109" s="142">
        <f t="shared" si="17"/>
        <v>136632.93323927111</v>
      </c>
      <c r="Q109" s="155"/>
      <c r="R109" s="142"/>
      <c r="S109" s="142"/>
      <c r="T109" s="142"/>
      <c r="U109" s="142"/>
    </row>
    <row r="110" spans="5:21" x14ac:dyDescent="0.35">
      <c r="E110" s="135">
        <v>98</v>
      </c>
      <c r="F110" s="135">
        <v>1</v>
      </c>
      <c r="G110" s="141">
        <f t="shared" si="13"/>
        <v>23.813582244547764</v>
      </c>
      <c r="H110" s="155">
        <f t="shared" si="14"/>
        <v>0</v>
      </c>
      <c r="I110" s="142">
        <f t="shared" si="15"/>
        <v>0</v>
      </c>
      <c r="J110" s="142">
        <f>0</f>
        <v>0</v>
      </c>
      <c r="K110" s="142">
        <f t="shared" si="16"/>
        <v>136632.93323927111</v>
      </c>
      <c r="L110" s="142">
        <f t="shared" si="17"/>
        <v>136632.93323927111</v>
      </c>
      <c r="Q110" s="155"/>
      <c r="R110" s="142"/>
      <c r="S110" s="142"/>
      <c r="T110" s="142"/>
      <c r="U110" s="142"/>
    </row>
    <row r="111" spans="5:21" x14ac:dyDescent="0.35">
      <c r="E111" s="135">
        <v>99</v>
      </c>
      <c r="F111" s="135">
        <v>0</v>
      </c>
      <c r="G111" s="141">
        <f t="shared" si="13"/>
        <v>0</v>
      </c>
      <c r="H111" s="155">
        <f t="shared" si="14"/>
        <v>0</v>
      </c>
      <c r="I111" s="142">
        <f t="shared" si="15"/>
        <v>0</v>
      </c>
      <c r="J111" s="142">
        <f>0</f>
        <v>0</v>
      </c>
      <c r="K111" s="142">
        <f t="shared" si="16"/>
        <v>0</v>
      </c>
      <c r="L111" s="142">
        <f t="shared" si="17"/>
        <v>0</v>
      </c>
      <c r="Q111" s="155"/>
      <c r="R111" s="142"/>
      <c r="S111" s="142"/>
      <c r="T111" s="142"/>
      <c r="U111" s="142"/>
    </row>
    <row r="112" spans="5:21" x14ac:dyDescent="0.35">
      <c r="E112" s="135">
        <v>100</v>
      </c>
      <c r="F112" s="135">
        <v>0</v>
      </c>
      <c r="G112" s="141">
        <f t="shared" si="13"/>
        <v>0</v>
      </c>
      <c r="H112" s="155">
        <f t="shared" si="14"/>
        <v>0</v>
      </c>
      <c r="I112" s="142">
        <f t="shared" si="15"/>
        <v>0</v>
      </c>
      <c r="J112" s="142">
        <f>0</f>
        <v>0</v>
      </c>
      <c r="K112" s="142">
        <f t="shared" si="16"/>
        <v>0</v>
      </c>
      <c r="L112" s="142">
        <f t="shared" si="17"/>
        <v>0</v>
      </c>
      <c r="Q112" s="155"/>
      <c r="R112" s="142"/>
      <c r="S112" s="142"/>
      <c r="T112" s="142"/>
      <c r="U112" s="142"/>
    </row>
    <row r="113" spans="5:21" x14ac:dyDescent="0.35">
      <c r="E113" s="135">
        <v>101</v>
      </c>
      <c r="F113" s="135">
        <v>0</v>
      </c>
      <c r="G113" s="141">
        <f t="shared" si="13"/>
        <v>0</v>
      </c>
      <c r="H113" s="155">
        <f t="shared" si="14"/>
        <v>0</v>
      </c>
      <c r="I113" s="142">
        <f t="shared" si="15"/>
        <v>0</v>
      </c>
      <c r="J113" s="142">
        <f>0</f>
        <v>0</v>
      </c>
      <c r="K113" s="142">
        <f t="shared" si="16"/>
        <v>0</v>
      </c>
      <c r="L113" s="142">
        <f t="shared" si="17"/>
        <v>0</v>
      </c>
      <c r="Q113" s="155"/>
      <c r="R113" s="142"/>
      <c r="S113" s="142"/>
      <c r="T113" s="142"/>
      <c r="U113" s="142"/>
    </row>
    <row r="114" spans="5:21" x14ac:dyDescent="0.35">
      <c r="E114" s="135">
        <v>102</v>
      </c>
      <c r="F114" s="135">
        <v>1</v>
      </c>
      <c r="G114" s="141">
        <f t="shared" si="13"/>
        <v>23.813582244547764</v>
      </c>
      <c r="H114" s="155">
        <f t="shared" si="14"/>
        <v>0</v>
      </c>
      <c r="I114" s="142">
        <f t="shared" si="15"/>
        <v>0</v>
      </c>
      <c r="J114" s="142">
        <f>0</f>
        <v>0</v>
      </c>
      <c r="K114" s="142">
        <f t="shared" si="16"/>
        <v>136632.93323927111</v>
      </c>
      <c r="L114" s="142">
        <f t="shared" si="17"/>
        <v>136632.93323927111</v>
      </c>
      <c r="Q114" s="155"/>
      <c r="R114" s="142"/>
      <c r="S114" s="142"/>
      <c r="T114" s="142"/>
      <c r="U114" s="142"/>
    </row>
    <row r="115" spans="5:21" x14ac:dyDescent="0.35">
      <c r="E115" s="135">
        <v>103</v>
      </c>
      <c r="F115" s="135">
        <v>0</v>
      </c>
      <c r="G115" s="141">
        <f t="shared" si="13"/>
        <v>0</v>
      </c>
      <c r="H115" s="155">
        <f t="shared" si="14"/>
        <v>0</v>
      </c>
      <c r="I115" s="142">
        <f t="shared" si="15"/>
        <v>0</v>
      </c>
      <c r="J115" s="142">
        <f>0</f>
        <v>0</v>
      </c>
      <c r="K115" s="142">
        <f t="shared" si="16"/>
        <v>0</v>
      </c>
      <c r="L115" s="142">
        <f t="shared" si="17"/>
        <v>0</v>
      </c>
      <c r="Q115" s="155"/>
      <c r="R115" s="142"/>
      <c r="S115" s="142"/>
      <c r="T115" s="142"/>
      <c r="U115" s="142"/>
    </row>
    <row r="116" spans="5:21" x14ac:dyDescent="0.35">
      <c r="E116" s="135">
        <v>104</v>
      </c>
      <c r="F116" s="135">
        <v>0</v>
      </c>
      <c r="G116" s="141">
        <f t="shared" si="13"/>
        <v>0</v>
      </c>
      <c r="H116" s="155">
        <f t="shared" si="14"/>
        <v>0</v>
      </c>
      <c r="I116" s="142">
        <f t="shared" si="15"/>
        <v>0</v>
      </c>
      <c r="J116" s="142">
        <f>0</f>
        <v>0</v>
      </c>
      <c r="K116" s="142">
        <f t="shared" si="16"/>
        <v>0</v>
      </c>
      <c r="L116" s="142">
        <f t="shared" si="17"/>
        <v>0</v>
      </c>
      <c r="Q116" s="155"/>
      <c r="R116" s="142"/>
      <c r="S116" s="142"/>
      <c r="T116" s="142"/>
      <c r="U116" s="142"/>
    </row>
    <row r="117" spans="5:21" x14ac:dyDescent="0.35">
      <c r="E117" s="135">
        <v>105</v>
      </c>
      <c r="F117" s="135">
        <v>0</v>
      </c>
      <c r="G117" s="141">
        <f t="shared" si="13"/>
        <v>0</v>
      </c>
      <c r="H117" s="155">
        <f t="shared" si="14"/>
        <v>0</v>
      </c>
      <c r="I117" s="142">
        <f t="shared" si="15"/>
        <v>0</v>
      </c>
      <c r="J117" s="142">
        <f>0</f>
        <v>0</v>
      </c>
      <c r="K117" s="142">
        <f t="shared" si="16"/>
        <v>0</v>
      </c>
      <c r="L117" s="142">
        <f t="shared" si="17"/>
        <v>0</v>
      </c>
      <c r="Q117" s="155"/>
      <c r="R117" s="142"/>
      <c r="S117" s="142"/>
      <c r="T117" s="142"/>
      <c r="U117" s="142"/>
    </row>
    <row r="118" spans="5:21" x14ac:dyDescent="0.35">
      <c r="E118" s="135">
        <v>106</v>
      </c>
      <c r="F118" s="135">
        <v>1</v>
      </c>
      <c r="G118" s="141">
        <f t="shared" si="13"/>
        <v>23.813582244547764</v>
      </c>
      <c r="H118" s="155">
        <f t="shared" si="14"/>
        <v>0</v>
      </c>
      <c r="I118" s="142">
        <f t="shared" si="15"/>
        <v>0</v>
      </c>
      <c r="J118" s="142">
        <f>0</f>
        <v>0</v>
      </c>
      <c r="K118" s="142">
        <f t="shared" si="16"/>
        <v>136632.93323927111</v>
      </c>
      <c r="L118" s="142">
        <f t="shared" si="17"/>
        <v>136632.93323927111</v>
      </c>
      <c r="Q118" s="155"/>
      <c r="R118" s="142"/>
      <c r="S118" s="142"/>
      <c r="T118" s="142"/>
      <c r="U118" s="142"/>
    </row>
    <row r="119" spans="5:21" x14ac:dyDescent="0.35">
      <c r="E119" s="135">
        <v>107</v>
      </c>
      <c r="F119" s="135">
        <v>1</v>
      </c>
      <c r="G119" s="141">
        <f t="shared" si="13"/>
        <v>23.813582244547764</v>
      </c>
      <c r="H119" s="155">
        <f t="shared" si="14"/>
        <v>0</v>
      </c>
      <c r="I119" s="142">
        <f t="shared" si="15"/>
        <v>0</v>
      </c>
      <c r="J119" s="142">
        <f>0</f>
        <v>0</v>
      </c>
      <c r="K119" s="142">
        <f t="shared" si="16"/>
        <v>136632.93323927111</v>
      </c>
      <c r="L119" s="142">
        <f t="shared" si="17"/>
        <v>136632.93323927111</v>
      </c>
      <c r="Q119" s="155"/>
      <c r="R119" s="142"/>
      <c r="S119" s="142"/>
      <c r="T119" s="142"/>
      <c r="U119" s="142"/>
    </row>
    <row r="120" spans="5:21" x14ac:dyDescent="0.35">
      <c r="E120" s="135">
        <v>108</v>
      </c>
      <c r="F120" s="135">
        <v>0</v>
      </c>
      <c r="G120" s="141">
        <f t="shared" si="13"/>
        <v>0</v>
      </c>
      <c r="H120" s="155">
        <f t="shared" si="14"/>
        <v>0</v>
      </c>
      <c r="I120" s="142">
        <f t="shared" si="15"/>
        <v>0</v>
      </c>
      <c r="J120" s="142">
        <f>0</f>
        <v>0</v>
      </c>
      <c r="K120" s="142">
        <f t="shared" si="16"/>
        <v>0</v>
      </c>
      <c r="L120" s="142">
        <f t="shared" si="17"/>
        <v>0</v>
      </c>
      <c r="Q120" s="155"/>
      <c r="R120" s="142"/>
      <c r="S120" s="142"/>
      <c r="T120" s="142"/>
      <c r="U120" s="142"/>
    </row>
    <row r="121" spans="5:21" x14ac:dyDescent="0.35">
      <c r="E121" s="135">
        <v>109</v>
      </c>
      <c r="F121" s="135">
        <v>0</v>
      </c>
      <c r="G121" s="141">
        <f t="shared" si="13"/>
        <v>0</v>
      </c>
      <c r="H121" s="155">
        <f t="shared" si="14"/>
        <v>0</v>
      </c>
      <c r="I121" s="142">
        <f t="shared" si="15"/>
        <v>0</v>
      </c>
      <c r="J121" s="142">
        <f>0</f>
        <v>0</v>
      </c>
      <c r="K121" s="142">
        <f t="shared" si="16"/>
        <v>0</v>
      </c>
      <c r="L121" s="142">
        <f t="shared" si="17"/>
        <v>0</v>
      </c>
      <c r="Q121" s="155"/>
      <c r="R121" s="142"/>
      <c r="S121" s="142"/>
      <c r="T121" s="142"/>
      <c r="U121" s="142"/>
    </row>
    <row r="122" spans="5:21" x14ac:dyDescent="0.35">
      <c r="E122" s="135">
        <v>110</v>
      </c>
      <c r="F122" s="135">
        <v>0</v>
      </c>
      <c r="G122" s="141">
        <f t="shared" si="13"/>
        <v>0</v>
      </c>
      <c r="H122" s="155">
        <f t="shared" si="14"/>
        <v>0</v>
      </c>
      <c r="I122" s="142">
        <f t="shared" si="15"/>
        <v>0</v>
      </c>
      <c r="J122" s="142">
        <f>0</f>
        <v>0</v>
      </c>
      <c r="K122" s="142">
        <f t="shared" si="16"/>
        <v>0</v>
      </c>
      <c r="L122" s="142">
        <f t="shared" si="17"/>
        <v>0</v>
      </c>
      <c r="Q122" s="155"/>
      <c r="R122" s="142"/>
      <c r="S122" s="142"/>
      <c r="T122" s="142"/>
      <c r="U122" s="142"/>
    </row>
    <row r="123" spans="5:21" x14ac:dyDescent="0.35">
      <c r="E123" s="135">
        <v>111</v>
      </c>
      <c r="F123" s="135">
        <v>0</v>
      </c>
      <c r="G123" s="141">
        <f t="shared" si="13"/>
        <v>0</v>
      </c>
      <c r="H123" s="155">
        <f t="shared" si="14"/>
        <v>0</v>
      </c>
      <c r="I123" s="142">
        <f t="shared" si="15"/>
        <v>0</v>
      </c>
      <c r="J123" s="142">
        <f>0</f>
        <v>0</v>
      </c>
      <c r="K123" s="142">
        <f t="shared" si="16"/>
        <v>0</v>
      </c>
      <c r="L123" s="142">
        <f t="shared" si="17"/>
        <v>0</v>
      </c>
      <c r="Q123" s="155"/>
      <c r="R123" s="142"/>
      <c r="S123" s="142"/>
      <c r="T123" s="142"/>
      <c r="U123" s="142"/>
    </row>
    <row r="124" spans="5:21" x14ac:dyDescent="0.35">
      <c r="E124" s="135">
        <v>112</v>
      </c>
      <c r="F124" s="135">
        <v>0</v>
      </c>
      <c r="G124" s="141">
        <f t="shared" si="13"/>
        <v>0</v>
      </c>
      <c r="H124" s="155">
        <f t="shared" si="14"/>
        <v>0</v>
      </c>
      <c r="I124" s="142">
        <f t="shared" si="15"/>
        <v>0</v>
      </c>
      <c r="J124" s="142">
        <f>0</f>
        <v>0</v>
      </c>
      <c r="K124" s="142">
        <f t="shared" si="16"/>
        <v>0</v>
      </c>
      <c r="L124" s="142">
        <f t="shared" si="17"/>
        <v>0</v>
      </c>
      <c r="Q124" s="155"/>
      <c r="R124" s="142"/>
      <c r="S124" s="142"/>
      <c r="T124" s="142"/>
      <c r="U124" s="142"/>
    </row>
    <row r="125" spans="5:21" x14ac:dyDescent="0.35">
      <c r="E125" s="135">
        <v>113</v>
      </c>
      <c r="F125" s="135">
        <v>0</v>
      </c>
      <c r="G125" s="141">
        <f t="shared" si="13"/>
        <v>0</v>
      </c>
      <c r="H125" s="155">
        <f t="shared" si="14"/>
        <v>0</v>
      </c>
      <c r="I125" s="142">
        <f t="shared" si="15"/>
        <v>0</v>
      </c>
      <c r="J125" s="142">
        <f>0</f>
        <v>0</v>
      </c>
      <c r="K125" s="142">
        <f t="shared" si="16"/>
        <v>0</v>
      </c>
      <c r="L125" s="142">
        <f t="shared" si="17"/>
        <v>0</v>
      </c>
      <c r="Q125" s="155"/>
      <c r="R125" s="142"/>
      <c r="S125" s="142"/>
      <c r="T125" s="142"/>
      <c r="U125" s="142"/>
    </row>
    <row r="126" spans="5:21" x14ac:dyDescent="0.35">
      <c r="E126" s="135">
        <v>114</v>
      </c>
      <c r="F126" s="135">
        <v>1</v>
      </c>
      <c r="G126" s="141">
        <f t="shared" si="13"/>
        <v>23.813582244547764</v>
      </c>
      <c r="H126" s="155">
        <f t="shared" si="14"/>
        <v>0</v>
      </c>
      <c r="I126" s="142">
        <f t="shared" si="15"/>
        <v>0</v>
      </c>
      <c r="J126" s="142">
        <f>0</f>
        <v>0</v>
      </c>
      <c r="K126" s="142">
        <f t="shared" si="16"/>
        <v>136632.93323927111</v>
      </c>
      <c r="L126" s="142">
        <f t="shared" si="17"/>
        <v>136632.93323927111</v>
      </c>
      <c r="Q126" s="155"/>
      <c r="R126" s="142"/>
      <c r="S126" s="142"/>
      <c r="T126" s="142"/>
      <c r="U126" s="142"/>
    </row>
    <row r="127" spans="5:21" x14ac:dyDescent="0.35">
      <c r="E127" s="135">
        <v>115</v>
      </c>
      <c r="F127" s="135">
        <v>1</v>
      </c>
      <c r="G127" s="141">
        <f t="shared" si="13"/>
        <v>23.813582244547764</v>
      </c>
      <c r="H127" s="155">
        <f t="shared" si="14"/>
        <v>0</v>
      </c>
      <c r="I127" s="142">
        <f t="shared" si="15"/>
        <v>0</v>
      </c>
      <c r="J127" s="142">
        <f>0</f>
        <v>0</v>
      </c>
      <c r="K127" s="142">
        <f t="shared" si="16"/>
        <v>136632.93323927111</v>
      </c>
      <c r="L127" s="142">
        <f t="shared" si="17"/>
        <v>136632.93323927111</v>
      </c>
      <c r="Q127" s="155"/>
      <c r="R127" s="142"/>
      <c r="S127" s="142"/>
      <c r="T127" s="142"/>
      <c r="U127" s="142"/>
    </row>
    <row r="128" spans="5:21" x14ac:dyDescent="0.35">
      <c r="E128" s="135">
        <v>116</v>
      </c>
      <c r="F128" s="135">
        <v>0</v>
      </c>
      <c r="G128" s="141">
        <f t="shared" si="13"/>
        <v>0</v>
      </c>
      <c r="H128" s="155">
        <f t="shared" si="14"/>
        <v>0</v>
      </c>
      <c r="I128" s="142">
        <f t="shared" si="15"/>
        <v>0</v>
      </c>
      <c r="J128" s="142">
        <f>0</f>
        <v>0</v>
      </c>
      <c r="K128" s="142">
        <f t="shared" si="16"/>
        <v>0</v>
      </c>
      <c r="L128" s="142">
        <f t="shared" si="17"/>
        <v>0</v>
      </c>
      <c r="Q128" s="155"/>
      <c r="R128" s="142"/>
      <c r="S128" s="142"/>
      <c r="T128" s="142"/>
      <c r="U128" s="142"/>
    </row>
    <row r="129" spans="5:21" x14ac:dyDescent="0.35">
      <c r="E129" s="135">
        <v>117</v>
      </c>
      <c r="F129" s="135">
        <v>1</v>
      </c>
      <c r="G129" s="141">
        <f t="shared" si="13"/>
        <v>23.813582244547764</v>
      </c>
      <c r="H129" s="155">
        <f t="shared" si="14"/>
        <v>0</v>
      </c>
      <c r="I129" s="142">
        <f t="shared" si="15"/>
        <v>0</v>
      </c>
      <c r="J129" s="142">
        <f>0</f>
        <v>0</v>
      </c>
      <c r="K129" s="142">
        <f t="shared" si="16"/>
        <v>136632.93323927111</v>
      </c>
      <c r="L129" s="142">
        <f t="shared" si="17"/>
        <v>136632.93323927111</v>
      </c>
      <c r="Q129" s="155"/>
      <c r="R129" s="142"/>
      <c r="S129" s="142"/>
      <c r="T129" s="142"/>
      <c r="U129" s="142"/>
    </row>
    <row r="130" spans="5:21" x14ac:dyDescent="0.35">
      <c r="E130" s="135">
        <v>118</v>
      </c>
      <c r="F130" s="135">
        <v>0</v>
      </c>
      <c r="G130" s="141">
        <f t="shared" si="13"/>
        <v>0</v>
      </c>
      <c r="H130" s="155">
        <f t="shared" si="14"/>
        <v>0</v>
      </c>
      <c r="I130" s="142">
        <f t="shared" si="15"/>
        <v>0</v>
      </c>
      <c r="J130" s="142">
        <f>0</f>
        <v>0</v>
      </c>
      <c r="K130" s="142">
        <f t="shared" si="16"/>
        <v>0</v>
      </c>
      <c r="L130" s="142">
        <f t="shared" si="17"/>
        <v>0</v>
      </c>
      <c r="Q130" s="155"/>
      <c r="R130" s="142"/>
      <c r="S130" s="142"/>
      <c r="T130" s="142"/>
      <c r="U130" s="142"/>
    </row>
    <row r="131" spans="5:21" x14ac:dyDescent="0.35">
      <c r="E131" s="135">
        <v>119</v>
      </c>
      <c r="F131" s="135">
        <v>0</v>
      </c>
      <c r="G131" s="141">
        <f t="shared" si="13"/>
        <v>0</v>
      </c>
      <c r="H131" s="155">
        <f t="shared" si="14"/>
        <v>0</v>
      </c>
      <c r="I131" s="142">
        <f t="shared" si="15"/>
        <v>0</v>
      </c>
      <c r="J131" s="142">
        <f>0</f>
        <v>0</v>
      </c>
      <c r="K131" s="142">
        <f t="shared" si="16"/>
        <v>0</v>
      </c>
      <c r="L131" s="142">
        <f t="shared" si="17"/>
        <v>0</v>
      </c>
      <c r="Q131" s="155"/>
      <c r="R131" s="142"/>
      <c r="S131" s="142"/>
      <c r="T131" s="142"/>
      <c r="U131" s="142"/>
    </row>
    <row r="132" spans="5:21" x14ac:dyDescent="0.35">
      <c r="E132" s="135">
        <v>120</v>
      </c>
      <c r="F132" s="135">
        <v>0</v>
      </c>
      <c r="G132" s="141">
        <f t="shared" si="13"/>
        <v>0</v>
      </c>
      <c r="H132" s="155">
        <f t="shared" si="14"/>
        <v>0</v>
      </c>
      <c r="I132" s="142">
        <f t="shared" si="15"/>
        <v>0</v>
      </c>
      <c r="J132" s="142">
        <f>0</f>
        <v>0</v>
      </c>
      <c r="K132" s="142">
        <f t="shared" si="16"/>
        <v>0</v>
      </c>
      <c r="L132" s="142">
        <f t="shared" si="17"/>
        <v>0</v>
      </c>
      <c r="Q132" s="155"/>
      <c r="R132" s="142"/>
      <c r="S132" s="142"/>
      <c r="T132" s="142"/>
      <c r="U132" s="142"/>
    </row>
    <row r="133" spans="5:21" x14ac:dyDescent="0.35">
      <c r="E133" s="135">
        <v>121</v>
      </c>
      <c r="F133" s="135">
        <v>0</v>
      </c>
      <c r="G133" s="141">
        <f t="shared" si="13"/>
        <v>0</v>
      </c>
      <c r="H133" s="155">
        <f t="shared" si="14"/>
        <v>0</v>
      </c>
      <c r="I133" s="142">
        <f t="shared" si="15"/>
        <v>0</v>
      </c>
      <c r="J133" s="142">
        <f>0</f>
        <v>0</v>
      </c>
      <c r="K133" s="142">
        <f t="shared" si="16"/>
        <v>0</v>
      </c>
      <c r="L133" s="142">
        <f t="shared" si="17"/>
        <v>0</v>
      </c>
      <c r="Q133" s="155"/>
      <c r="R133" s="142"/>
      <c r="S133" s="142"/>
      <c r="T133" s="142"/>
      <c r="U133" s="142"/>
    </row>
    <row r="134" spans="5:21" x14ac:dyDescent="0.35">
      <c r="E134" s="135">
        <v>122</v>
      </c>
      <c r="F134" s="135">
        <v>1</v>
      </c>
      <c r="G134" s="141">
        <f t="shared" si="13"/>
        <v>23.813582244547764</v>
      </c>
      <c r="H134" s="155">
        <f t="shared" si="14"/>
        <v>0</v>
      </c>
      <c r="I134" s="142">
        <f t="shared" si="15"/>
        <v>0</v>
      </c>
      <c r="J134" s="142">
        <f>0</f>
        <v>0</v>
      </c>
      <c r="K134" s="142">
        <f t="shared" si="16"/>
        <v>136632.93323927111</v>
      </c>
      <c r="L134" s="142">
        <f t="shared" si="17"/>
        <v>136632.93323927111</v>
      </c>
      <c r="Q134" s="155"/>
      <c r="R134" s="142"/>
      <c r="S134" s="142"/>
      <c r="T134" s="142"/>
      <c r="U134" s="142"/>
    </row>
    <row r="135" spans="5:21" x14ac:dyDescent="0.35">
      <c r="E135" s="135">
        <v>123</v>
      </c>
      <c r="F135" s="135">
        <v>0</v>
      </c>
      <c r="G135" s="141">
        <f t="shared" si="13"/>
        <v>0</v>
      </c>
      <c r="H135" s="155">
        <f t="shared" si="14"/>
        <v>0</v>
      </c>
      <c r="I135" s="142">
        <f t="shared" si="15"/>
        <v>0</v>
      </c>
      <c r="J135" s="142">
        <f>0</f>
        <v>0</v>
      </c>
      <c r="K135" s="142">
        <f t="shared" si="16"/>
        <v>0</v>
      </c>
      <c r="L135" s="142">
        <f t="shared" si="17"/>
        <v>0</v>
      </c>
      <c r="Q135" s="155"/>
      <c r="R135" s="142"/>
      <c r="S135" s="142"/>
      <c r="T135" s="142"/>
      <c r="U135" s="142"/>
    </row>
    <row r="136" spans="5:21" x14ac:dyDescent="0.35">
      <c r="E136" s="135">
        <v>124</v>
      </c>
      <c r="F136" s="135">
        <v>1</v>
      </c>
      <c r="G136" s="141">
        <f t="shared" si="13"/>
        <v>23.813582244547764</v>
      </c>
      <c r="H136" s="155">
        <f t="shared" si="14"/>
        <v>0</v>
      </c>
      <c r="I136" s="142">
        <f t="shared" si="15"/>
        <v>0</v>
      </c>
      <c r="J136" s="142">
        <f>0</f>
        <v>0</v>
      </c>
      <c r="K136" s="142">
        <f t="shared" si="16"/>
        <v>136632.93323927111</v>
      </c>
      <c r="L136" s="142">
        <f t="shared" si="17"/>
        <v>136632.93323927111</v>
      </c>
      <c r="Q136" s="155"/>
      <c r="R136" s="142"/>
      <c r="S136" s="142"/>
      <c r="T136" s="142"/>
      <c r="U136" s="142"/>
    </row>
    <row r="137" spans="5:21" x14ac:dyDescent="0.35">
      <c r="E137" s="135">
        <v>125</v>
      </c>
      <c r="F137" s="135">
        <v>0</v>
      </c>
      <c r="G137" s="141">
        <f t="shared" si="13"/>
        <v>0</v>
      </c>
      <c r="H137" s="155">
        <f t="shared" si="14"/>
        <v>0</v>
      </c>
      <c r="I137" s="142">
        <f t="shared" si="15"/>
        <v>0</v>
      </c>
      <c r="J137" s="142">
        <f>0</f>
        <v>0</v>
      </c>
      <c r="K137" s="142">
        <f t="shared" si="16"/>
        <v>0</v>
      </c>
      <c r="L137" s="142">
        <f t="shared" si="17"/>
        <v>0</v>
      </c>
      <c r="Q137" s="155"/>
      <c r="R137" s="142"/>
      <c r="S137" s="142"/>
      <c r="T137" s="142"/>
      <c r="U137" s="142"/>
    </row>
    <row r="138" spans="5:21" x14ac:dyDescent="0.35">
      <c r="E138" s="135">
        <v>126</v>
      </c>
      <c r="F138" s="135">
        <v>0</v>
      </c>
      <c r="G138" s="141">
        <f t="shared" si="13"/>
        <v>0</v>
      </c>
      <c r="H138" s="155">
        <f t="shared" si="14"/>
        <v>0</v>
      </c>
      <c r="I138" s="142">
        <f t="shared" si="15"/>
        <v>0</v>
      </c>
      <c r="J138" s="142">
        <f>0</f>
        <v>0</v>
      </c>
      <c r="K138" s="142">
        <f t="shared" si="16"/>
        <v>0</v>
      </c>
      <c r="L138" s="142">
        <f t="shared" si="17"/>
        <v>0</v>
      </c>
      <c r="Q138" s="155"/>
      <c r="R138" s="142"/>
      <c r="S138" s="142"/>
      <c r="T138" s="142"/>
      <c r="U138" s="142"/>
    </row>
    <row r="139" spans="5:21" x14ac:dyDescent="0.35">
      <c r="E139" s="135">
        <v>127</v>
      </c>
      <c r="F139" s="135">
        <v>0</v>
      </c>
      <c r="G139" s="141">
        <f t="shared" si="13"/>
        <v>0</v>
      </c>
      <c r="H139" s="155">
        <f t="shared" si="14"/>
        <v>0</v>
      </c>
      <c r="I139" s="142">
        <f t="shared" si="15"/>
        <v>0</v>
      </c>
      <c r="J139" s="142">
        <f>0</f>
        <v>0</v>
      </c>
      <c r="K139" s="142">
        <f t="shared" si="16"/>
        <v>0</v>
      </c>
      <c r="L139" s="142">
        <f t="shared" si="17"/>
        <v>0</v>
      </c>
      <c r="Q139" s="155"/>
      <c r="R139" s="142"/>
      <c r="S139" s="142"/>
      <c r="T139" s="142"/>
      <c r="U139" s="142"/>
    </row>
    <row r="140" spans="5:21" x14ac:dyDescent="0.35">
      <c r="E140" s="135">
        <v>128</v>
      </c>
      <c r="F140" s="135">
        <v>0</v>
      </c>
      <c r="G140" s="141">
        <f t="shared" si="13"/>
        <v>0</v>
      </c>
      <c r="H140" s="155">
        <f t="shared" si="14"/>
        <v>0</v>
      </c>
      <c r="I140" s="142">
        <f t="shared" si="15"/>
        <v>0</v>
      </c>
      <c r="J140" s="142">
        <f>0</f>
        <v>0</v>
      </c>
      <c r="K140" s="142">
        <f t="shared" si="16"/>
        <v>0</v>
      </c>
      <c r="L140" s="142">
        <f t="shared" si="17"/>
        <v>0</v>
      </c>
      <c r="Q140" s="155"/>
      <c r="R140" s="142"/>
      <c r="S140" s="142"/>
      <c r="T140" s="142"/>
      <c r="U140" s="142"/>
    </row>
    <row r="141" spans="5:21" x14ac:dyDescent="0.35">
      <c r="E141" s="135">
        <v>129</v>
      </c>
      <c r="F141" s="135">
        <v>1</v>
      </c>
      <c r="G141" s="141">
        <f t="shared" ref="G141:G204" si="18">F141*$C$9</f>
        <v>23.813582244547764</v>
      </c>
      <c r="H141" s="155">
        <f t="shared" ref="H141:H204" si="19">IF(F141 &gt; 1,$C$13*20000,0)</f>
        <v>0</v>
      </c>
      <c r="I141" s="142">
        <f t="shared" ref="I141:I204" si="20">IF(F141 &gt; 1,$C$4,0)</f>
        <v>0</v>
      </c>
      <c r="J141" s="142">
        <f>0</f>
        <v>0</v>
      </c>
      <c r="K141" s="142">
        <f t="shared" ref="K141:K204" si="21">F141*$C$5</f>
        <v>136632.93323927111</v>
      </c>
      <c r="L141" s="142">
        <f t="shared" ref="L141:L204" si="22">J141+I141+K141</f>
        <v>136632.93323927111</v>
      </c>
      <c r="Q141" s="155"/>
      <c r="R141" s="142"/>
      <c r="S141" s="142"/>
      <c r="T141" s="142"/>
      <c r="U141" s="142"/>
    </row>
    <row r="142" spans="5:21" x14ac:dyDescent="0.35">
      <c r="E142" s="135">
        <v>130</v>
      </c>
      <c r="F142" s="135">
        <v>0</v>
      </c>
      <c r="G142" s="141">
        <f t="shared" si="18"/>
        <v>0</v>
      </c>
      <c r="H142" s="155">
        <f t="shared" si="19"/>
        <v>0</v>
      </c>
      <c r="I142" s="142">
        <f t="shared" si="20"/>
        <v>0</v>
      </c>
      <c r="J142" s="142">
        <f>0</f>
        <v>0</v>
      </c>
      <c r="K142" s="142">
        <f t="shared" si="21"/>
        <v>0</v>
      </c>
      <c r="L142" s="142">
        <f t="shared" si="22"/>
        <v>0</v>
      </c>
      <c r="Q142" s="155"/>
      <c r="R142" s="142"/>
      <c r="S142" s="142"/>
      <c r="T142" s="142"/>
      <c r="U142" s="142"/>
    </row>
    <row r="143" spans="5:21" x14ac:dyDescent="0.35">
      <c r="E143" s="135">
        <v>131</v>
      </c>
      <c r="F143" s="135">
        <v>0</v>
      </c>
      <c r="G143" s="141">
        <f t="shared" si="18"/>
        <v>0</v>
      </c>
      <c r="H143" s="155">
        <f t="shared" si="19"/>
        <v>0</v>
      </c>
      <c r="I143" s="142">
        <f t="shared" si="20"/>
        <v>0</v>
      </c>
      <c r="J143" s="142">
        <f>0</f>
        <v>0</v>
      </c>
      <c r="K143" s="142">
        <f t="shared" si="21"/>
        <v>0</v>
      </c>
      <c r="L143" s="142">
        <f t="shared" si="22"/>
        <v>0</v>
      </c>
      <c r="Q143" s="155"/>
      <c r="R143" s="142"/>
      <c r="S143" s="142"/>
      <c r="T143" s="142"/>
      <c r="U143" s="142"/>
    </row>
    <row r="144" spans="5:21" x14ac:dyDescent="0.35">
      <c r="E144" s="135">
        <v>132</v>
      </c>
      <c r="F144" s="135">
        <v>0</v>
      </c>
      <c r="G144" s="141">
        <f t="shared" si="18"/>
        <v>0</v>
      </c>
      <c r="H144" s="155">
        <f t="shared" si="19"/>
        <v>0</v>
      </c>
      <c r="I144" s="142">
        <f t="shared" si="20"/>
        <v>0</v>
      </c>
      <c r="J144" s="142">
        <f>0</f>
        <v>0</v>
      </c>
      <c r="K144" s="142">
        <f t="shared" si="21"/>
        <v>0</v>
      </c>
      <c r="L144" s="142">
        <f t="shared" si="22"/>
        <v>0</v>
      </c>
      <c r="Q144" s="155"/>
      <c r="R144" s="142"/>
      <c r="S144" s="142"/>
      <c r="T144" s="142"/>
      <c r="U144" s="142"/>
    </row>
    <row r="145" spans="5:21" x14ac:dyDescent="0.35">
      <c r="E145" s="135">
        <v>133</v>
      </c>
      <c r="F145" s="135">
        <v>1</v>
      </c>
      <c r="G145" s="141">
        <f t="shared" si="18"/>
        <v>23.813582244547764</v>
      </c>
      <c r="H145" s="155">
        <f t="shared" si="19"/>
        <v>0</v>
      </c>
      <c r="I145" s="142">
        <f t="shared" si="20"/>
        <v>0</v>
      </c>
      <c r="J145" s="142">
        <f>0</f>
        <v>0</v>
      </c>
      <c r="K145" s="142">
        <f t="shared" si="21"/>
        <v>136632.93323927111</v>
      </c>
      <c r="L145" s="142">
        <f t="shared" si="22"/>
        <v>136632.93323927111</v>
      </c>
      <c r="Q145" s="155"/>
      <c r="R145" s="142"/>
      <c r="S145" s="142"/>
      <c r="T145" s="142"/>
      <c r="U145" s="142"/>
    </row>
    <row r="146" spans="5:21" x14ac:dyDescent="0.35">
      <c r="E146" s="135">
        <v>134</v>
      </c>
      <c r="F146" s="135">
        <v>0</v>
      </c>
      <c r="G146" s="141">
        <f t="shared" si="18"/>
        <v>0</v>
      </c>
      <c r="H146" s="155">
        <f t="shared" si="19"/>
        <v>0</v>
      </c>
      <c r="I146" s="142">
        <f t="shared" si="20"/>
        <v>0</v>
      </c>
      <c r="J146" s="142">
        <f>0</f>
        <v>0</v>
      </c>
      <c r="K146" s="142">
        <f t="shared" si="21"/>
        <v>0</v>
      </c>
      <c r="L146" s="142">
        <f t="shared" si="22"/>
        <v>0</v>
      </c>
      <c r="Q146" s="155"/>
      <c r="R146" s="142"/>
      <c r="S146" s="142"/>
      <c r="T146" s="142"/>
      <c r="U146" s="142"/>
    </row>
    <row r="147" spans="5:21" x14ac:dyDescent="0.35">
      <c r="E147" s="135">
        <v>135</v>
      </c>
      <c r="F147" s="135">
        <v>0</v>
      </c>
      <c r="G147" s="141">
        <f t="shared" si="18"/>
        <v>0</v>
      </c>
      <c r="H147" s="155">
        <f t="shared" si="19"/>
        <v>0</v>
      </c>
      <c r="I147" s="142">
        <f t="shared" si="20"/>
        <v>0</v>
      </c>
      <c r="J147" s="142">
        <f>0</f>
        <v>0</v>
      </c>
      <c r="K147" s="142">
        <f t="shared" si="21"/>
        <v>0</v>
      </c>
      <c r="L147" s="142">
        <f t="shared" si="22"/>
        <v>0</v>
      </c>
      <c r="Q147" s="155"/>
      <c r="R147" s="142"/>
      <c r="S147" s="142"/>
      <c r="T147" s="142"/>
      <c r="U147" s="142"/>
    </row>
    <row r="148" spans="5:21" x14ac:dyDescent="0.35">
      <c r="E148" s="135">
        <v>136</v>
      </c>
      <c r="F148" s="135">
        <v>0</v>
      </c>
      <c r="G148" s="141">
        <f t="shared" si="18"/>
        <v>0</v>
      </c>
      <c r="H148" s="155">
        <f t="shared" si="19"/>
        <v>0</v>
      </c>
      <c r="I148" s="142">
        <f t="shared" si="20"/>
        <v>0</v>
      </c>
      <c r="J148" s="142">
        <f>0</f>
        <v>0</v>
      </c>
      <c r="K148" s="142">
        <f t="shared" si="21"/>
        <v>0</v>
      </c>
      <c r="L148" s="142">
        <f t="shared" si="22"/>
        <v>0</v>
      </c>
      <c r="Q148" s="155"/>
      <c r="R148" s="142"/>
      <c r="S148" s="142"/>
      <c r="T148" s="142"/>
      <c r="U148" s="142"/>
    </row>
    <row r="149" spans="5:21" x14ac:dyDescent="0.35">
      <c r="E149" s="135">
        <v>137</v>
      </c>
      <c r="F149" s="135">
        <v>1</v>
      </c>
      <c r="G149" s="141">
        <f t="shared" si="18"/>
        <v>23.813582244547764</v>
      </c>
      <c r="H149" s="155">
        <f t="shared" si="19"/>
        <v>0</v>
      </c>
      <c r="I149" s="142">
        <f t="shared" si="20"/>
        <v>0</v>
      </c>
      <c r="J149" s="142">
        <f>0</f>
        <v>0</v>
      </c>
      <c r="K149" s="142">
        <f t="shared" si="21"/>
        <v>136632.93323927111</v>
      </c>
      <c r="L149" s="142">
        <f t="shared" si="22"/>
        <v>136632.93323927111</v>
      </c>
      <c r="Q149" s="155"/>
      <c r="R149" s="142"/>
      <c r="S149" s="142"/>
      <c r="T149" s="142"/>
      <c r="U149" s="142"/>
    </row>
    <row r="150" spans="5:21" x14ac:dyDescent="0.35">
      <c r="E150" s="135">
        <v>138</v>
      </c>
      <c r="F150" s="135">
        <v>0</v>
      </c>
      <c r="G150" s="141">
        <f t="shared" si="18"/>
        <v>0</v>
      </c>
      <c r="H150" s="155">
        <f t="shared" si="19"/>
        <v>0</v>
      </c>
      <c r="I150" s="142">
        <f t="shared" si="20"/>
        <v>0</v>
      </c>
      <c r="J150" s="142">
        <f>0</f>
        <v>0</v>
      </c>
      <c r="K150" s="142">
        <f t="shared" si="21"/>
        <v>0</v>
      </c>
      <c r="L150" s="142">
        <f t="shared" si="22"/>
        <v>0</v>
      </c>
      <c r="Q150" s="155"/>
      <c r="R150" s="142"/>
      <c r="S150" s="142"/>
      <c r="T150" s="142"/>
      <c r="U150" s="142"/>
    </row>
    <row r="151" spans="5:21" x14ac:dyDescent="0.35">
      <c r="E151" s="135">
        <v>139</v>
      </c>
      <c r="F151" s="135">
        <v>0</v>
      </c>
      <c r="G151" s="141">
        <f t="shared" si="18"/>
        <v>0</v>
      </c>
      <c r="H151" s="155">
        <f t="shared" si="19"/>
        <v>0</v>
      </c>
      <c r="I151" s="142">
        <f t="shared" si="20"/>
        <v>0</v>
      </c>
      <c r="J151" s="142">
        <f>0</f>
        <v>0</v>
      </c>
      <c r="K151" s="142">
        <f t="shared" si="21"/>
        <v>0</v>
      </c>
      <c r="L151" s="142">
        <f t="shared" si="22"/>
        <v>0</v>
      </c>
      <c r="Q151" s="155"/>
      <c r="R151" s="142"/>
      <c r="S151" s="142"/>
      <c r="T151" s="142"/>
      <c r="U151" s="142"/>
    </row>
    <row r="152" spans="5:21" x14ac:dyDescent="0.35">
      <c r="E152" s="135">
        <v>140</v>
      </c>
      <c r="F152" s="135">
        <v>0</v>
      </c>
      <c r="G152" s="141">
        <f t="shared" si="18"/>
        <v>0</v>
      </c>
      <c r="H152" s="155">
        <f t="shared" si="19"/>
        <v>0</v>
      </c>
      <c r="I152" s="142">
        <f t="shared" si="20"/>
        <v>0</v>
      </c>
      <c r="J152" s="142">
        <f>0</f>
        <v>0</v>
      </c>
      <c r="K152" s="142">
        <f t="shared" si="21"/>
        <v>0</v>
      </c>
      <c r="L152" s="142">
        <f t="shared" si="22"/>
        <v>0</v>
      </c>
      <c r="Q152" s="155"/>
      <c r="R152" s="142"/>
      <c r="S152" s="142"/>
      <c r="T152" s="142"/>
      <c r="U152" s="142"/>
    </row>
    <row r="153" spans="5:21" x14ac:dyDescent="0.35">
      <c r="E153" s="135">
        <v>141</v>
      </c>
      <c r="F153" s="135">
        <v>0</v>
      </c>
      <c r="G153" s="141">
        <f t="shared" si="18"/>
        <v>0</v>
      </c>
      <c r="H153" s="155">
        <f t="shared" si="19"/>
        <v>0</v>
      </c>
      <c r="I153" s="142">
        <f t="shared" si="20"/>
        <v>0</v>
      </c>
      <c r="J153" s="142">
        <f>0</f>
        <v>0</v>
      </c>
      <c r="K153" s="142">
        <f t="shared" si="21"/>
        <v>0</v>
      </c>
      <c r="L153" s="142">
        <f t="shared" si="22"/>
        <v>0</v>
      </c>
      <c r="Q153" s="155"/>
      <c r="R153" s="142"/>
      <c r="S153" s="142"/>
      <c r="T153" s="142"/>
      <c r="U153" s="142"/>
    </row>
    <row r="154" spans="5:21" x14ac:dyDescent="0.35">
      <c r="E154" s="135">
        <v>142</v>
      </c>
      <c r="F154" s="135">
        <v>0</v>
      </c>
      <c r="G154" s="141">
        <f t="shared" si="18"/>
        <v>0</v>
      </c>
      <c r="H154" s="155">
        <f t="shared" si="19"/>
        <v>0</v>
      </c>
      <c r="I154" s="142">
        <f t="shared" si="20"/>
        <v>0</v>
      </c>
      <c r="J154" s="142">
        <f>0</f>
        <v>0</v>
      </c>
      <c r="K154" s="142">
        <f t="shared" si="21"/>
        <v>0</v>
      </c>
      <c r="L154" s="142">
        <f t="shared" si="22"/>
        <v>0</v>
      </c>
      <c r="Q154" s="155"/>
      <c r="R154" s="142"/>
      <c r="S154" s="142"/>
      <c r="T154" s="142"/>
      <c r="U154" s="142"/>
    </row>
    <row r="155" spans="5:21" x14ac:dyDescent="0.35">
      <c r="E155" s="135">
        <v>143</v>
      </c>
      <c r="F155" s="135">
        <v>0</v>
      </c>
      <c r="G155" s="141">
        <f t="shared" si="18"/>
        <v>0</v>
      </c>
      <c r="H155" s="155">
        <f t="shared" si="19"/>
        <v>0</v>
      </c>
      <c r="I155" s="142">
        <f t="shared" si="20"/>
        <v>0</v>
      </c>
      <c r="J155" s="142">
        <f>0</f>
        <v>0</v>
      </c>
      <c r="K155" s="142">
        <f t="shared" si="21"/>
        <v>0</v>
      </c>
      <c r="L155" s="142">
        <f t="shared" si="22"/>
        <v>0</v>
      </c>
      <c r="Q155" s="155"/>
      <c r="R155" s="142"/>
      <c r="S155" s="142"/>
      <c r="T155" s="142"/>
      <c r="U155" s="142"/>
    </row>
    <row r="156" spans="5:21" x14ac:dyDescent="0.35">
      <c r="E156" s="135">
        <v>144</v>
      </c>
      <c r="F156" s="135">
        <v>0</v>
      </c>
      <c r="G156" s="141">
        <f t="shared" si="18"/>
        <v>0</v>
      </c>
      <c r="H156" s="155">
        <f t="shared" si="19"/>
        <v>0</v>
      </c>
      <c r="I156" s="142">
        <f t="shared" si="20"/>
        <v>0</v>
      </c>
      <c r="J156" s="142">
        <f>0</f>
        <v>0</v>
      </c>
      <c r="K156" s="142">
        <f t="shared" si="21"/>
        <v>0</v>
      </c>
      <c r="L156" s="142">
        <f t="shared" si="22"/>
        <v>0</v>
      </c>
      <c r="Q156" s="155"/>
      <c r="R156" s="142"/>
      <c r="S156" s="142"/>
      <c r="T156" s="142"/>
      <c r="U156" s="142"/>
    </row>
    <row r="157" spans="5:21" x14ac:dyDescent="0.35">
      <c r="E157" s="135">
        <v>145</v>
      </c>
      <c r="F157" s="135">
        <v>0</v>
      </c>
      <c r="G157" s="141">
        <f t="shared" si="18"/>
        <v>0</v>
      </c>
      <c r="H157" s="155">
        <f t="shared" si="19"/>
        <v>0</v>
      </c>
      <c r="I157" s="142">
        <f t="shared" si="20"/>
        <v>0</v>
      </c>
      <c r="J157" s="142">
        <f>0</f>
        <v>0</v>
      </c>
      <c r="K157" s="142">
        <f t="shared" si="21"/>
        <v>0</v>
      </c>
      <c r="L157" s="142">
        <f t="shared" si="22"/>
        <v>0</v>
      </c>
      <c r="Q157" s="155"/>
      <c r="R157" s="142"/>
      <c r="S157" s="142"/>
      <c r="T157" s="142"/>
      <c r="U157" s="142"/>
    </row>
    <row r="158" spans="5:21" x14ac:dyDescent="0.35">
      <c r="E158" s="135">
        <v>146</v>
      </c>
      <c r="F158" s="135">
        <v>0</v>
      </c>
      <c r="G158" s="141">
        <f t="shared" si="18"/>
        <v>0</v>
      </c>
      <c r="H158" s="155">
        <f t="shared" si="19"/>
        <v>0</v>
      </c>
      <c r="I158" s="142">
        <f t="shared" si="20"/>
        <v>0</v>
      </c>
      <c r="J158" s="142">
        <f>0</f>
        <v>0</v>
      </c>
      <c r="K158" s="142">
        <f t="shared" si="21"/>
        <v>0</v>
      </c>
      <c r="L158" s="142">
        <f t="shared" si="22"/>
        <v>0</v>
      </c>
      <c r="Q158" s="155"/>
      <c r="R158" s="142"/>
      <c r="S158" s="142"/>
      <c r="T158" s="142"/>
      <c r="U158" s="142"/>
    </row>
    <row r="159" spans="5:21" x14ac:dyDescent="0.35">
      <c r="E159" s="135">
        <v>147</v>
      </c>
      <c r="F159" s="135">
        <v>0</v>
      </c>
      <c r="G159" s="141">
        <f t="shared" si="18"/>
        <v>0</v>
      </c>
      <c r="H159" s="155">
        <f t="shared" si="19"/>
        <v>0</v>
      </c>
      <c r="I159" s="142">
        <f t="shared" si="20"/>
        <v>0</v>
      </c>
      <c r="J159" s="142">
        <f>0</f>
        <v>0</v>
      </c>
      <c r="K159" s="142">
        <f t="shared" si="21"/>
        <v>0</v>
      </c>
      <c r="L159" s="142">
        <f t="shared" si="22"/>
        <v>0</v>
      </c>
      <c r="Q159" s="155"/>
      <c r="R159" s="142"/>
      <c r="S159" s="142"/>
      <c r="T159" s="142"/>
      <c r="U159" s="142"/>
    </row>
    <row r="160" spans="5:21" x14ac:dyDescent="0.35">
      <c r="E160" s="135">
        <v>148</v>
      </c>
      <c r="F160" s="135">
        <v>0</v>
      </c>
      <c r="G160" s="141">
        <f t="shared" si="18"/>
        <v>0</v>
      </c>
      <c r="H160" s="155">
        <f t="shared" si="19"/>
        <v>0</v>
      </c>
      <c r="I160" s="142">
        <f t="shared" si="20"/>
        <v>0</v>
      </c>
      <c r="J160" s="142">
        <f>0</f>
        <v>0</v>
      </c>
      <c r="K160" s="142">
        <f t="shared" si="21"/>
        <v>0</v>
      </c>
      <c r="L160" s="142">
        <f t="shared" si="22"/>
        <v>0</v>
      </c>
      <c r="Q160" s="155"/>
      <c r="R160" s="142"/>
      <c r="S160" s="142"/>
      <c r="T160" s="142"/>
      <c r="U160" s="142"/>
    </row>
    <row r="161" spans="5:21" x14ac:dyDescent="0.35">
      <c r="E161" s="135">
        <v>149</v>
      </c>
      <c r="F161" s="135">
        <v>0</v>
      </c>
      <c r="G161" s="141">
        <f t="shared" si="18"/>
        <v>0</v>
      </c>
      <c r="H161" s="155">
        <f t="shared" si="19"/>
        <v>0</v>
      </c>
      <c r="I161" s="142">
        <f t="shared" si="20"/>
        <v>0</v>
      </c>
      <c r="J161" s="142">
        <f>0</f>
        <v>0</v>
      </c>
      <c r="K161" s="142">
        <f t="shared" si="21"/>
        <v>0</v>
      </c>
      <c r="L161" s="142">
        <f t="shared" si="22"/>
        <v>0</v>
      </c>
      <c r="Q161" s="155"/>
      <c r="R161" s="142"/>
      <c r="S161" s="142"/>
      <c r="T161" s="142"/>
      <c r="U161" s="142"/>
    </row>
    <row r="162" spans="5:21" x14ac:dyDescent="0.35">
      <c r="E162" s="135">
        <v>150</v>
      </c>
      <c r="F162" s="135">
        <v>2</v>
      </c>
      <c r="G162" s="141">
        <f t="shared" si="18"/>
        <v>47.627164489095527</v>
      </c>
      <c r="H162" s="155">
        <f t="shared" si="19"/>
        <v>200</v>
      </c>
      <c r="I162" s="142">
        <f t="shared" si="20"/>
        <v>14500000</v>
      </c>
      <c r="J162" s="142">
        <f>0</f>
        <v>0</v>
      </c>
      <c r="K162" s="142">
        <f t="shared" si="21"/>
        <v>273265.86647854222</v>
      </c>
      <c r="L162" s="142">
        <f t="shared" si="22"/>
        <v>14773265.866478542</v>
      </c>
      <c r="Q162" s="155"/>
      <c r="R162" s="142"/>
      <c r="S162" s="142"/>
      <c r="T162" s="142"/>
      <c r="U162" s="142"/>
    </row>
    <row r="163" spans="5:21" x14ac:dyDescent="0.35">
      <c r="E163" s="135">
        <v>151</v>
      </c>
      <c r="F163" s="135">
        <v>0</v>
      </c>
      <c r="G163" s="141">
        <f t="shared" si="18"/>
        <v>0</v>
      </c>
      <c r="H163" s="155">
        <f t="shared" si="19"/>
        <v>0</v>
      </c>
      <c r="I163" s="142">
        <f t="shared" si="20"/>
        <v>0</v>
      </c>
      <c r="J163" s="142">
        <f>0</f>
        <v>0</v>
      </c>
      <c r="K163" s="142">
        <f t="shared" si="21"/>
        <v>0</v>
      </c>
      <c r="L163" s="142">
        <f t="shared" si="22"/>
        <v>0</v>
      </c>
      <c r="Q163" s="155"/>
      <c r="R163" s="142"/>
      <c r="S163" s="142"/>
      <c r="T163" s="142"/>
      <c r="U163" s="142"/>
    </row>
    <row r="164" spans="5:21" x14ac:dyDescent="0.35">
      <c r="E164" s="135">
        <v>152</v>
      </c>
      <c r="F164" s="135">
        <v>2</v>
      </c>
      <c r="G164" s="141">
        <f t="shared" si="18"/>
        <v>47.627164489095527</v>
      </c>
      <c r="H164" s="155">
        <f t="shared" si="19"/>
        <v>200</v>
      </c>
      <c r="I164" s="142">
        <f t="shared" si="20"/>
        <v>14500000</v>
      </c>
      <c r="J164" s="142">
        <f>0</f>
        <v>0</v>
      </c>
      <c r="K164" s="142">
        <f t="shared" si="21"/>
        <v>273265.86647854222</v>
      </c>
      <c r="L164" s="142">
        <f t="shared" si="22"/>
        <v>14773265.866478542</v>
      </c>
      <c r="Q164" s="155"/>
      <c r="R164" s="142"/>
      <c r="S164" s="142"/>
      <c r="T164" s="142"/>
      <c r="U164" s="142"/>
    </row>
    <row r="165" spans="5:21" x14ac:dyDescent="0.35">
      <c r="E165" s="135">
        <v>153</v>
      </c>
      <c r="F165" s="135">
        <v>0</v>
      </c>
      <c r="G165" s="141">
        <f t="shared" si="18"/>
        <v>0</v>
      </c>
      <c r="H165" s="155">
        <f t="shared" si="19"/>
        <v>0</v>
      </c>
      <c r="I165" s="142">
        <f t="shared" si="20"/>
        <v>0</v>
      </c>
      <c r="J165" s="142">
        <f>0</f>
        <v>0</v>
      </c>
      <c r="K165" s="142">
        <f t="shared" si="21"/>
        <v>0</v>
      </c>
      <c r="L165" s="142">
        <f t="shared" si="22"/>
        <v>0</v>
      </c>
      <c r="Q165" s="155"/>
      <c r="R165" s="142"/>
      <c r="S165" s="142"/>
      <c r="T165" s="142"/>
      <c r="U165" s="142"/>
    </row>
    <row r="166" spans="5:21" x14ac:dyDescent="0.35">
      <c r="E166" s="135">
        <v>154</v>
      </c>
      <c r="F166" s="135">
        <v>0</v>
      </c>
      <c r="G166" s="141">
        <f t="shared" si="18"/>
        <v>0</v>
      </c>
      <c r="H166" s="155">
        <f t="shared" si="19"/>
        <v>0</v>
      </c>
      <c r="I166" s="142">
        <f t="shared" si="20"/>
        <v>0</v>
      </c>
      <c r="J166" s="142">
        <f>0</f>
        <v>0</v>
      </c>
      <c r="K166" s="142">
        <f t="shared" si="21"/>
        <v>0</v>
      </c>
      <c r="L166" s="142">
        <f t="shared" si="22"/>
        <v>0</v>
      </c>
      <c r="Q166" s="155"/>
      <c r="R166" s="142"/>
      <c r="S166" s="142"/>
      <c r="T166" s="142"/>
      <c r="U166" s="142"/>
    </row>
    <row r="167" spans="5:21" x14ac:dyDescent="0.35">
      <c r="E167" s="135">
        <v>155</v>
      </c>
      <c r="F167" s="135">
        <v>0</v>
      </c>
      <c r="G167" s="141">
        <f t="shared" si="18"/>
        <v>0</v>
      </c>
      <c r="H167" s="155">
        <f t="shared" si="19"/>
        <v>0</v>
      </c>
      <c r="I167" s="142">
        <f t="shared" si="20"/>
        <v>0</v>
      </c>
      <c r="J167" s="142">
        <f>0</f>
        <v>0</v>
      </c>
      <c r="K167" s="142">
        <f t="shared" si="21"/>
        <v>0</v>
      </c>
      <c r="L167" s="142">
        <f t="shared" si="22"/>
        <v>0</v>
      </c>
      <c r="Q167" s="155"/>
      <c r="R167" s="142"/>
      <c r="S167" s="142"/>
      <c r="T167" s="142"/>
      <c r="U167" s="142"/>
    </row>
    <row r="168" spans="5:21" x14ac:dyDescent="0.35">
      <c r="E168" s="135">
        <v>156</v>
      </c>
      <c r="F168" s="135">
        <v>1</v>
      </c>
      <c r="G168" s="141">
        <f t="shared" si="18"/>
        <v>23.813582244547764</v>
      </c>
      <c r="H168" s="155">
        <f t="shared" si="19"/>
        <v>0</v>
      </c>
      <c r="I168" s="142">
        <f t="shared" si="20"/>
        <v>0</v>
      </c>
      <c r="J168" s="142">
        <f>0</f>
        <v>0</v>
      </c>
      <c r="K168" s="142">
        <f t="shared" si="21"/>
        <v>136632.93323927111</v>
      </c>
      <c r="L168" s="142">
        <f t="shared" si="22"/>
        <v>136632.93323927111</v>
      </c>
      <c r="Q168" s="155"/>
      <c r="R168" s="142"/>
      <c r="S168" s="142"/>
      <c r="T168" s="142"/>
      <c r="U168" s="142"/>
    </row>
    <row r="169" spans="5:21" x14ac:dyDescent="0.35">
      <c r="E169" s="135">
        <v>157</v>
      </c>
      <c r="F169" s="135">
        <v>0</v>
      </c>
      <c r="G169" s="141">
        <f t="shared" si="18"/>
        <v>0</v>
      </c>
      <c r="H169" s="155">
        <f t="shared" si="19"/>
        <v>0</v>
      </c>
      <c r="I169" s="142">
        <f t="shared" si="20"/>
        <v>0</v>
      </c>
      <c r="J169" s="142">
        <f>0</f>
        <v>0</v>
      </c>
      <c r="K169" s="142">
        <f t="shared" si="21"/>
        <v>0</v>
      </c>
      <c r="L169" s="142">
        <f t="shared" si="22"/>
        <v>0</v>
      </c>
      <c r="Q169" s="155"/>
      <c r="R169" s="142"/>
      <c r="S169" s="142"/>
      <c r="T169" s="142"/>
      <c r="U169" s="142"/>
    </row>
    <row r="170" spans="5:21" x14ac:dyDescent="0.35">
      <c r="E170" s="135">
        <v>158</v>
      </c>
      <c r="F170" s="135">
        <v>0</v>
      </c>
      <c r="G170" s="141">
        <f t="shared" si="18"/>
        <v>0</v>
      </c>
      <c r="H170" s="155">
        <f t="shared" si="19"/>
        <v>0</v>
      </c>
      <c r="I170" s="142">
        <f t="shared" si="20"/>
        <v>0</v>
      </c>
      <c r="J170" s="142">
        <f>0</f>
        <v>0</v>
      </c>
      <c r="K170" s="142">
        <f t="shared" si="21"/>
        <v>0</v>
      </c>
      <c r="L170" s="142">
        <f t="shared" si="22"/>
        <v>0</v>
      </c>
      <c r="Q170" s="155"/>
      <c r="R170" s="142"/>
      <c r="S170" s="142"/>
      <c r="T170" s="142"/>
      <c r="U170" s="142"/>
    </row>
    <row r="171" spans="5:21" x14ac:dyDescent="0.35">
      <c r="E171" s="135">
        <v>159</v>
      </c>
      <c r="F171" s="135">
        <v>0</v>
      </c>
      <c r="G171" s="141">
        <f t="shared" si="18"/>
        <v>0</v>
      </c>
      <c r="H171" s="155">
        <f t="shared" si="19"/>
        <v>0</v>
      </c>
      <c r="I171" s="142">
        <f t="shared" si="20"/>
        <v>0</v>
      </c>
      <c r="J171" s="142">
        <f>0</f>
        <v>0</v>
      </c>
      <c r="K171" s="142">
        <f t="shared" si="21"/>
        <v>0</v>
      </c>
      <c r="L171" s="142">
        <f t="shared" si="22"/>
        <v>0</v>
      </c>
      <c r="Q171" s="155"/>
      <c r="R171" s="142"/>
      <c r="S171" s="142"/>
      <c r="T171" s="142"/>
      <c r="U171" s="142"/>
    </row>
    <row r="172" spans="5:21" x14ac:dyDescent="0.35">
      <c r="E172" s="135">
        <v>160</v>
      </c>
      <c r="F172" s="135">
        <v>0</v>
      </c>
      <c r="G172" s="141">
        <f t="shared" si="18"/>
        <v>0</v>
      </c>
      <c r="H172" s="155">
        <f t="shared" si="19"/>
        <v>0</v>
      </c>
      <c r="I172" s="142">
        <f t="shared" si="20"/>
        <v>0</v>
      </c>
      <c r="J172" s="142">
        <f>0</f>
        <v>0</v>
      </c>
      <c r="K172" s="142">
        <f t="shared" si="21"/>
        <v>0</v>
      </c>
      <c r="L172" s="142">
        <f t="shared" si="22"/>
        <v>0</v>
      </c>
      <c r="Q172" s="155"/>
      <c r="R172" s="142"/>
      <c r="S172" s="142"/>
      <c r="T172" s="142"/>
      <c r="U172" s="142"/>
    </row>
    <row r="173" spans="5:21" x14ac:dyDescent="0.35">
      <c r="E173" s="135">
        <v>161</v>
      </c>
      <c r="F173" s="135">
        <v>0</v>
      </c>
      <c r="G173" s="141">
        <f t="shared" si="18"/>
        <v>0</v>
      </c>
      <c r="H173" s="155">
        <f t="shared" si="19"/>
        <v>0</v>
      </c>
      <c r="I173" s="142">
        <f t="shared" si="20"/>
        <v>0</v>
      </c>
      <c r="J173" s="142">
        <f>0</f>
        <v>0</v>
      </c>
      <c r="K173" s="142">
        <f t="shared" si="21"/>
        <v>0</v>
      </c>
      <c r="L173" s="142">
        <f t="shared" si="22"/>
        <v>0</v>
      </c>
      <c r="Q173" s="155"/>
      <c r="R173" s="142"/>
      <c r="S173" s="142"/>
      <c r="T173" s="142"/>
      <c r="U173" s="142"/>
    </row>
    <row r="174" spans="5:21" x14ac:dyDescent="0.35">
      <c r="E174" s="135">
        <v>162</v>
      </c>
      <c r="F174" s="135">
        <v>0</v>
      </c>
      <c r="G174" s="141">
        <f t="shared" si="18"/>
        <v>0</v>
      </c>
      <c r="H174" s="155">
        <f t="shared" si="19"/>
        <v>0</v>
      </c>
      <c r="I174" s="142">
        <f t="shared" si="20"/>
        <v>0</v>
      </c>
      <c r="J174" s="142">
        <f>0</f>
        <v>0</v>
      </c>
      <c r="K174" s="142">
        <f t="shared" si="21"/>
        <v>0</v>
      </c>
      <c r="L174" s="142">
        <f t="shared" si="22"/>
        <v>0</v>
      </c>
      <c r="Q174" s="155"/>
      <c r="R174" s="142"/>
      <c r="S174" s="142"/>
      <c r="T174" s="142"/>
      <c r="U174" s="142"/>
    </row>
    <row r="175" spans="5:21" x14ac:dyDescent="0.35">
      <c r="E175" s="135">
        <v>163</v>
      </c>
      <c r="F175" s="135">
        <v>0</v>
      </c>
      <c r="G175" s="141">
        <f t="shared" si="18"/>
        <v>0</v>
      </c>
      <c r="H175" s="155">
        <f t="shared" si="19"/>
        <v>0</v>
      </c>
      <c r="I175" s="142">
        <f t="shared" si="20"/>
        <v>0</v>
      </c>
      <c r="J175" s="142">
        <f>0</f>
        <v>0</v>
      </c>
      <c r="K175" s="142">
        <f t="shared" si="21"/>
        <v>0</v>
      </c>
      <c r="L175" s="142">
        <f t="shared" si="22"/>
        <v>0</v>
      </c>
      <c r="Q175" s="155"/>
      <c r="R175" s="142"/>
      <c r="S175" s="142"/>
      <c r="T175" s="142"/>
      <c r="U175" s="142"/>
    </row>
    <row r="176" spans="5:21" x14ac:dyDescent="0.35">
      <c r="E176" s="135">
        <v>164</v>
      </c>
      <c r="F176" s="135">
        <v>0</v>
      </c>
      <c r="G176" s="141">
        <f t="shared" si="18"/>
        <v>0</v>
      </c>
      <c r="H176" s="155">
        <f t="shared" si="19"/>
        <v>0</v>
      </c>
      <c r="I176" s="142">
        <f t="shared" si="20"/>
        <v>0</v>
      </c>
      <c r="J176" s="142">
        <f>0</f>
        <v>0</v>
      </c>
      <c r="K176" s="142">
        <f t="shared" si="21"/>
        <v>0</v>
      </c>
      <c r="L176" s="142">
        <f t="shared" si="22"/>
        <v>0</v>
      </c>
      <c r="Q176" s="155"/>
      <c r="R176" s="142"/>
      <c r="S176" s="142"/>
      <c r="T176" s="142"/>
      <c r="U176" s="142"/>
    </row>
    <row r="177" spans="5:21" x14ac:dyDescent="0.35">
      <c r="E177" s="135">
        <v>165</v>
      </c>
      <c r="F177" s="135">
        <v>0</v>
      </c>
      <c r="G177" s="141">
        <f t="shared" si="18"/>
        <v>0</v>
      </c>
      <c r="H177" s="155">
        <f t="shared" si="19"/>
        <v>0</v>
      </c>
      <c r="I177" s="142">
        <f t="shared" si="20"/>
        <v>0</v>
      </c>
      <c r="J177" s="142">
        <f>0</f>
        <v>0</v>
      </c>
      <c r="K177" s="142">
        <f t="shared" si="21"/>
        <v>0</v>
      </c>
      <c r="L177" s="142">
        <f t="shared" si="22"/>
        <v>0</v>
      </c>
      <c r="Q177" s="155"/>
      <c r="R177" s="142"/>
      <c r="S177" s="142"/>
      <c r="T177" s="142"/>
      <c r="U177" s="142"/>
    </row>
    <row r="178" spans="5:21" x14ac:dyDescent="0.35">
      <c r="E178" s="135">
        <v>166</v>
      </c>
      <c r="F178" s="135">
        <v>0</v>
      </c>
      <c r="G178" s="141">
        <f t="shared" si="18"/>
        <v>0</v>
      </c>
      <c r="H178" s="155">
        <f t="shared" si="19"/>
        <v>0</v>
      </c>
      <c r="I178" s="142">
        <f t="shared" si="20"/>
        <v>0</v>
      </c>
      <c r="J178" s="142">
        <f>0</f>
        <v>0</v>
      </c>
      <c r="K178" s="142">
        <f t="shared" si="21"/>
        <v>0</v>
      </c>
      <c r="L178" s="142">
        <f t="shared" si="22"/>
        <v>0</v>
      </c>
      <c r="Q178" s="155"/>
      <c r="R178" s="142"/>
      <c r="S178" s="142"/>
      <c r="T178" s="142"/>
      <c r="U178" s="142"/>
    </row>
    <row r="179" spans="5:21" x14ac:dyDescent="0.35">
      <c r="E179" s="135">
        <v>167</v>
      </c>
      <c r="F179" s="135">
        <v>0</v>
      </c>
      <c r="G179" s="141">
        <f t="shared" si="18"/>
        <v>0</v>
      </c>
      <c r="H179" s="155">
        <f t="shared" si="19"/>
        <v>0</v>
      </c>
      <c r="I179" s="142">
        <f t="shared" si="20"/>
        <v>0</v>
      </c>
      <c r="J179" s="142">
        <f>0</f>
        <v>0</v>
      </c>
      <c r="K179" s="142">
        <f t="shared" si="21"/>
        <v>0</v>
      </c>
      <c r="L179" s="142">
        <f t="shared" si="22"/>
        <v>0</v>
      </c>
      <c r="Q179" s="155"/>
      <c r="R179" s="142"/>
      <c r="S179" s="142"/>
      <c r="T179" s="142"/>
      <c r="U179" s="142"/>
    </row>
    <row r="180" spans="5:21" x14ac:dyDescent="0.35">
      <c r="E180" s="135">
        <v>168</v>
      </c>
      <c r="F180" s="135">
        <v>0</v>
      </c>
      <c r="G180" s="141">
        <f t="shared" si="18"/>
        <v>0</v>
      </c>
      <c r="H180" s="155">
        <f t="shared" si="19"/>
        <v>0</v>
      </c>
      <c r="I180" s="142">
        <f t="shared" si="20"/>
        <v>0</v>
      </c>
      <c r="J180" s="142">
        <f>0</f>
        <v>0</v>
      </c>
      <c r="K180" s="142">
        <f t="shared" si="21"/>
        <v>0</v>
      </c>
      <c r="L180" s="142">
        <f t="shared" si="22"/>
        <v>0</v>
      </c>
      <c r="Q180" s="155"/>
      <c r="R180" s="142"/>
      <c r="S180" s="142"/>
      <c r="T180" s="142"/>
      <c r="U180" s="142"/>
    </row>
    <row r="181" spans="5:21" x14ac:dyDescent="0.35">
      <c r="E181" s="135">
        <v>169</v>
      </c>
      <c r="F181" s="135">
        <v>0</v>
      </c>
      <c r="G181" s="141">
        <f t="shared" si="18"/>
        <v>0</v>
      </c>
      <c r="H181" s="155">
        <f t="shared" si="19"/>
        <v>0</v>
      </c>
      <c r="I181" s="142">
        <f t="shared" si="20"/>
        <v>0</v>
      </c>
      <c r="J181" s="142">
        <f>0</f>
        <v>0</v>
      </c>
      <c r="K181" s="142">
        <f t="shared" si="21"/>
        <v>0</v>
      </c>
      <c r="L181" s="142">
        <f t="shared" si="22"/>
        <v>0</v>
      </c>
      <c r="Q181" s="155"/>
      <c r="R181" s="142"/>
      <c r="S181" s="142"/>
      <c r="T181" s="142"/>
      <c r="U181" s="142"/>
    </row>
    <row r="182" spans="5:21" x14ac:dyDescent="0.35">
      <c r="E182" s="135">
        <v>170</v>
      </c>
      <c r="F182" s="135">
        <v>1</v>
      </c>
      <c r="G182" s="141">
        <f t="shared" si="18"/>
        <v>23.813582244547764</v>
      </c>
      <c r="H182" s="155">
        <f t="shared" si="19"/>
        <v>0</v>
      </c>
      <c r="I182" s="142">
        <f t="shared" si="20"/>
        <v>0</v>
      </c>
      <c r="J182" s="142">
        <f>0</f>
        <v>0</v>
      </c>
      <c r="K182" s="142">
        <f t="shared" si="21"/>
        <v>136632.93323927111</v>
      </c>
      <c r="L182" s="142">
        <f t="shared" si="22"/>
        <v>136632.93323927111</v>
      </c>
      <c r="Q182" s="155"/>
      <c r="R182" s="142"/>
      <c r="S182" s="142"/>
      <c r="T182" s="142"/>
      <c r="U182" s="142"/>
    </row>
    <row r="183" spans="5:21" x14ac:dyDescent="0.35">
      <c r="E183" s="135">
        <v>171</v>
      </c>
      <c r="F183" s="135">
        <v>0</v>
      </c>
      <c r="G183" s="141">
        <f t="shared" si="18"/>
        <v>0</v>
      </c>
      <c r="H183" s="155">
        <f t="shared" si="19"/>
        <v>0</v>
      </c>
      <c r="I183" s="142">
        <f t="shared" si="20"/>
        <v>0</v>
      </c>
      <c r="J183" s="142">
        <f>0</f>
        <v>0</v>
      </c>
      <c r="K183" s="142">
        <f t="shared" si="21"/>
        <v>0</v>
      </c>
      <c r="L183" s="142">
        <f t="shared" si="22"/>
        <v>0</v>
      </c>
      <c r="Q183" s="155"/>
      <c r="R183" s="142"/>
      <c r="S183" s="142"/>
      <c r="T183" s="142"/>
      <c r="U183" s="142"/>
    </row>
    <row r="184" spans="5:21" x14ac:dyDescent="0.35">
      <c r="E184" s="135">
        <v>172</v>
      </c>
      <c r="F184" s="135">
        <v>0</v>
      </c>
      <c r="G184" s="141">
        <f t="shared" si="18"/>
        <v>0</v>
      </c>
      <c r="H184" s="155">
        <f t="shared" si="19"/>
        <v>0</v>
      </c>
      <c r="I184" s="142">
        <f t="shared" si="20"/>
        <v>0</v>
      </c>
      <c r="J184" s="142">
        <f>0</f>
        <v>0</v>
      </c>
      <c r="K184" s="142">
        <f t="shared" si="21"/>
        <v>0</v>
      </c>
      <c r="L184" s="142">
        <f t="shared" si="22"/>
        <v>0</v>
      </c>
      <c r="Q184" s="155"/>
      <c r="R184" s="142"/>
      <c r="S184" s="142"/>
      <c r="T184" s="142"/>
      <c r="U184" s="142"/>
    </row>
    <row r="185" spans="5:21" x14ac:dyDescent="0.35">
      <c r="E185" s="135">
        <v>173</v>
      </c>
      <c r="F185" s="135">
        <v>0</v>
      </c>
      <c r="G185" s="141">
        <f t="shared" si="18"/>
        <v>0</v>
      </c>
      <c r="H185" s="155">
        <f t="shared" si="19"/>
        <v>0</v>
      </c>
      <c r="I185" s="142">
        <f t="shared" si="20"/>
        <v>0</v>
      </c>
      <c r="J185" s="142">
        <f>0</f>
        <v>0</v>
      </c>
      <c r="K185" s="142">
        <f t="shared" si="21"/>
        <v>0</v>
      </c>
      <c r="L185" s="142">
        <f t="shared" si="22"/>
        <v>0</v>
      </c>
      <c r="Q185" s="155"/>
      <c r="R185" s="142"/>
      <c r="S185" s="142"/>
      <c r="T185" s="142"/>
      <c r="U185" s="142"/>
    </row>
    <row r="186" spans="5:21" x14ac:dyDescent="0.35">
      <c r="E186" s="135">
        <v>174</v>
      </c>
      <c r="F186" s="135">
        <v>2</v>
      </c>
      <c r="G186" s="141">
        <f t="shared" si="18"/>
        <v>47.627164489095527</v>
      </c>
      <c r="H186" s="155">
        <f t="shared" si="19"/>
        <v>200</v>
      </c>
      <c r="I186" s="142">
        <f t="shared" si="20"/>
        <v>14500000</v>
      </c>
      <c r="J186" s="142">
        <f>0</f>
        <v>0</v>
      </c>
      <c r="K186" s="142">
        <f t="shared" si="21"/>
        <v>273265.86647854222</v>
      </c>
      <c r="L186" s="142">
        <f t="shared" si="22"/>
        <v>14773265.866478542</v>
      </c>
      <c r="Q186" s="155"/>
      <c r="R186" s="142"/>
      <c r="S186" s="142"/>
      <c r="T186" s="142"/>
      <c r="U186" s="142"/>
    </row>
    <row r="187" spans="5:21" x14ac:dyDescent="0.35">
      <c r="E187" s="135">
        <v>175</v>
      </c>
      <c r="F187" s="135">
        <v>0</v>
      </c>
      <c r="G187" s="141">
        <f t="shared" si="18"/>
        <v>0</v>
      </c>
      <c r="H187" s="155">
        <f t="shared" si="19"/>
        <v>0</v>
      </c>
      <c r="I187" s="142">
        <f t="shared" si="20"/>
        <v>0</v>
      </c>
      <c r="J187" s="142">
        <f>0</f>
        <v>0</v>
      </c>
      <c r="K187" s="142">
        <f t="shared" si="21"/>
        <v>0</v>
      </c>
      <c r="L187" s="142">
        <f t="shared" si="22"/>
        <v>0</v>
      </c>
      <c r="Q187" s="155"/>
      <c r="R187" s="142"/>
      <c r="S187" s="142"/>
      <c r="T187" s="142"/>
      <c r="U187" s="142"/>
    </row>
    <row r="188" spans="5:21" x14ac:dyDescent="0.35">
      <c r="E188" s="135">
        <v>176</v>
      </c>
      <c r="F188" s="135">
        <v>0</v>
      </c>
      <c r="G188" s="141">
        <f t="shared" si="18"/>
        <v>0</v>
      </c>
      <c r="H188" s="155">
        <f t="shared" si="19"/>
        <v>0</v>
      </c>
      <c r="I188" s="142">
        <f t="shared" si="20"/>
        <v>0</v>
      </c>
      <c r="J188" s="142">
        <f>0</f>
        <v>0</v>
      </c>
      <c r="K188" s="142">
        <f t="shared" si="21"/>
        <v>0</v>
      </c>
      <c r="L188" s="142">
        <f t="shared" si="22"/>
        <v>0</v>
      </c>
      <c r="Q188" s="155"/>
      <c r="R188" s="142"/>
      <c r="S188" s="142"/>
      <c r="T188" s="142"/>
      <c r="U188" s="142"/>
    </row>
    <row r="189" spans="5:21" x14ac:dyDescent="0.35">
      <c r="E189" s="135">
        <v>177</v>
      </c>
      <c r="F189" s="135">
        <v>0</v>
      </c>
      <c r="G189" s="141">
        <f t="shared" si="18"/>
        <v>0</v>
      </c>
      <c r="H189" s="155">
        <f t="shared" si="19"/>
        <v>0</v>
      </c>
      <c r="I189" s="142">
        <f t="shared" si="20"/>
        <v>0</v>
      </c>
      <c r="J189" s="142">
        <f>0</f>
        <v>0</v>
      </c>
      <c r="K189" s="142">
        <f t="shared" si="21"/>
        <v>0</v>
      </c>
      <c r="L189" s="142">
        <f t="shared" si="22"/>
        <v>0</v>
      </c>
      <c r="Q189" s="155"/>
      <c r="R189" s="142"/>
      <c r="S189" s="142"/>
      <c r="T189" s="142"/>
      <c r="U189" s="142"/>
    </row>
    <row r="190" spans="5:21" x14ac:dyDescent="0.35">
      <c r="E190" s="135">
        <v>178</v>
      </c>
      <c r="F190" s="135">
        <v>0</v>
      </c>
      <c r="G190" s="141">
        <f t="shared" si="18"/>
        <v>0</v>
      </c>
      <c r="H190" s="155">
        <f t="shared" si="19"/>
        <v>0</v>
      </c>
      <c r="I190" s="142">
        <f t="shared" si="20"/>
        <v>0</v>
      </c>
      <c r="J190" s="142">
        <f>0</f>
        <v>0</v>
      </c>
      <c r="K190" s="142">
        <f t="shared" si="21"/>
        <v>0</v>
      </c>
      <c r="L190" s="142">
        <f t="shared" si="22"/>
        <v>0</v>
      </c>
      <c r="Q190" s="155"/>
      <c r="R190" s="142"/>
      <c r="S190" s="142"/>
      <c r="T190" s="142"/>
      <c r="U190" s="142"/>
    </row>
    <row r="191" spans="5:21" x14ac:dyDescent="0.35">
      <c r="E191" s="135">
        <v>179</v>
      </c>
      <c r="F191" s="135">
        <v>0</v>
      </c>
      <c r="G191" s="141">
        <f t="shared" si="18"/>
        <v>0</v>
      </c>
      <c r="H191" s="155">
        <f t="shared" si="19"/>
        <v>0</v>
      </c>
      <c r="I191" s="142">
        <f t="shared" si="20"/>
        <v>0</v>
      </c>
      <c r="J191" s="142">
        <f>0</f>
        <v>0</v>
      </c>
      <c r="K191" s="142">
        <f t="shared" si="21"/>
        <v>0</v>
      </c>
      <c r="L191" s="142">
        <f t="shared" si="22"/>
        <v>0</v>
      </c>
      <c r="Q191" s="155"/>
      <c r="R191" s="142"/>
      <c r="S191" s="142"/>
      <c r="T191" s="142"/>
      <c r="U191" s="142"/>
    </row>
    <row r="192" spans="5:21" x14ac:dyDescent="0.35">
      <c r="E192" s="135">
        <v>180</v>
      </c>
      <c r="F192" s="135">
        <v>0</v>
      </c>
      <c r="G192" s="141">
        <f t="shared" si="18"/>
        <v>0</v>
      </c>
      <c r="H192" s="155">
        <f t="shared" si="19"/>
        <v>0</v>
      </c>
      <c r="I192" s="142">
        <f t="shared" si="20"/>
        <v>0</v>
      </c>
      <c r="J192" s="142">
        <f>0</f>
        <v>0</v>
      </c>
      <c r="K192" s="142">
        <f t="shared" si="21"/>
        <v>0</v>
      </c>
      <c r="L192" s="142">
        <f t="shared" si="22"/>
        <v>0</v>
      </c>
      <c r="Q192" s="155"/>
      <c r="R192" s="142"/>
      <c r="S192" s="142"/>
      <c r="T192" s="142"/>
      <c r="U192" s="142"/>
    </row>
    <row r="193" spans="5:21" x14ac:dyDescent="0.35">
      <c r="E193" s="135">
        <v>181</v>
      </c>
      <c r="F193" s="135">
        <v>0</v>
      </c>
      <c r="G193" s="141">
        <f t="shared" si="18"/>
        <v>0</v>
      </c>
      <c r="H193" s="155">
        <f t="shared" si="19"/>
        <v>0</v>
      </c>
      <c r="I193" s="142">
        <f t="shared" si="20"/>
        <v>0</v>
      </c>
      <c r="J193" s="142">
        <f>0</f>
        <v>0</v>
      </c>
      <c r="K193" s="142">
        <f t="shared" si="21"/>
        <v>0</v>
      </c>
      <c r="L193" s="142">
        <f t="shared" si="22"/>
        <v>0</v>
      </c>
      <c r="Q193" s="155"/>
      <c r="R193" s="142"/>
      <c r="S193" s="142"/>
      <c r="T193" s="142"/>
      <c r="U193" s="142"/>
    </row>
    <row r="194" spans="5:21" x14ac:dyDescent="0.35">
      <c r="E194" s="135">
        <v>182</v>
      </c>
      <c r="F194" s="135">
        <v>0</v>
      </c>
      <c r="G194" s="141">
        <f t="shared" si="18"/>
        <v>0</v>
      </c>
      <c r="H194" s="155">
        <f t="shared" si="19"/>
        <v>0</v>
      </c>
      <c r="I194" s="142">
        <f t="shared" si="20"/>
        <v>0</v>
      </c>
      <c r="J194" s="142">
        <f>0</f>
        <v>0</v>
      </c>
      <c r="K194" s="142">
        <f t="shared" si="21"/>
        <v>0</v>
      </c>
      <c r="L194" s="142">
        <f t="shared" si="22"/>
        <v>0</v>
      </c>
      <c r="Q194" s="155"/>
      <c r="R194" s="142"/>
      <c r="S194" s="142"/>
      <c r="T194" s="142"/>
      <c r="U194" s="142"/>
    </row>
    <row r="195" spans="5:21" x14ac:dyDescent="0.35">
      <c r="E195" s="135">
        <v>183</v>
      </c>
      <c r="F195" s="135">
        <v>0</v>
      </c>
      <c r="G195" s="141">
        <f t="shared" si="18"/>
        <v>0</v>
      </c>
      <c r="H195" s="155">
        <f t="shared" si="19"/>
        <v>0</v>
      </c>
      <c r="I195" s="142">
        <f t="shared" si="20"/>
        <v>0</v>
      </c>
      <c r="J195" s="142">
        <f>0</f>
        <v>0</v>
      </c>
      <c r="K195" s="142">
        <f t="shared" si="21"/>
        <v>0</v>
      </c>
      <c r="L195" s="142">
        <f t="shared" si="22"/>
        <v>0</v>
      </c>
      <c r="Q195" s="155"/>
      <c r="R195" s="142"/>
      <c r="S195" s="142"/>
      <c r="T195" s="142"/>
      <c r="U195" s="142"/>
    </row>
    <row r="196" spans="5:21" x14ac:dyDescent="0.35">
      <c r="E196" s="135">
        <v>184</v>
      </c>
      <c r="F196" s="135">
        <v>0</v>
      </c>
      <c r="G196" s="141">
        <f t="shared" si="18"/>
        <v>0</v>
      </c>
      <c r="H196" s="155">
        <f t="shared" si="19"/>
        <v>0</v>
      </c>
      <c r="I196" s="142">
        <f t="shared" si="20"/>
        <v>0</v>
      </c>
      <c r="J196" s="142">
        <f>0</f>
        <v>0</v>
      </c>
      <c r="K196" s="142">
        <f t="shared" si="21"/>
        <v>0</v>
      </c>
      <c r="L196" s="142">
        <f t="shared" si="22"/>
        <v>0</v>
      </c>
      <c r="Q196" s="155"/>
      <c r="R196" s="142"/>
      <c r="S196" s="142"/>
      <c r="T196" s="142"/>
      <c r="U196" s="142"/>
    </row>
    <row r="197" spans="5:21" x14ac:dyDescent="0.35">
      <c r="E197" s="135">
        <v>185</v>
      </c>
      <c r="F197" s="135">
        <v>0</v>
      </c>
      <c r="G197" s="141">
        <f t="shared" si="18"/>
        <v>0</v>
      </c>
      <c r="H197" s="155">
        <f t="shared" si="19"/>
        <v>0</v>
      </c>
      <c r="I197" s="142">
        <f t="shared" si="20"/>
        <v>0</v>
      </c>
      <c r="J197" s="142">
        <f>0</f>
        <v>0</v>
      </c>
      <c r="K197" s="142">
        <f t="shared" si="21"/>
        <v>0</v>
      </c>
      <c r="L197" s="142">
        <f t="shared" si="22"/>
        <v>0</v>
      </c>
      <c r="Q197" s="155"/>
      <c r="R197" s="142"/>
      <c r="S197" s="142"/>
      <c r="T197" s="142"/>
      <c r="U197" s="142"/>
    </row>
    <row r="198" spans="5:21" x14ac:dyDescent="0.35">
      <c r="E198" s="135">
        <v>186</v>
      </c>
      <c r="F198" s="135">
        <v>0</v>
      </c>
      <c r="G198" s="141">
        <f t="shared" si="18"/>
        <v>0</v>
      </c>
      <c r="H198" s="155">
        <f t="shared" si="19"/>
        <v>0</v>
      </c>
      <c r="I198" s="142">
        <f t="shared" si="20"/>
        <v>0</v>
      </c>
      <c r="J198" s="142">
        <f>0</f>
        <v>0</v>
      </c>
      <c r="K198" s="142">
        <f t="shared" si="21"/>
        <v>0</v>
      </c>
      <c r="L198" s="142">
        <f t="shared" si="22"/>
        <v>0</v>
      </c>
      <c r="Q198" s="155"/>
      <c r="R198" s="142"/>
      <c r="S198" s="142"/>
      <c r="T198" s="142"/>
      <c r="U198" s="142"/>
    </row>
    <row r="199" spans="5:21" x14ac:dyDescent="0.35">
      <c r="E199" s="135">
        <v>187</v>
      </c>
      <c r="F199" s="135">
        <v>0</v>
      </c>
      <c r="G199" s="141">
        <f t="shared" si="18"/>
        <v>0</v>
      </c>
      <c r="H199" s="155">
        <f t="shared" si="19"/>
        <v>0</v>
      </c>
      <c r="I199" s="142">
        <f t="shared" si="20"/>
        <v>0</v>
      </c>
      <c r="J199" s="142">
        <f>0</f>
        <v>0</v>
      </c>
      <c r="K199" s="142">
        <f t="shared" si="21"/>
        <v>0</v>
      </c>
      <c r="L199" s="142">
        <f t="shared" si="22"/>
        <v>0</v>
      </c>
      <c r="Q199" s="155"/>
      <c r="R199" s="142"/>
      <c r="S199" s="142"/>
      <c r="T199" s="142"/>
      <c r="U199" s="142"/>
    </row>
    <row r="200" spans="5:21" x14ac:dyDescent="0.35">
      <c r="E200" s="135">
        <v>188</v>
      </c>
      <c r="F200" s="135">
        <v>2</v>
      </c>
      <c r="G200" s="141">
        <f t="shared" si="18"/>
        <v>47.627164489095527</v>
      </c>
      <c r="H200" s="155">
        <f t="shared" si="19"/>
        <v>200</v>
      </c>
      <c r="I200" s="142">
        <f t="shared" si="20"/>
        <v>14500000</v>
      </c>
      <c r="J200" s="142">
        <f>0</f>
        <v>0</v>
      </c>
      <c r="K200" s="142">
        <f t="shared" si="21"/>
        <v>273265.86647854222</v>
      </c>
      <c r="L200" s="142">
        <f t="shared" si="22"/>
        <v>14773265.866478542</v>
      </c>
      <c r="Q200" s="155"/>
      <c r="R200" s="142"/>
      <c r="S200" s="142"/>
      <c r="T200" s="142"/>
      <c r="U200" s="142"/>
    </row>
    <row r="201" spans="5:21" x14ac:dyDescent="0.35">
      <c r="E201" s="135">
        <v>189</v>
      </c>
      <c r="F201" s="135">
        <v>1</v>
      </c>
      <c r="G201" s="141">
        <f t="shared" si="18"/>
        <v>23.813582244547764</v>
      </c>
      <c r="H201" s="155">
        <f t="shared" si="19"/>
        <v>0</v>
      </c>
      <c r="I201" s="142">
        <f t="shared" si="20"/>
        <v>0</v>
      </c>
      <c r="J201" s="142">
        <f>0</f>
        <v>0</v>
      </c>
      <c r="K201" s="142">
        <f t="shared" si="21"/>
        <v>136632.93323927111</v>
      </c>
      <c r="L201" s="142">
        <f t="shared" si="22"/>
        <v>136632.93323927111</v>
      </c>
      <c r="Q201" s="155"/>
      <c r="R201" s="142"/>
      <c r="S201" s="142"/>
      <c r="T201" s="142"/>
      <c r="U201" s="142"/>
    </row>
    <row r="202" spans="5:21" x14ac:dyDescent="0.35">
      <c r="E202" s="135">
        <v>190</v>
      </c>
      <c r="F202" s="135">
        <v>0</v>
      </c>
      <c r="G202" s="141">
        <f t="shared" si="18"/>
        <v>0</v>
      </c>
      <c r="H202" s="155">
        <f t="shared" si="19"/>
        <v>0</v>
      </c>
      <c r="I202" s="142">
        <f t="shared" si="20"/>
        <v>0</v>
      </c>
      <c r="J202" s="142">
        <f>0</f>
        <v>0</v>
      </c>
      <c r="K202" s="142">
        <f t="shared" si="21"/>
        <v>0</v>
      </c>
      <c r="L202" s="142">
        <f t="shared" si="22"/>
        <v>0</v>
      </c>
      <c r="Q202" s="155"/>
      <c r="R202" s="142"/>
      <c r="S202" s="142"/>
      <c r="T202" s="142"/>
      <c r="U202" s="142"/>
    </row>
    <row r="203" spans="5:21" x14ac:dyDescent="0.35">
      <c r="E203" s="135">
        <v>191</v>
      </c>
      <c r="F203" s="135">
        <v>0</v>
      </c>
      <c r="G203" s="141">
        <f t="shared" si="18"/>
        <v>0</v>
      </c>
      <c r="H203" s="155">
        <f t="shared" si="19"/>
        <v>0</v>
      </c>
      <c r="I203" s="142">
        <f t="shared" si="20"/>
        <v>0</v>
      </c>
      <c r="J203" s="142">
        <f>0</f>
        <v>0</v>
      </c>
      <c r="K203" s="142">
        <f t="shared" si="21"/>
        <v>0</v>
      </c>
      <c r="L203" s="142">
        <f t="shared" si="22"/>
        <v>0</v>
      </c>
      <c r="Q203" s="155"/>
      <c r="R203" s="142"/>
      <c r="S203" s="142"/>
      <c r="T203" s="142"/>
      <c r="U203" s="142"/>
    </row>
    <row r="204" spans="5:21" x14ac:dyDescent="0.35">
      <c r="E204" s="135">
        <v>192</v>
      </c>
      <c r="F204" s="135">
        <v>0</v>
      </c>
      <c r="G204" s="141">
        <f t="shared" si="18"/>
        <v>0</v>
      </c>
      <c r="H204" s="155">
        <f t="shared" si="19"/>
        <v>0</v>
      </c>
      <c r="I204" s="142">
        <f t="shared" si="20"/>
        <v>0</v>
      </c>
      <c r="J204" s="142">
        <f>0</f>
        <v>0</v>
      </c>
      <c r="K204" s="142">
        <f t="shared" si="21"/>
        <v>0</v>
      </c>
      <c r="L204" s="142">
        <f t="shared" si="22"/>
        <v>0</v>
      </c>
      <c r="Q204" s="155"/>
      <c r="R204" s="142"/>
      <c r="S204" s="142"/>
      <c r="T204" s="142"/>
      <c r="U204" s="142"/>
    </row>
    <row r="205" spans="5:21" x14ac:dyDescent="0.35">
      <c r="E205" s="135">
        <v>193</v>
      </c>
      <c r="F205" s="135">
        <v>0</v>
      </c>
      <c r="G205" s="141">
        <f t="shared" ref="G205:G268" si="23">F205*$C$9</f>
        <v>0</v>
      </c>
      <c r="H205" s="155">
        <f t="shared" ref="H205:H268" si="24">IF(F205 &gt; 1,$C$13*20000,0)</f>
        <v>0</v>
      </c>
      <c r="I205" s="142">
        <f t="shared" ref="I205:I268" si="25">IF(F205 &gt; 1,$C$4,0)</f>
        <v>0</v>
      </c>
      <c r="J205" s="142">
        <f>0</f>
        <v>0</v>
      </c>
      <c r="K205" s="142">
        <f t="shared" ref="K205:K268" si="26">F205*$C$5</f>
        <v>0</v>
      </c>
      <c r="L205" s="142">
        <f t="shared" ref="L205:L268" si="27">J205+I205+K205</f>
        <v>0</v>
      </c>
      <c r="Q205" s="155"/>
      <c r="R205" s="142"/>
      <c r="S205" s="142"/>
      <c r="T205" s="142"/>
      <c r="U205" s="142"/>
    </row>
    <row r="206" spans="5:21" x14ac:dyDescent="0.35">
      <c r="E206" s="135">
        <v>194</v>
      </c>
      <c r="F206" s="135">
        <v>0</v>
      </c>
      <c r="G206" s="141">
        <f t="shared" si="23"/>
        <v>0</v>
      </c>
      <c r="H206" s="155">
        <f t="shared" si="24"/>
        <v>0</v>
      </c>
      <c r="I206" s="142">
        <f t="shared" si="25"/>
        <v>0</v>
      </c>
      <c r="J206" s="142">
        <f>0</f>
        <v>0</v>
      </c>
      <c r="K206" s="142">
        <f t="shared" si="26"/>
        <v>0</v>
      </c>
      <c r="L206" s="142">
        <f t="shared" si="27"/>
        <v>0</v>
      </c>
      <c r="Q206" s="155"/>
      <c r="R206" s="142"/>
      <c r="S206" s="142"/>
      <c r="T206" s="142"/>
      <c r="U206" s="142"/>
    </row>
    <row r="207" spans="5:21" x14ac:dyDescent="0.35">
      <c r="E207" s="135">
        <v>195</v>
      </c>
      <c r="F207" s="135">
        <v>0</v>
      </c>
      <c r="G207" s="141">
        <f t="shared" si="23"/>
        <v>0</v>
      </c>
      <c r="H207" s="155">
        <f t="shared" si="24"/>
        <v>0</v>
      </c>
      <c r="I207" s="142">
        <f t="shared" si="25"/>
        <v>0</v>
      </c>
      <c r="J207" s="142">
        <f>0</f>
        <v>0</v>
      </c>
      <c r="K207" s="142">
        <f t="shared" si="26"/>
        <v>0</v>
      </c>
      <c r="L207" s="142">
        <f t="shared" si="27"/>
        <v>0</v>
      </c>
      <c r="Q207" s="155"/>
      <c r="R207" s="142"/>
      <c r="S207" s="142"/>
      <c r="T207" s="142"/>
      <c r="U207" s="142"/>
    </row>
    <row r="208" spans="5:21" x14ac:dyDescent="0.35">
      <c r="E208" s="135">
        <v>196</v>
      </c>
      <c r="F208" s="135">
        <v>1</v>
      </c>
      <c r="G208" s="141">
        <f t="shared" si="23"/>
        <v>23.813582244547764</v>
      </c>
      <c r="H208" s="155">
        <f t="shared" si="24"/>
        <v>0</v>
      </c>
      <c r="I208" s="142">
        <f t="shared" si="25"/>
        <v>0</v>
      </c>
      <c r="J208" s="142">
        <f>0</f>
        <v>0</v>
      </c>
      <c r="K208" s="142">
        <f t="shared" si="26"/>
        <v>136632.93323927111</v>
      </c>
      <c r="L208" s="142">
        <f t="shared" si="27"/>
        <v>136632.93323927111</v>
      </c>
      <c r="Q208" s="155"/>
      <c r="R208" s="142"/>
      <c r="S208" s="142"/>
      <c r="T208" s="142"/>
      <c r="U208" s="142"/>
    </row>
    <row r="209" spans="5:21" x14ac:dyDescent="0.35">
      <c r="E209" s="135">
        <v>197</v>
      </c>
      <c r="F209" s="135">
        <v>0</v>
      </c>
      <c r="G209" s="141">
        <f t="shared" si="23"/>
        <v>0</v>
      </c>
      <c r="H209" s="155">
        <f t="shared" si="24"/>
        <v>0</v>
      </c>
      <c r="I209" s="142">
        <f t="shared" si="25"/>
        <v>0</v>
      </c>
      <c r="J209" s="142">
        <f>0</f>
        <v>0</v>
      </c>
      <c r="K209" s="142">
        <f t="shared" si="26"/>
        <v>0</v>
      </c>
      <c r="L209" s="142">
        <f t="shared" si="27"/>
        <v>0</v>
      </c>
      <c r="Q209" s="155"/>
      <c r="R209" s="142"/>
      <c r="S209" s="142"/>
      <c r="T209" s="142"/>
      <c r="U209" s="142"/>
    </row>
    <row r="210" spans="5:21" x14ac:dyDescent="0.35">
      <c r="E210" s="135">
        <v>198</v>
      </c>
      <c r="F210" s="135">
        <v>1</v>
      </c>
      <c r="G210" s="141">
        <f t="shared" si="23"/>
        <v>23.813582244547764</v>
      </c>
      <c r="H210" s="155">
        <f t="shared" si="24"/>
        <v>0</v>
      </c>
      <c r="I210" s="142">
        <f t="shared" si="25"/>
        <v>0</v>
      </c>
      <c r="J210" s="142">
        <f>0</f>
        <v>0</v>
      </c>
      <c r="K210" s="142">
        <f t="shared" si="26"/>
        <v>136632.93323927111</v>
      </c>
      <c r="L210" s="142">
        <f t="shared" si="27"/>
        <v>136632.93323927111</v>
      </c>
      <c r="Q210" s="155"/>
      <c r="R210" s="142"/>
      <c r="S210" s="142"/>
      <c r="T210" s="142"/>
      <c r="U210" s="142"/>
    </row>
    <row r="211" spans="5:21" x14ac:dyDescent="0.35">
      <c r="E211" s="135">
        <v>199</v>
      </c>
      <c r="F211" s="135">
        <v>1</v>
      </c>
      <c r="G211" s="141">
        <f t="shared" si="23"/>
        <v>23.813582244547764</v>
      </c>
      <c r="H211" s="155">
        <f t="shared" si="24"/>
        <v>0</v>
      </c>
      <c r="I211" s="142">
        <f t="shared" si="25"/>
        <v>0</v>
      </c>
      <c r="J211" s="142">
        <f>0</f>
        <v>0</v>
      </c>
      <c r="K211" s="142">
        <f t="shared" si="26"/>
        <v>136632.93323927111</v>
      </c>
      <c r="L211" s="142">
        <f t="shared" si="27"/>
        <v>136632.93323927111</v>
      </c>
      <c r="Q211" s="155"/>
      <c r="R211" s="142"/>
      <c r="S211" s="142"/>
      <c r="T211" s="142"/>
      <c r="U211" s="142"/>
    </row>
    <row r="212" spans="5:21" x14ac:dyDescent="0.35">
      <c r="E212" s="135">
        <v>200</v>
      </c>
      <c r="F212" s="135">
        <v>0</v>
      </c>
      <c r="G212" s="141">
        <f t="shared" si="23"/>
        <v>0</v>
      </c>
      <c r="H212" s="155">
        <f t="shared" si="24"/>
        <v>0</v>
      </c>
      <c r="I212" s="142">
        <f t="shared" si="25"/>
        <v>0</v>
      </c>
      <c r="J212" s="142">
        <f>0</f>
        <v>0</v>
      </c>
      <c r="K212" s="142">
        <f t="shared" si="26"/>
        <v>0</v>
      </c>
      <c r="L212" s="142">
        <f t="shared" si="27"/>
        <v>0</v>
      </c>
      <c r="Q212" s="155"/>
      <c r="R212" s="142"/>
      <c r="S212" s="142"/>
      <c r="T212" s="142"/>
      <c r="U212" s="142"/>
    </row>
    <row r="213" spans="5:21" x14ac:dyDescent="0.35">
      <c r="E213" s="135">
        <v>201</v>
      </c>
      <c r="F213" s="135">
        <v>0</v>
      </c>
      <c r="G213" s="141">
        <f t="shared" si="23"/>
        <v>0</v>
      </c>
      <c r="H213" s="155">
        <f t="shared" si="24"/>
        <v>0</v>
      </c>
      <c r="I213" s="142">
        <f t="shared" si="25"/>
        <v>0</v>
      </c>
      <c r="J213" s="142">
        <f>0</f>
        <v>0</v>
      </c>
      <c r="K213" s="142">
        <f t="shared" si="26"/>
        <v>0</v>
      </c>
      <c r="L213" s="142">
        <f t="shared" si="27"/>
        <v>0</v>
      </c>
      <c r="Q213" s="155"/>
      <c r="R213" s="142"/>
      <c r="S213" s="142"/>
      <c r="T213" s="142"/>
      <c r="U213" s="142"/>
    </row>
    <row r="214" spans="5:21" x14ac:dyDescent="0.35">
      <c r="E214" s="135">
        <v>202</v>
      </c>
      <c r="F214" s="135">
        <v>0</v>
      </c>
      <c r="G214" s="141">
        <f t="shared" si="23"/>
        <v>0</v>
      </c>
      <c r="H214" s="155">
        <f t="shared" si="24"/>
        <v>0</v>
      </c>
      <c r="I214" s="142">
        <f t="shared" si="25"/>
        <v>0</v>
      </c>
      <c r="J214" s="142">
        <f>0</f>
        <v>0</v>
      </c>
      <c r="K214" s="142">
        <f t="shared" si="26"/>
        <v>0</v>
      </c>
      <c r="L214" s="142">
        <f t="shared" si="27"/>
        <v>0</v>
      </c>
      <c r="Q214" s="155"/>
      <c r="R214" s="142"/>
      <c r="S214" s="142"/>
      <c r="T214" s="142"/>
      <c r="U214" s="142"/>
    </row>
    <row r="215" spans="5:21" x14ac:dyDescent="0.35">
      <c r="E215" s="135">
        <v>203</v>
      </c>
      <c r="F215" s="135">
        <v>0</v>
      </c>
      <c r="G215" s="141">
        <f t="shared" si="23"/>
        <v>0</v>
      </c>
      <c r="H215" s="155">
        <f t="shared" si="24"/>
        <v>0</v>
      </c>
      <c r="I215" s="142">
        <f t="shared" si="25"/>
        <v>0</v>
      </c>
      <c r="J215" s="142">
        <f>0</f>
        <v>0</v>
      </c>
      <c r="K215" s="142">
        <f t="shared" si="26"/>
        <v>0</v>
      </c>
      <c r="L215" s="142">
        <f t="shared" si="27"/>
        <v>0</v>
      </c>
      <c r="Q215" s="155"/>
      <c r="R215" s="142"/>
      <c r="S215" s="142"/>
      <c r="T215" s="142"/>
      <c r="U215" s="142"/>
    </row>
    <row r="216" spans="5:21" x14ac:dyDescent="0.35">
      <c r="E216" s="135">
        <v>204</v>
      </c>
      <c r="F216" s="135">
        <v>2</v>
      </c>
      <c r="G216" s="141">
        <f t="shared" si="23"/>
        <v>47.627164489095527</v>
      </c>
      <c r="H216" s="155">
        <f t="shared" si="24"/>
        <v>200</v>
      </c>
      <c r="I216" s="142">
        <f t="shared" si="25"/>
        <v>14500000</v>
      </c>
      <c r="J216" s="142">
        <f>0</f>
        <v>0</v>
      </c>
      <c r="K216" s="142">
        <f t="shared" si="26"/>
        <v>273265.86647854222</v>
      </c>
      <c r="L216" s="142">
        <f t="shared" si="27"/>
        <v>14773265.866478542</v>
      </c>
      <c r="Q216" s="155"/>
      <c r="R216" s="142"/>
      <c r="S216" s="142"/>
      <c r="T216" s="142"/>
      <c r="U216" s="142"/>
    </row>
    <row r="217" spans="5:21" x14ac:dyDescent="0.35">
      <c r="E217" s="135">
        <v>205</v>
      </c>
      <c r="F217" s="135">
        <v>0</v>
      </c>
      <c r="G217" s="141">
        <f t="shared" si="23"/>
        <v>0</v>
      </c>
      <c r="H217" s="155">
        <f t="shared" si="24"/>
        <v>0</v>
      </c>
      <c r="I217" s="142">
        <f t="shared" si="25"/>
        <v>0</v>
      </c>
      <c r="J217" s="142">
        <f>0</f>
        <v>0</v>
      </c>
      <c r="K217" s="142">
        <f t="shared" si="26"/>
        <v>0</v>
      </c>
      <c r="L217" s="142">
        <f t="shared" si="27"/>
        <v>0</v>
      </c>
      <c r="Q217" s="155"/>
      <c r="R217" s="142"/>
      <c r="S217" s="142"/>
      <c r="T217" s="142"/>
      <c r="U217" s="142"/>
    </row>
    <row r="218" spans="5:21" x14ac:dyDescent="0.35">
      <c r="E218" s="135">
        <v>206</v>
      </c>
      <c r="F218" s="135">
        <v>2</v>
      </c>
      <c r="G218" s="141">
        <f t="shared" si="23"/>
        <v>47.627164489095527</v>
      </c>
      <c r="H218" s="155">
        <f t="shared" si="24"/>
        <v>200</v>
      </c>
      <c r="I218" s="142">
        <f t="shared" si="25"/>
        <v>14500000</v>
      </c>
      <c r="J218" s="142">
        <f>0</f>
        <v>0</v>
      </c>
      <c r="K218" s="142">
        <f t="shared" si="26"/>
        <v>273265.86647854222</v>
      </c>
      <c r="L218" s="142">
        <f t="shared" si="27"/>
        <v>14773265.866478542</v>
      </c>
      <c r="Q218" s="155"/>
      <c r="R218" s="142"/>
      <c r="S218" s="142"/>
      <c r="T218" s="142"/>
      <c r="U218" s="142"/>
    </row>
    <row r="219" spans="5:21" x14ac:dyDescent="0.35">
      <c r="E219" s="135">
        <v>207</v>
      </c>
      <c r="F219" s="135">
        <v>0</v>
      </c>
      <c r="G219" s="141">
        <f t="shared" si="23"/>
        <v>0</v>
      </c>
      <c r="H219" s="155">
        <f t="shared" si="24"/>
        <v>0</v>
      </c>
      <c r="I219" s="142">
        <f t="shared" si="25"/>
        <v>0</v>
      </c>
      <c r="J219" s="142">
        <f>0</f>
        <v>0</v>
      </c>
      <c r="K219" s="142">
        <f t="shared" si="26"/>
        <v>0</v>
      </c>
      <c r="L219" s="142">
        <f t="shared" si="27"/>
        <v>0</v>
      </c>
      <c r="Q219" s="155"/>
      <c r="R219" s="142"/>
      <c r="S219" s="142"/>
      <c r="T219" s="142"/>
      <c r="U219" s="142"/>
    </row>
    <row r="220" spans="5:21" x14ac:dyDescent="0.35">
      <c r="E220" s="135">
        <v>208</v>
      </c>
      <c r="F220" s="135">
        <v>1</v>
      </c>
      <c r="G220" s="141">
        <f t="shared" si="23"/>
        <v>23.813582244547764</v>
      </c>
      <c r="H220" s="155">
        <f t="shared" si="24"/>
        <v>0</v>
      </c>
      <c r="I220" s="142">
        <f t="shared" si="25"/>
        <v>0</v>
      </c>
      <c r="J220" s="142">
        <f>0</f>
        <v>0</v>
      </c>
      <c r="K220" s="142">
        <f t="shared" si="26"/>
        <v>136632.93323927111</v>
      </c>
      <c r="L220" s="142">
        <f t="shared" si="27"/>
        <v>136632.93323927111</v>
      </c>
      <c r="Q220" s="155"/>
      <c r="R220" s="142"/>
      <c r="S220" s="142"/>
      <c r="T220" s="142"/>
      <c r="U220" s="142"/>
    </row>
    <row r="221" spans="5:21" x14ac:dyDescent="0.35">
      <c r="E221" s="135">
        <v>209</v>
      </c>
      <c r="F221" s="135">
        <v>0</v>
      </c>
      <c r="G221" s="141">
        <f t="shared" si="23"/>
        <v>0</v>
      </c>
      <c r="H221" s="155">
        <f t="shared" si="24"/>
        <v>0</v>
      </c>
      <c r="I221" s="142">
        <f t="shared" si="25"/>
        <v>0</v>
      </c>
      <c r="J221" s="142">
        <f>0</f>
        <v>0</v>
      </c>
      <c r="K221" s="142">
        <f t="shared" si="26"/>
        <v>0</v>
      </c>
      <c r="L221" s="142">
        <f t="shared" si="27"/>
        <v>0</v>
      </c>
      <c r="Q221" s="155"/>
      <c r="R221" s="142"/>
      <c r="S221" s="142"/>
      <c r="T221" s="142"/>
      <c r="U221" s="142"/>
    </row>
    <row r="222" spans="5:21" x14ac:dyDescent="0.35">
      <c r="E222" s="135">
        <v>210</v>
      </c>
      <c r="F222" s="135">
        <v>0</v>
      </c>
      <c r="G222" s="141">
        <f t="shared" si="23"/>
        <v>0</v>
      </c>
      <c r="H222" s="155">
        <f t="shared" si="24"/>
        <v>0</v>
      </c>
      <c r="I222" s="142">
        <f t="shared" si="25"/>
        <v>0</v>
      </c>
      <c r="J222" s="142">
        <f>0</f>
        <v>0</v>
      </c>
      <c r="K222" s="142">
        <f t="shared" si="26"/>
        <v>0</v>
      </c>
      <c r="L222" s="142">
        <f t="shared" si="27"/>
        <v>0</v>
      </c>
      <c r="Q222" s="155"/>
      <c r="R222" s="142"/>
      <c r="S222" s="142"/>
      <c r="T222" s="142"/>
      <c r="U222" s="142"/>
    </row>
    <row r="223" spans="5:21" x14ac:dyDescent="0.35">
      <c r="E223" s="135">
        <v>211</v>
      </c>
      <c r="F223" s="135">
        <v>0</v>
      </c>
      <c r="G223" s="141">
        <f t="shared" si="23"/>
        <v>0</v>
      </c>
      <c r="H223" s="155">
        <f t="shared" si="24"/>
        <v>0</v>
      </c>
      <c r="I223" s="142">
        <f t="shared" si="25"/>
        <v>0</v>
      </c>
      <c r="J223" s="142">
        <f>0</f>
        <v>0</v>
      </c>
      <c r="K223" s="142">
        <f t="shared" si="26"/>
        <v>0</v>
      </c>
      <c r="L223" s="142">
        <f t="shared" si="27"/>
        <v>0</v>
      </c>
      <c r="Q223" s="155"/>
      <c r="R223" s="142"/>
      <c r="S223" s="142"/>
      <c r="T223" s="142"/>
      <c r="U223" s="142"/>
    </row>
    <row r="224" spans="5:21" x14ac:dyDescent="0.35">
      <c r="E224" s="135">
        <v>212</v>
      </c>
      <c r="F224" s="135">
        <v>1</v>
      </c>
      <c r="G224" s="141">
        <f t="shared" si="23"/>
        <v>23.813582244547764</v>
      </c>
      <c r="H224" s="155">
        <f t="shared" si="24"/>
        <v>0</v>
      </c>
      <c r="I224" s="142">
        <f t="shared" si="25"/>
        <v>0</v>
      </c>
      <c r="J224" s="142">
        <f>0</f>
        <v>0</v>
      </c>
      <c r="K224" s="142">
        <f t="shared" si="26"/>
        <v>136632.93323927111</v>
      </c>
      <c r="L224" s="142">
        <f t="shared" si="27"/>
        <v>136632.93323927111</v>
      </c>
      <c r="Q224" s="155"/>
      <c r="R224" s="142"/>
      <c r="S224" s="142"/>
      <c r="T224" s="142"/>
      <c r="U224" s="142"/>
    </row>
    <row r="225" spans="5:21" x14ac:dyDescent="0.35">
      <c r="E225" s="135">
        <v>213</v>
      </c>
      <c r="F225" s="135">
        <v>0</v>
      </c>
      <c r="G225" s="141">
        <f t="shared" si="23"/>
        <v>0</v>
      </c>
      <c r="H225" s="155">
        <f t="shared" si="24"/>
        <v>0</v>
      </c>
      <c r="I225" s="142">
        <f t="shared" si="25"/>
        <v>0</v>
      </c>
      <c r="J225" s="142">
        <f>0</f>
        <v>0</v>
      </c>
      <c r="K225" s="142">
        <f t="shared" si="26"/>
        <v>0</v>
      </c>
      <c r="L225" s="142">
        <f t="shared" si="27"/>
        <v>0</v>
      </c>
      <c r="Q225" s="155"/>
      <c r="R225" s="142"/>
      <c r="S225" s="142"/>
      <c r="T225" s="142"/>
      <c r="U225" s="142"/>
    </row>
    <row r="226" spans="5:21" x14ac:dyDescent="0.35">
      <c r="E226" s="135">
        <v>214</v>
      </c>
      <c r="F226" s="135">
        <v>0</v>
      </c>
      <c r="G226" s="141">
        <f t="shared" si="23"/>
        <v>0</v>
      </c>
      <c r="H226" s="155">
        <f t="shared" si="24"/>
        <v>0</v>
      </c>
      <c r="I226" s="142">
        <f t="shared" si="25"/>
        <v>0</v>
      </c>
      <c r="J226" s="142">
        <f>0</f>
        <v>0</v>
      </c>
      <c r="K226" s="142">
        <f t="shared" si="26"/>
        <v>0</v>
      </c>
      <c r="L226" s="142">
        <f t="shared" si="27"/>
        <v>0</v>
      </c>
      <c r="Q226" s="155"/>
      <c r="R226" s="142"/>
      <c r="S226" s="142"/>
      <c r="T226" s="142"/>
      <c r="U226" s="142"/>
    </row>
    <row r="227" spans="5:21" x14ac:dyDescent="0.35">
      <c r="E227" s="135">
        <v>215</v>
      </c>
      <c r="F227" s="135">
        <v>2</v>
      </c>
      <c r="G227" s="141">
        <f t="shared" si="23"/>
        <v>47.627164489095527</v>
      </c>
      <c r="H227" s="155">
        <f t="shared" si="24"/>
        <v>200</v>
      </c>
      <c r="I227" s="142">
        <f t="shared" si="25"/>
        <v>14500000</v>
      </c>
      <c r="J227" s="142">
        <f>0</f>
        <v>0</v>
      </c>
      <c r="K227" s="142">
        <f t="shared" si="26"/>
        <v>273265.86647854222</v>
      </c>
      <c r="L227" s="142">
        <f t="shared" si="27"/>
        <v>14773265.866478542</v>
      </c>
      <c r="Q227" s="155"/>
      <c r="R227" s="142"/>
      <c r="S227" s="142"/>
      <c r="T227" s="142"/>
      <c r="U227" s="142"/>
    </row>
    <row r="228" spans="5:21" x14ac:dyDescent="0.35">
      <c r="E228" s="135">
        <v>216</v>
      </c>
      <c r="F228" s="135">
        <v>1</v>
      </c>
      <c r="G228" s="141">
        <f t="shared" si="23"/>
        <v>23.813582244547764</v>
      </c>
      <c r="H228" s="155">
        <f t="shared" si="24"/>
        <v>0</v>
      </c>
      <c r="I228" s="142">
        <f t="shared" si="25"/>
        <v>0</v>
      </c>
      <c r="J228" s="142">
        <f>0</f>
        <v>0</v>
      </c>
      <c r="K228" s="142">
        <f t="shared" si="26"/>
        <v>136632.93323927111</v>
      </c>
      <c r="L228" s="142">
        <f t="shared" si="27"/>
        <v>136632.93323927111</v>
      </c>
      <c r="Q228" s="155"/>
      <c r="R228" s="142"/>
      <c r="S228" s="142"/>
      <c r="T228" s="142"/>
      <c r="U228" s="142"/>
    </row>
    <row r="229" spans="5:21" x14ac:dyDescent="0.35">
      <c r="E229" s="135">
        <v>217</v>
      </c>
      <c r="F229" s="135">
        <v>1</v>
      </c>
      <c r="G229" s="141">
        <f t="shared" si="23"/>
        <v>23.813582244547764</v>
      </c>
      <c r="H229" s="155">
        <f t="shared" si="24"/>
        <v>0</v>
      </c>
      <c r="I229" s="142">
        <f t="shared" si="25"/>
        <v>0</v>
      </c>
      <c r="J229" s="142">
        <f>0</f>
        <v>0</v>
      </c>
      <c r="K229" s="142">
        <f t="shared" si="26"/>
        <v>136632.93323927111</v>
      </c>
      <c r="L229" s="142">
        <f t="shared" si="27"/>
        <v>136632.93323927111</v>
      </c>
      <c r="Q229" s="155"/>
      <c r="R229" s="142"/>
      <c r="S229" s="142"/>
      <c r="T229" s="142"/>
      <c r="U229" s="142"/>
    </row>
    <row r="230" spans="5:21" x14ac:dyDescent="0.35">
      <c r="E230" s="135">
        <v>218</v>
      </c>
      <c r="F230" s="135">
        <v>0</v>
      </c>
      <c r="G230" s="141">
        <f t="shared" si="23"/>
        <v>0</v>
      </c>
      <c r="H230" s="155">
        <f t="shared" si="24"/>
        <v>0</v>
      </c>
      <c r="I230" s="142">
        <f t="shared" si="25"/>
        <v>0</v>
      </c>
      <c r="J230" s="142">
        <f>0</f>
        <v>0</v>
      </c>
      <c r="K230" s="142">
        <f t="shared" si="26"/>
        <v>0</v>
      </c>
      <c r="L230" s="142">
        <f t="shared" si="27"/>
        <v>0</v>
      </c>
      <c r="Q230" s="155"/>
      <c r="R230" s="142"/>
      <c r="S230" s="142"/>
      <c r="T230" s="142"/>
      <c r="U230" s="142"/>
    </row>
    <row r="231" spans="5:21" x14ac:dyDescent="0.35">
      <c r="E231" s="135">
        <v>219</v>
      </c>
      <c r="F231" s="135">
        <v>2</v>
      </c>
      <c r="G231" s="141">
        <f t="shared" si="23"/>
        <v>47.627164489095527</v>
      </c>
      <c r="H231" s="155">
        <f t="shared" si="24"/>
        <v>200</v>
      </c>
      <c r="I231" s="142">
        <f t="shared" si="25"/>
        <v>14500000</v>
      </c>
      <c r="J231" s="142">
        <f>0</f>
        <v>0</v>
      </c>
      <c r="K231" s="142">
        <f t="shared" si="26"/>
        <v>273265.86647854222</v>
      </c>
      <c r="L231" s="142">
        <f t="shared" si="27"/>
        <v>14773265.866478542</v>
      </c>
      <c r="Q231" s="155"/>
      <c r="R231" s="142"/>
      <c r="S231" s="142"/>
      <c r="T231" s="142"/>
      <c r="U231" s="142"/>
    </row>
    <row r="232" spans="5:21" x14ac:dyDescent="0.35">
      <c r="E232" s="135">
        <v>220</v>
      </c>
      <c r="F232" s="135">
        <v>1</v>
      </c>
      <c r="G232" s="141">
        <f t="shared" si="23"/>
        <v>23.813582244547764</v>
      </c>
      <c r="H232" s="155">
        <f t="shared" si="24"/>
        <v>0</v>
      </c>
      <c r="I232" s="142">
        <f t="shared" si="25"/>
        <v>0</v>
      </c>
      <c r="J232" s="142">
        <f>0</f>
        <v>0</v>
      </c>
      <c r="K232" s="142">
        <f t="shared" si="26"/>
        <v>136632.93323927111</v>
      </c>
      <c r="L232" s="142">
        <f t="shared" si="27"/>
        <v>136632.93323927111</v>
      </c>
      <c r="Q232" s="155"/>
      <c r="R232" s="142"/>
      <c r="S232" s="142"/>
      <c r="T232" s="142"/>
      <c r="U232" s="142"/>
    </row>
    <row r="233" spans="5:21" x14ac:dyDescent="0.35">
      <c r="E233" s="135">
        <v>221</v>
      </c>
      <c r="F233" s="135">
        <v>1</v>
      </c>
      <c r="G233" s="141">
        <f t="shared" si="23"/>
        <v>23.813582244547764</v>
      </c>
      <c r="H233" s="155">
        <f t="shared" si="24"/>
        <v>0</v>
      </c>
      <c r="I233" s="142">
        <f t="shared" si="25"/>
        <v>0</v>
      </c>
      <c r="J233" s="142">
        <f>0</f>
        <v>0</v>
      </c>
      <c r="K233" s="142">
        <f t="shared" si="26"/>
        <v>136632.93323927111</v>
      </c>
      <c r="L233" s="142">
        <f t="shared" si="27"/>
        <v>136632.93323927111</v>
      </c>
      <c r="Q233" s="155"/>
      <c r="R233" s="142"/>
      <c r="S233" s="142"/>
      <c r="T233" s="142"/>
      <c r="U233" s="142"/>
    </row>
    <row r="234" spans="5:21" x14ac:dyDescent="0.35">
      <c r="E234" s="135">
        <v>222</v>
      </c>
      <c r="F234" s="135">
        <v>0</v>
      </c>
      <c r="G234" s="141">
        <f t="shared" si="23"/>
        <v>0</v>
      </c>
      <c r="H234" s="155">
        <f t="shared" si="24"/>
        <v>0</v>
      </c>
      <c r="I234" s="142">
        <f t="shared" si="25"/>
        <v>0</v>
      </c>
      <c r="J234" s="142">
        <f>0</f>
        <v>0</v>
      </c>
      <c r="K234" s="142">
        <f t="shared" si="26"/>
        <v>0</v>
      </c>
      <c r="L234" s="142">
        <f t="shared" si="27"/>
        <v>0</v>
      </c>
      <c r="Q234" s="155"/>
      <c r="R234" s="142"/>
      <c r="S234" s="142"/>
      <c r="T234" s="142"/>
      <c r="U234" s="142"/>
    </row>
    <row r="235" spans="5:21" x14ac:dyDescent="0.35">
      <c r="E235" s="135">
        <v>223</v>
      </c>
      <c r="F235" s="135">
        <v>0</v>
      </c>
      <c r="G235" s="141">
        <f t="shared" si="23"/>
        <v>0</v>
      </c>
      <c r="H235" s="155">
        <f t="shared" si="24"/>
        <v>0</v>
      </c>
      <c r="I235" s="142">
        <f t="shared" si="25"/>
        <v>0</v>
      </c>
      <c r="J235" s="142">
        <f>0</f>
        <v>0</v>
      </c>
      <c r="K235" s="142">
        <f t="shared" si="26"/>
        <v>0</v>
      </c>
      <c r="L235" s="142">
        <f t="shared" si="27"/>
        <v>0</v>
      </c>
      <c r="Q235" s="155"/>
      <c r="R235" s="142"/>
      <c r="S235" s="142"/>
      <c r="T235" s="142"/>
      <c r="U235" s="142"/>
    </row>
    <row r="236" spans="5:21" x14ac:dyDescent="0.35">
      <c r="E236" s="135">
        <v>224</v>
      </c>
      <c r="F236" s="135">
        <v>1</v>
      </c>
      <c r="G236" s="141">
        <f t="shared" si="23"/>
        <v>23.813582244547764</v>
      </c>
      <c r="H236" s="155">
        <f t="shared" si="24"/>
        <v>0</v>
      </c>
      <c r="I236" s="142">
        <f t="shared" si="25"/>
        <v>0</v>
      </c>
      <c r="J236" s="142">
        <f>0</f>
        <v>0</v>
      </c>
      <c r="K236" s="142">
        <f t="shared" si="26"/>
        <v>136632.93323927111</v>
      </c>
      <c r="L236" s="142">
        <f t="shared" si="27"/>
        <v>136632.93323927111</v>
      </c>
      <c r="Q236" s="155"/>
      <c r="R236" s="142"/>
      <c r="S236" s="142"/>
      <c r="T236" s="142"/>
      <c r="U236" s="142"/>
    </row>
    <row r="237" spans="5:21" x14ac:dyDescent="0.35">
      <c r="E237" s="135">
        <v>225</v>
      </c>
      <c r="F237" s="135">
        <v>0</v>
      </c>
      <c r="G237" s="141">
        <f t="shared" si="23"/>
        <v>0</v>
      </c>
      <c r="H237" s="155">
        <f t="shared" si="24"/>
        <v>0</v>
      </c>
      <c r="I237" s="142">
        <f t="shared" si="25"/>
        <v>0</v>
      </c>
      <c r="J237" s="142">
        <f>0</f>
        <v>0</v>
      </c>
      <c r="K237" s="142">
        <f t="shared" si="26"/>
        <v>0</v>
      </c>
      <c r="L237" s="142">
        <f t="shared" si="27"/>
        <v>0</v>
      </c>
      <c r="Q237" s="155"/>
      <c r="R237" s="142"/>
      <c r="S237" s="142"/>
      <c r="T237" s="142"/>
      <c r="U237" s="142"/>
    </row>
    <row r="238" spans="5:21" x14ac:dyDescent="0.35">
      <c r="E238" s="135">
        <v>226</v>
      </c>
      <c r="F238" s="135">
        <v>0</v>
      </c>
      <c r="G238" s="141">
        <f t="shared" si="23"/>
        <v>0</v>
      </c>
      <c r="H238" s="155">
        <f t="shared" si="24"/>
        <v>0</v>
      </c>
      <c r="I238" s="142">
        <f t="shared" si="25"/>
        <v>0</v>
      </c>
      <c r="J238" s="142">
        <f>0</f>
        <v>0</v>
      </c>
      <c r="K238" s="142">
        <f t="shared" si="26"/>
        <v>0</v>
      </c>
      <c r="L238" s="142">
        <f t="shared" si="27"/>
        <v>0</v>
      </c>
      <c r="Q238" s="155"/>
      <c r="R238" s="142"/>
      <c r="S238" s="142"/>
      <c r="T238" s="142"/>
      <c r="U238" s="142"/>
    </row>
    <row r="239" spans="5:21" x14ac:dyDescent="0.35">
      <c r="E239" s="135">
        <v>227</v>
      </c>
      <c r="F239" s="135">
        <v>0</v>
      </c>
      <c r="G239" s="141">
        <f t="shared" si="23"/>
        <v>0</v>
      </c>
      <c r="H239" s="155">
        <f t="shared" si="24"/>
        <v>0</v>
      </c>
      <c r="I239" s="142">
        <f t="shared" si="25"/>
        <v>0</v>
      </c>
      <c r="J239" s="142">
        <f>0</f>
        <v>0</v>
      </c>
      <c r="K239" s="142">
        <f t="shared" si="26"/>
        <v>0</v>
      </c>
      <c r="L239" s="142">
        <f t="shared" si="27"/>
        <v>0</v>
      </c>
      <c r="Q239" s="155"/>
      <c r="R239" s="142"/>
      <c r="S239" s="142"/>
      <c r="T239" s="142"/>
      <c r="U239" s="142"/>
    </row>
    <row r="240" spans="5:21" x14ac:dyDescent="0.35">
      <c r="E240" s="135">
        <v>228</v>
      </c>
      <c r="F240" s="135">
        <v>0</v>
      </c>
      <c r="G240" s="141">
        <f t="shared" si="23"/>
        <v>0</v>
      </c>
      <c r="H240" s="155">
        <f t="shared" si="24"/>
        <v>0</v>
      </c>
      <c r="I240" s="142">
        <f t="shared" si="25"/>
        <v>0</v>
      </c>
      <c r="J240" s="142">
        <f>0</f>
        <v>0</v>
      </c>
      <c r="K240" s="142">
        <f t="shared" si="26"/>
        <v>0</v>
      </c>
      <c r="L240" s="142">
        <f t="shared" si="27"/>
        <v>0</v>
      </c>
      <c r="Q240" s="155"/>
      <c r="R240" s="142"/>
      <c r="S240" s="142"/>
      <c r="T240" s="142"/>
      <c r="U240" s="142"/>
    </row>
    <row r="241" spans="5:21" x14ac:dyDescent="0.35">
      <c r="E241" s="135">
        <v>229</v>
      </c>
      <c r="F241" s="135">
        <v>0</v>
      </c>
      <c r="G241" s="141">
        <f t="shared" si="23"/>
        <v>0</v>
      </c>
      <c r="H241" s="155">
        <f t="shared" si="24"/>
        <v>0</v>
      </c>
      <c r="I241" s="142">
        <f t="shared" si="25"/>
        <v>0</v>
      </c>
      <c r="J241" s="142">
        <f>0</f>
        <v>0</v>
      </c>
      <c r="K241" s="142">
        <f t="shared" si="26"/>
        <v>0</v>
      </c>
      <c r="L241" s="142">
        <f t="shared" si="27"/>
        <v>0</v>
      </c>
      <c r="Q241" s="155"/>
      <c r="R241" s="142"/>
      <c r="S241" s="142"/>
      <c r="T241" s="142"/>
      <c r="U241" s="142"/>
    </row>
    <row r="242" spans="5:21" x14ac:dyDescent="0.35">
      <c r="E242" s="135">
        <v>230</v>
      </c>
      <c r="F242" s="135">
        <v>1</v>
      </c>
      <c r="G242" s="141">
        <f t="shared" si="23"/>
        <v>23.813582244547764</v>
      </c>
      <c r="H242" s="155">
        <f t="shared" si="24"/>
        <v>0</v>
      </c>
      <c r="I242" s="142">
        <f t="shared" si="25"/>
        <v>0</v>
      </c>
      <c r="J242" s="142">
        <f>0</f>
        <v>0</v>
      </c>
      <c r="K242" s="142">
        <f t="shared" si="26"/>
        <v>136632.93323927111</v>
      </c>
      <c r="L242" s="142">
        <f t="shared" si="27"/>
        <v>136632.93323927111</v>
      </c>
      <c r="Q242" s="155"/>
      <c r="R242" s="142"/>
      <c r="S242" s="142"/>
      <c r="T242" s="142"/>
      <c r="U242" s="142"/>
    </row>
    <row r="243" spans="5:21" x14ac:dyDescent="0.35">
      <c r="E243" s="135">
        <v>231</v>
      </c>
      <c r="F243" s="135">
        <v>0</v>
      </c>
      <c r="G243" s="141">
        <f t="shared" si="23"/>
        <v>0</v>
      </c>
      <c r="H243" s="155">
        <f t="shared" si="24"/>
        <v>0</v>
      </c>
      <c r="I243" s="142">
        <f t="shared" si="25"/>
        <v>0</v>
      </c>
      <c r="J243" s="142">
        <f>0</f>
        <v>0</v>
      </c>
      <c r="K243" s="142">
        <f t="shared" si="26"/>
        <v>0</v>
      </c>
      <c r="L243" s="142">
        <f t="shared" si="27"/>
        <v>0</v>
      </c>
      <c r="Q243" s="155"/>
      <c r="R243" s="142"/>
      <c r="S243" s="142"/>
      <c r="T243" s="142"/>
      <c r="U243" s="142"/>
    </row>
    <row r="244" spans="5:21" x14ac:dyDescent="0.35">
      <c r="E244" s="135">
        <v>232</v>
      </c>
      <c r="F244" s="135">
        <v>0</v>
      </c>
      <c r="G244" s="141">
        <f t="shared" si="23"/>
        <v>0</v>
      </c>
      <c r="H244" s="155">
        <f t="shared" si="24"/>
        <v>0</v>
      </c>
      <c r="I244" s="142">
        <f t="shared" si="25"/>
        <v>0</v>
      </c>
      <c r="J244" s="142">
        <f>0</f>
        <v>0</v>
      </c>
      <c r="K244" s="142">
        <f t="shared" si="26"/>
        <v>0</v>
      </c>
      <c r="L244" s="142">
        <f t="shared" si="27"/>
        <v>0</v>
      </c>
      <c r="Q244" s="155"/>
      <c r="R244" s="142"/>
      <c r="S244" s="142"/>
      <c r="T244" s="142"/>
      <c r="U244" s="142"/>
    </row>
    <row r="245" spans="5:21" x14ac:dyDescent="0.35">
      <c r="E245" s="135">
        <v>233</v>
      </c>
      <c r="F245" s="135">
        <v>1</v>
      </c>
      <c r="G245" s="141">
        <f t="shared" si="23"/>
        <v>23.813582244547764</v>
      </c>
      <c r="H245" s="155">
        <f t="shared" si="24"/>
        <v>0</v>
      </c>
      <c r="I245" s="142">
        <f t="shared" si="25"/>
        <v>0</v>
      </c>
      <c r="J245" s="142">
        <f>0</f>
        <v>0</v>
      </c>
      <c r="K245" s="142">
        <f t="shared" si="26"/>
        <v>136632.93323927111</v>
      </c>
      <c r="L245" s="142">
        <f t="shared" si="27"/>
        <v>136632.93323927111</v>
      </c>
      <c r="Q245" s="155"/>
      <c r="R245" s="142"/>
      <c r="S245" s="142"/>
      <c r="T245" s="142"/>
      <c r="U245" s="142"/>
    </row>
    <row r="246" spans="5:21" x14ac:dyDescent="0.35">
      <c r="E246" s="135">
        <v>234</v>
      </c>
      <c r="F246" s="135">
        <v>0</v>
      </c>
      <c r="G246" s="141">
        <f t="shared" si="23"/>
        <v>0</v>
      </c>
      <c r="H246" s="155">
        <f t="shared" si="24"/>
        <v>0</v>
      </c>
      <c r="I246" s="142">
        <f t="shared" si="25"/>
        <v>0</v>
      </c>
      <c r="J246" s="142">
        <f>0</f>
        <v>0</v>
      </c>
      <c r="K246" s="142">
        <f t="shared" si="26"/>
        <v>0</v>
      </c>
      <c r="L246" s="142">
        <f t="shared" si="27"/>
        <v>0</v>
      </c>
      <c r="Q246" s="155"/>
      <c r="R246" s="142"/>
      <c r="S246" s="142"/>
      <c r="T246" s="142"/>
      <c r="U246" s="142"/>
    </row>
    <row r="247" spans="5:21" x14ac:dyDescent="0.35">
      <c r="E247" s="135">
        <v>235</v>
      </c>
      <c r="F247" s="135">
        <v>0</v>
      </c>
      <c r="G247" s="141">
        <f t="shared" si="23"/>
        <v>0</v>
      </c>
      <c r="H247" s="155">
        <f t="shared" si="24"/>
        <v>0</v>
      </c>
      <c r="I247" s="142">
        <f t="shared" si="25"/>
        <v>0</v>
      </c>
      <c r="J247" s="142">
        <f>0</f>
        <v>0</v>
      </c>
      <c r="K247" s="142">
        <f t="shared" si="26"/>
        <v>0</v>
      </c>
      <c r="L247" s="142">
        <f t="shared" si="27"/>
        <v>0</v>
      </c>
      <c r="Q247" s="155"/>
      <c r="R247" s="142"/>
      <c r="S247" s="142"/>
      <c r="T247" s="142"/>
      <c r="U247" s="142"/>
    </row>
    <row r="248" spans="5:21" x14ac:dyDescent="0.35">
      <c r="E248" s="135">
        <v>236</v>
      </c>
      <c r="F248" s="135">
        <v>0</v>
      </c>
      <c r="G248" s="141">
        <f t="shared" si="23"/>
        <v>0</v>
      </c>
      <c r="H248" s="155">
        <f t="shared" si="24"/>
        <v>0</v>
      </c>
      <c r="I248" s="142">
        <f t="shared" si="25"/>
        <v>0</v>
      </c>
      <c r="J248" s="142">
        <f>0</f>
        <v>0</v>
      </c>
      <c r="K248" s="142">
        <f t="shared" si="26"/>
        <v>0</v>
      </c>
      <c r="L248" s="142">
        <f t="shared" si="27"/>
        <v>0</v>
      </c>
      <c r="Q248" s="155"/>
      <c r="R248" s="142"/>
      <c r="S248" s="142"/>
      <c r="T248" s="142"/>
      <c r="U248" s="142"/>
    </row>
    <row r="249" spans="5:21" x14ac:dyDescent="0.35">
      <c r="E249" s="135">
        <v>237</v>
      </c>
      <c r="F249" s="135">
        <v>1</v>
      </c>
      <c r="G249" s="141">
        <f t="shared" si="23"/>
        <v>23.813582244547764</v>
      </c>
      <c r="H249" s="155">
        <f t="shared" si="24"/>
        <v>0</v>
      </c>
      <c r="I249" s="142">
        <f t="shared" si="25"/>
        <v>0</v>
      </c>
      <c r="J249" s="142">
        <f>0</f>
        <v>0</v>
      </c>
      <c r="K249" s="142">
        <f t="shared" si="26"/>
        <v>136632.93323927111</v>
      </c>
      <c r="L249" s="142">
        <f t="shared" si="27"/>
        <v>136632.93323927111</v>
      </c>
      <c r="Q249" s="155"/>
      <c r="R249" s="142"/>
      <c r="S249" s="142"/>
      <c r="T249" s="142"/>
      <c r="U249" s="142"/>
    </row>
    <row r="250" spans="5:21" x14ac:dyDescent="0.35">
      <c r="E250" s="135">
        <v>238</v>
      </c>
      <c r="F250" s="135">
        <v>3</v>
      </c>
      <c r="G250" s="141">
        <f t="shared" si="23"/>
        <v>71.440746733643294</v>
      </c>
      <c r="H250" s="155">
        <f t="shared" si="24"/>
        <v>200</v>
      </c>
      <c r="I250" s="142">
        <f t="shared" si="25"/>
        <v>14500000</v>
      </c>
      <c r="J250" s="142">
        <f>0</f>
        <v>0</v>
      </c>
      <c r="K250" s="142">
        <f t="shared" si="26"/>
        <v>409898.79971781332</v>
      </c>
      <c r="L250" s="142">
        <f t="shared" si="27"/>
        <v>14909898.799717814</v>
      </c>
      <c r="Q250" s="155"/>
      <c r="R250" s="142"/>
      <c r="S250" s="142"/>
      <c r="T250" s="142"/>
      <c r="U250" s="142"/>
    </row>
    <row r="251" spans="5:21" x14ac:dyDescent="0.35">
      <c r="E251" s="135">
        <v>239</v>
      </c>
      <c r="F251" s="135">
        <v>0</v>
      </c>
      <c r="G251" s="141">
        <f t="shared" si="23"/>
        <v>0</v>
      </c>
      <c r="H251" s="155">
        <f t="shared" si="24"/>
        <v>0</v>
      </c>
      <c r="I251" s="142">
        <f t="shared" si="25"/>
        <v>0</v>
      </c>
      <c r="J251" s="142">
        <f>0</f>
        <v>0</v>
      </c>
      <c r="K251" s="142">
        <f t="shared" si="26"/>
        <v>0</v>
      </c>
      <c r="L251" s="142">
        <f t="shared" si="27"/>
        <v>0</v>
      </c>
      <c r="Q251" s="155"/>
      <c r="R251" s="142"/>
      <c r="S251" s="142"/>
      <c r="T251" s="142"/>
      <c r="U251" s="142"/>
    </row>
    <row r="252" spans="5:21" x14ac:dyDescent="0.35">
      <c r="E252" s="135">
        <v>240</v>
      </c>
      <c r="F252" s="135">
        <v>0</v>
      </c>
      <c r="G252" s="141">
        <f t="shared" si="23"/>
        <v>0</v>
      </c>
      <c r="H252" s="155">
        <f t="shared" si="24"/>
        <v>0</v>
      </c>
      <c r="I252" s="142">
        <f t="shared" si="25"/>
        <v>0</v>
      </c>
      <c r="J252" s="142">
        <f>0</f>
        <v>0</v>
      </c>
      <c r="K252" s="142">
        <f t="shared" si="26"/>
        <v>0</v>
      </c>
      <c r="L252" s="142">
        <f t="shared" si="27"/>
        <v>0</v>
      </c>
      <c r="Q252" s="155"/>
      <c r="R252" s="142"/>
      <c r="S252" s="142"/>
      <c r="T252" s="142"/>
      <c r="U252" s="142"/>
    </row>
    <row r="253" spans="5:21" x14ac:dyDescent="0.35">
      <c r="E253" s="135">
        <v>241</v>
      </c>
      <c r="F253" s="135">
        <v>0</v>
      </c>
      <c r="G253" s="141">
        <f t="shared" si="23"/>
        <v>0</v>
      </c>
      <c r="H253" s="155">
        <f t="shared" si="24"/>
        <v>0</v>
      </c>
      <c r="I253" s="142">
        <f t="shared" si="25"/>
        <v>0</v>
      </c>
      <c r="J253" s="142">
        <f>0</f>
        <v>0</v>
      </c>
      <c r="K253" s="142">
        <f t="shared" si="26"/>
        <v>0</v>
      </c>
      <c r="L253" s="142">
        <f t="shared" si="27"/>
        <v>0</v>
      </c>
      <c r="Q253" s="155"/>
      <c r="R253" s="142"/>
      <c r="S253" s="142"/>
      <c r="T253" s="142"/>
      <c r="U253" s="142"/>
    </row>
    <row r="254" spans="5:21" x14ac:dyDescent="0.35">
      <c r="E254" s="135">
        <v>242</v>
      </c>
      <c r="F254" s="135">
        <v>0</v>
      </c>
      <c r="G254" s="141">
        <f t="shared" si="23"/>
        <v>0</v>
      </c>
      <c r="H254" s="155">
        <f t="shared" si="24"/>
        <v>0</v>
      </c>
      <c r="I254" s="142">
        <f t="shared" si="25"/>
        <v>0</v>
      </c>
      <c r="J254" s="142">
        <f>0</f>
        <v>0</v>
      </c>
      <c r="K254" s="142">
        <f t="shared" si="26"/>
        <v>0</v>
      </c>
      <c r="L254" s="142">
        <f t="shared" si="27"/>
        <v>0</v>
      </c>
      <c r="Q254" s="155"/>
      <c r="R254" s="142"/>
      <c r="S254" s="142"/>
      <c r="T254" s="142"/>
      <c r="U254" s="142"/>
    </row>
    <row r="255" spans="5:21" x14ac:dyDescent="0.35">
      <c r="E255" s="135">
        <v>243</v>
      </c>
      <c r="F255" s="135">
        <v>0</v>
      </c>
      <c r="G255" s="141">
        <f t="shared" si="23"/>
        <v>0</v>
      </c>
      <c r="H255" s="155">
        <f t="shared" si="24"/>
        <v>0</v>
      </c>
      <c r="I255" s="142">
        <f t="shared" si="25"/>
        <v>0</v>
      </c>
      <c r="J255" s="142">
        <f>0</f>
        <v>0</v>
      </c>
      <c r="K255" s="142">
        <f t="shared" si="26"/>
        <v>0</v>
      </c>
      <c r="L255" s="142">
        <f t="shared" si="27"/>
        <v>0</v>
      </c>
      <c r="Q255" s="155"/>
      <c r="R255" s="142"/>
      <c r="S255" s="142"/>
      <c r="T255" s="142"/>
      <c r="U255" s="142"/>
    </row>
    <row r="256" spans="5:21" x14ac:dyDescent="0.35">
      <c r="E256" s="135">
        <v>244</v>
      </c>
      <c r="F256" s="135">
        <v>1</v>
      </c>
      <c r="G256" s="141">
        <f t="shared" si="23"/>
        <v>23.813582244547764</v>
      </c>
      <c r="H256" s="155">
        <f t="shared" si="24"/>
        <v>0</v>
      </c>
      <c r="I256" s="142">
        <f t="shared" si="25"/>
        <v>0</v>
      </c>
      <c r="J256" s="142">
        <f>0</f>
        <v>0</v>
      </c>
      <c r="K256" s="142">
        <f t="shared" si="26"/>
        <v>136632.93323927111</v>
      </c>
      <c r="L256" s="142">
        <f t="shared" si="27"/>
        <v>136632.93323927111</v>
      </c>
      <c r="Q256" s="155"/>
      <c r="R256" s="142"/>
      <c r="S256" s="142"/>
      <c r="T256" s="142"/>
      <c r="U256" s="142"/>
    </row>
    <row r="257" spans="5:21" x14ac:dyDescent="0.35">
      <c r="E257" s="135">
        <v>245</v>
      </c>
      <c r="F257" s="135">
        <v>0</v>
      </c>
      <c r="G257" s="141">
        <f t="shared" si="23"/>
        <v>0</v>
      </c>
      <c r="H257" s="155">
        <f t="shared" si="24"/>
        <v>0</v>
      </c>
      <c r="I257" s="142">
        <f t="shared" si="25"/>
        <v>0</v>
      </c>
      <c r="J257" s="142">
        <f>0</f>
        <v>0</v>
      </c>
      <c r="K257" s="142">
        <f t="shared" si="26"/>
        <v>0</v>
      </c>
      <c r="L257" s="142">
        <f t="shared" si="27"/>
        <v>0</v>
      </c>
      <c r="Q257" s="155"/>
      <c r="R257" s="142"/>
      <c r="S257" s="142"/>
      <c r="T257" s="142"/>
      <c r="U257" s="142"/>
    </row>
    <row r="258" spans="5:21" x14ac:dyDescent="0.35">
      <c r="E258" s="135">
        <v>246</v>
      </c>
      <c r="F258" s="135">
        <v>0</v>
      </c>
      <c r="G258" s="141">
        <f t="shared" si="23"/>
        <v>0</v>
      </c>
      <c r="H258" s="155">
        <f t="shared" si="24"/>
        <v>0</v>
      </c>
      <c r="I258" s="142">
        <f t="shared" si="25"/>
        <v>0</v>
      </c>
      <c r="J258" s="142">
        <f>0</f>
        <v>0</v>
      </c>
      <c r="K258" s="142">
        <f t="shared" si="26"/>
        <v>0</v>
      </c>
      <c r="L258" s="142">
        <f t="shared" si="27"/>
        <v>0</v>
      </c>
      <c r="Q258" s="155"/>
      <c r="R258" s="142"/>
      <c r="S258" s="142"/>
      <c r="T258" s="142"/>
      <c r="U258" s="142"/>
    </row>
    <row r="259" spans="5:21" x14ac:dyDescent="0.35">
      <c r="E259" s="135">
        <v>247</v>
      </c>
      <c r="F259" s="135">
        <v>0</v>
      </c>
      <c r="G259" s="141">
        <f t="shared" si="23"/>
        <v>0</v>
      </c>
      <c r="H259" s="155">
        <f t="shared" si="24"/>
        <v>0</v>
      </c>
      <c r="I259" s="142">
        <f t="shared" si="25"/>
        <v>0</v>
      </c>
      <c r="J259" s="142">
        <f>0</f>
        <v>0</v>
      </c>
      <c r="K259" s="142">
        <f t="shared" si="26"/>
        <v>0</v>
      </c>
      <c r="L259" s="142">
        <f t="shared" si="27"/>
        <v>0</v>
      </c>
      <c r="Q259" s="155"/>
      <c r="R259" s="142"/>
      <c r="S259" s="142"/>
      <c r="T259" s="142"/>
      <c r="U259" s="142"/>
    </row>
    <row r="260" spans="5:21" x14ac:dyDescent="0.35">
      <c r="E260" s="135">
        <v>248</v>
      </c>
      <c r="F260" s="135">
        <v>1</v>
      </c>
      <c r="G260" s="141">
        <f t="shared" si="23"/>
        <v>23.813582244547764</v>
      </c>
      <c r="H260" s="155">
        <f t="shared" si="24"/>
        <v>0</v>
      </c>
      <c r="I260" s="142">
        <f t="shared" si="25"/>
        <v>0</v>
      </c>
      <c r="J260" s="142">
        <f>0</f>
        <v>0</v>
      </c>
      <c r="K260" s="142">
        <f t="shared" si="26"/>
        <v>136632.93323927111</v>
      </c>
      <c r="L260" s="142">
        <f t="shared" si="27"/>
        <v>136632.93323927111</v>
      </c>
      <c r="Q260" s="155"/>
      <c r="R260" s="142"/>
      <c r="S260" s="142"/>
      <c r="T260" s="142"/>
      <c r="U260" s="142"/>
    </row>
    <row r="261" spans="5:21" x14ac:dyDescent="0.35">
      <c r="E261" s="135">
        <v>249</v>
      </c>
      <c r="F261" s="135">
        <v>0</v>
      </c>
      <c r="G261" s="141">
        <f t="shared" si="23"/>
        <v>0</v>
      </c>
      <c r="H261" s="155">
        <f t="shared" si="24"/>
        <v>0</v>
      </c>
      <c r="I261" s="142">
        <f t="shared" si="25"/>
        <v>0</v>
      </c>
      <c r="J261" s="142">
        <f>0</f>
        <v>0</v>
      </c>
      <c r="K261" s="142">
        <f t="shared" si="26"/>
        <v>0</v>
      </c>
      <c r="L261" s="142">
        <f t="shared" si="27"/>
        <v>0</v>
      </c>
      <c r="Q261" s="155"/>
      <c r="R261" s="142"/>
      <c r="S261" s="142"/>
      <c r="T261" s="142"/>
      <c r="U261" s="142"/>
    </row>
    <row r="262" spans="5:21" x14ac:dyDescent="0.35">
      <c r="E262" s="135">
        <v>250</v>
      </c>
      <c r="F262" s="135">
        <v>0</v>
      </c>
      <c r="G262" s="141">
        <f t="shared" si="23"/>
        <v>0</v>
      </c>
      <c r="H262" s="155">
        <f t="shared" si="24"/>
        <v>0</v>
      </c>
      <c r="I262" s="142">
        <f t="shared" si="25"/>
        <v>0</v>
      </c>
      <c r="J262" s="142">
        <f>0</f>
        <v>0</v>
      </c>
      <c r="K262" s="142">
        <f t="shared" si="26"/>
        <v>0</v>
      </c>
      <c r="L262" s="142">
        <f t="shared" si="27"/>
        <v>0</v>
      </c>
      <c r="Q262" s="155"/>
      <c r="R262" s="142"/>
      <c r="S262" s="142"/>
      <c r="T262" s="142"/>
      <c r="U262" s="142"/>
    </row>
    <row r="263" spans="5:21" x14ac:dyDescent="0.35">
      <c r="E263" s="135">
        <v>251</v>
      </c>
      <c r="F263" s="135">
        <v>0</v>
      </c>
      <c r="G263" s="141">
        <f t="shared" si="23"/>
        <v>0</v>
      </c>
      <c r="H263" s="155">
        <f t="shared" si="24"/>
        <v>0</v>
      </c>
      <c r="I263" s="142">
        <f t="shared" si="25"/>
        <v>0</v>
      </c>
      <c r="J263" s="142">
        <f>0</f>
        <v>0</v>
      </c>
      <c r="K263" s="142">
        <f t="shared" si="26"/>
        <v>0</v>
      </c>
      <c r="L263" s="142">
        <f t="shared" si="27"/>
        <v>0</v>
      </c>
      <c r="Q263" s="155"/>
      <c r="R263" s="142"/>
      <c r="S263" s="142"/>
      <c r="T263" s="142"/>
      <c r="U263" s="142"/>
    </row>
    <row r="264" spans="5:21" x14ac:dyDescent="0.35">
      <c r="E264" s="135">
        <v>252</v>
      </c>
      <c r="F264" s="135">
        <v>1</v>
      </c>
      <c r="G264" s="141">
        <f t="shared" si="23"/>
        <v>23.813582244547764</v>
      </c>
      <c r="H264" s="155">
        <f t="shared" si="24"/>
        <v>0</v>
      </c>
      <c r="I264" s="142">
        <f t="shared" si="25"/>
        <v>0</v>
      </c>
      <c r="J264" s="142">
        <f>0</f>
        <v>0</v>
      </c>
      <c r="K264" s="142">
        <f t="shared" si="26"/>
        <v>136632.93323927111</v>
      </c>
      <c r="L264" s="142">
        <f t="shared" si="27"/>
        <v>136632.93323927111</v>
      </c>
      <c r="Q264" s="155"/>
      <c r="R264" s="142"/>
      <c r="S264" s="142"/>
      <c r="T264" s="142"/>
      <c r="U264" s="142"/>
    </row>
    <row r="265" spans="5:21" x14ac:dyDescent="0.35">
      <c r="E265" s="135">
        <v>253</v>
      </c>
      <c r="F265" s="135">
        <v>0</v>
      </c>
      <c r="G265" s="141">
        <f t="shared" si="23"/>
        <v>0</v>
      </c>
      <c r="H265" s="155">
        <f t="shared" si="24"/>
        <v>0</v>
      </c>
      <c r="I265" s="142">
        <f t="shared" si="25"/>
        <v>0</v>
      </c>
      <c r="J265" s="142">
        <f>0</f>
        <v>0</v>
      </c>
      <c r="K265" s="142">
        <f t="shared" si="26"/>
        <v>0</v>
      </c>
      <c r="L265" s="142">
        <f t="shared" si="27"/>
        <v>0</v>
      </c>
      <c r="Q265" s="155"/>
      <c r="R265" s="142"/>
      <c r="S265" s="142"/>
      <c r="T265" s="142"/>
      <c r="U265" s="142"/>
    </row>
    <row r="266" spans="5:21" x14ac:dyDescent="0.35">
      <c r="E266" s="135">
        <v>254</v>
      </c>
      <c r="F266" s="135">
        <v>0</v>
      </c>
      <c r="G266" s="141">
        <f t="shared" si="23"/>
        <v>0</v>
      </c>
      <c r="H266" s="155">
        <f t="shared" si="24"/>
        <v>0</v>
      </c>
      <c r="I266" s="142">
        <f t="shared" si="25"/>
        <v>0</v>
      </c>
      <c r="J266" s="142">
        <f>0</f>
        <v>0</v>
      </c>
      <c r="K266" s="142">
        <f t="shared" si="26"/>
        <v>0</v>
      </c>
      <c r="L266" s="142">
        <f t="shared" si="27"/>
        <v>0</v>
      </c>
      <c r="Q266" s="155"/>
      <c r="R266" s="142"/>
      <c r="S266" s="142"/>
      <c r="T266" s="142"/>
      <c r="U266" s="142"/>
    </row>
    <row r="267" spans="5:21" x14ac:dyDescent="0.35">
      <c r="E267" s="135">
        <v>255</v>
      </c>
      <c r="F267" s="135">
        <v>1</v>
      </c>
      <c r="G267" s="141">
        <f t="shared" si="23"/>
        <v>23.813582244547764</v>
      </c>
      <c r="H267" s="155">
        <f t="shared" si="24"/>
        <v>0</v>
      </c>
      <c r="I267" s="142">
        <f t="shared" si="25"/>
        <v>0</v>
      </c>
      <c r="J267" s="142">
        <f>0</f>
        <v>0</v>
      </c>
      <c r="K267" s="142">
        <f t="shared" si="26"/>
        <v>136632.93323927111</v>
      </c>
      <c r="L267" s="142">
        <f t="shared" si="27"/>
        <v>136632.93323927111</v>
      </c>
      <c r="Q267" s="155"/>
      <c r="R267" s="142"/>
      <c r="S267" s="142"/>
      <c r="T267" s="142"/>
      <c r="U267" s="142"/>
    </row>
    <row r="268" spans="5:21" x14ac:dyDescent="0.35">
      <c r="E268" s="135">
        <v>256</v>
      </c>
      <c r="F268" s="135">
        <v>1</v>
      </c>
      <c r="G268" s="141">
        <f t="shared" si="23"/>
        <v>23.813582244547764</v>
      </c>
      <c r="H268" s="155">
        <f t="shared" si="24"/>
        <v>0</v>
      </c>
      <c r="I268" s="142">
        <f t="shared" si="25"/>
        <v>0</v>
      </c>
      <c r="J268" s="142">
        <f>0</f>
        <v>0</v>
      </c>
      <c r="K268" s="142">
        <f t="shared" si="26"/>
        <v>136632.93323927111</v>
      </c>
      <c r="L268" s="142">
        <f t="shared" si="27"/>
        <v>136632.93323927111</v>
      </c>
      <c r="Q268" s="155"/>
      <c r="R268" s="142"/>
      <c r="S268" s="142"/>
      <c r="T268" s="142"/>
      <c r="U268" s="142"/>
    </row>
    <row r="269" spans="5:21" x14ac:dyDescent="0.35">
      <c r="E269" s="135">
        <v>257</v>
      </c>
      <c r="F269" s="135">
        <v>0</v>
      </c>
      <c r="G269" s="141">
        <f t="shared" ref="G269:G332" si="28">F269*$C$9</f>
        <v>0</v>
      </c>
      <c r="H269" s="155">
        <f t="shared" ref="H269:H332" si="29">IF(F269 &gt; 1,$C$13*20000,0)</f>
        <v>0</v>
      </c>
      <c r="I269" s="142">
        <f t="shared" ref="I269:I332" si="30">IF(F269 &gt; 1,$C$4,0)</f>
        <v>0</v>
      </c>
      <c r="J269" s="142">
        <f>0</f>
        <v>0</v>
      </c>
      <c r="K269" s="142">
        <f t="shared" ref="K269:K332" si="31">F269*$C$5</f>
        <v>0</v>
      </c>
      <c r="L269" s="142">
        <f t="shared" ref="L269:L332" si="32">J269+I269+K269</f>
        <v>0</v>
      </c>
      <c r="Q269" s="155"/>
      <c r="R269" s="142"/>
      <c r="S269" s="142"/>
      <c r="T269" s="142"/>
      <c r="U269" s="142"/>
    </row>
    <row r="270" spans="5:21" x14ac:dyDescent="0.35">
      <c r="E270" s="135">
        <v>258</v>
      </c>
      <c r="F270" s="135">
        <v>0</v>
      </c>
      <c r="G270" s="141">
        <f t="shared" si="28"/>
        <v>0</v>
      </c>
      <c r="H270" s="155">
        <f t="shared" si="29"/>
        <v>0</v>
      </c>
      <c r="I270" s="142">
        <f t="shared" si="30"/>
        <v>0</v>
      </c>
      <c r="J270" s="142">
        <f>0</f>
        <v>0</v>
      </c>
      <c r="K270" s="142">
        <f t="shared" si="31"/>
        <v>0</v>
      </c>
      <c r="L270" s="142">
        <f t="shared" si="32"/>
        <v>0</v>
      </c>
      <c r="Q270" s="155"/>
      <c r="R270" s="142"/>
      <c r="S270" s="142"/>
      <c r="T270" s="142"/>
      <c r="U270" s="142"/>
    </row>
    <row r="271" spans="5:21" x14ac:dyDescent="0.35">
      <c r="E271" s="135">
        <v>259</v>
      </c>
      <c r="F271" s="135">
        <v>1</v>
      </c>
      <c r="G271" s="141">
        <f t="shared" si="28"/>
        <v>23.813582244547764</v>
      </c>
      <c r="H271" s="155">
        <f t="shared" si="29"/>
        <v>0</v>
      </c>
      <c r="I271" s="142">
        <f t="shared" si="30"/>
        <v>0</v>
      </c>
      <c r="J271" s="142">
        <f>0</f>
        <v>0</v>
      </c>
      <c r="K271" s="142">
        <f t="shared" si="31"/>
        <v>136632.93323927111</v>
      </c>
      <c r="L271" s="142">
        <f t="shared" si="32"/>
        <v>136632.93323927111</v>
      </c>
      <c r="Q271" s="155"/>
      <c r="R271" s="142"/>
      <c r="S271" s="142"/>
      <c r="T271" s="142"/>
      <c r="U271" s="142"/>
    </row>
    <row r="272" spans="5:21" x14ac:dyDescent="0.35">
      <c r="E272" s="135">
        <v>260</v>
      </c>
      <c r="F272" s="135">
        <v>0</v>
      </c>
      <c r="G272" s="141">
        <f t="shared" si="28"/>
        <v>0</v>
      </c>
      <c r="H272" s="155">
        <f t="shared" si="29"/>
        <v>0</v>
      </c>
      <c r="I272" s="142">
        <f t="shared" si="30"/>
        <v>0</v>
      </c>
      <c r="J272" s="142">
        <f>0</f>
        <v>0</v>
      </c>
      <c r="K272" s="142">
        <f t="shared" si="31"/>
        <v>0</v>
      </c>
      <c r="L272" s="142">
        <f t="shared" si="32"/>
        <v>0</v>
      </c>
      <c r="Q272" s="155"/>
      <c r="R272" s="142"/>
      <c r="S272" s="142"/>
      <c r="T272" s="142"/>
      <c r="U272" s="142"/>
    </row>
    <row r="273" spans="5:21" x14ac:dyDescent="0.35">
      <c r="E273" s="135">
        <v>261</v>
      </c>
      <c r="F273" s="135">
        <v>0</v>
      </c>
      <c r="G273" s="141">
        <f t="shared" si="28"/>
        <v>0</v>
      </c>
      <c r="H273" s="155">
        <f t="shared" si="29"/>
        <v>0</v>
      </c>
      <c r="I273" s="142">
        <f t="shared" si="30"/>
        <v>0</v>
      </c>
      <c r="J273" s="142">
        <f>0</f>
        <v>0</v>
      </c>
      <c r="K273" s="142">
        <f t="shared" si="31"/>
        <v>0</v>
      </c>
      <c r="L273" s="142">
        <f t="shared" si="32"/>
        <v>0</v>
      </c>
      <c r="Q273" s="155"/>
      <c r="R273" s="142"/>
      <c r="S273" s="142"/>
      <c r="T273" s="142"/>
      <c r="U273" s="142"/>
    </row>
    <row r="274" spans="5:21" x14ac:dyDescent="0.35">
      <c r="E274" s="135">
        <v>262</v>
      </c>
      <c r="F274" s="135">
        <v>0</v>
      </c>
      <c r="G274" s="141">
        <f t="shared" si="28"/>
        <v>0</v>
      </c>
      <c r="H274" s="155">
        <f t="shared" si="29"/>
        <v>0</v>
      </c>
      <c r="I274" s="142">
        <f t="shared" si="30"/>
        <v>0</v>
      </c>
      <c r="J274" s="142">
        <f>0</f>
        <v>0</v>
      </c>
      <c r="K274" s="142">
        <f t="shared" si="31"/>
        <v>0</v>
      </c>
      <c r="L274" s="142">
        <f t="shared" si="32"/>
        <v>0</v>
      </c>
      <c r="Q274" s="155"/>
      <c r="R274" s="142"/>
      <c r="S274" s="142"/>
      <c r="T274" s="142"/>
      <c r="U274" s="142"/>
    </row>
    <row r="275" spans="5:21" x14ac:dyDescent="0.35">
      <c r="E275" s="135">
        <v>263</v>
      </c>
      <c r="F275" s="135">
        <v>0</v>
      </c>
      <c r="G275" s="141">
        <f t="shared" si="28"/>
        <v>0</v>
      </c>
      <c r="H275" s="155">
        <f t="shared" si="29"/>
        <v>0</v>
      </c>
      <c r="I275" s="142">
        <f t="shared" si="30"/>
        <v>0</v>
      </c>
      <c r="J275" s="142">
        <f>0</f>
        <v>0</v>
      </c>
      <c r="K275" s="142">
        <f t="shared" si="31"/>
        <v>0</v>
      </c>
      <c r="L275" s="142">
        <f t="shared" si="32"/>
        <v>0</v>
      </c>
      <c r="Q275" s="155"/>
      <c r="R275" s="142"/>
      <c r="S275" s="142"/>
      <c r="T275" s="142"/>
      <c r="U275" s="142"/>
    </row>
    <row r="276" spans="5:21" x14ac:dyDescent="0.35">
      <c r="E276" s="135">
        <v>264</v>
      </c>
      <c r="F276" s="135">
        <v>0</v>
      </c>
      <c r="G276" s="141">
        <f t="shared" si="28"/>
        <v>0</v>
      </c>
      <c r="H276" s="155">
        <f t="shared" si="29"/>
        <v>0</v>
      </c>
      <c r="I276" s="142">
        <f t="shared" si="30"/>
        <v>0</v>
      </c>
      <c r="J276" s="142">
        <f>0</f>
        <v>0</v>
      </c>
      <c r="K276" s="142">
        <f t="shared" si="31"/>
        <v>0</v>
      </c>
      <c r="L276" s="142">
        <f t="shared" si="32"/>
        <v>0</v>
      </c>
      <c r="Q276" s="155"/>
      <c r="R276" s="142"/>
      <c r="S276" s="142"/>
      <c r="T276" s="142"/>
      <c r="U276" s="142"/>
    </row>
    <row r="277" spans="5:21" x14ac:dyDescent="0.35">
      <c r="E277" s="135">
        <v>265</v>
      </c>
      <c r="F277" s="135">
        <v>0</v>
      </c>
      <c r="G277" s="141">
        <f t="shared" si="28"/>
        <v>0</v>
      </c>
      <c r="H277" s="155">
        <f t="shared" si="29"/>
        <v>0</v>
      </c>
      <c r="I277" s="142">
        <f t="shared" si="30"/>
        <v>0</v>
      </c>
      <c r="J277" s="142">
        <f>0</f>
        <v>0</v>
      </c>
      <c r="K277" s="142">
        <f t="shared" si="31"/>
        <v>0</v>
      </c>
      <c r="L277" s="142">
        <f t="shared" si="32"/>
        <v>0</v>
      </c>
      <c r="Q277" s="155"/>
      <c r="R277" s="142"/>
      <c r="S277" s="142"/>
      <c r="T277" s="142"/>
      <c r="U277" s="142"/>
    </row>
    <row r="278" spans="5:21" x14ac:dyDescent="0.35">
      <c r="E278" s="135">
        <v>266</v>
      </c>
      <c r="F278" s="135">
        <v>0</v>
      </c>
      <c r="G278" s="141">
        <f t="shared" si="28"/>
        <v>0</v>
      </c>
      <c r="H278" s="155">
        <f t="shared" si="29"/>
        <v>0</v>
      </c>
      <c r="I278" s="142">
        <f t="shared" si="30"/>
        <v>0</v>
      </c>
      <c r="J278" s="142">
        <f>0</f>
        <v>0</v>
      </c>
      <c r="K278" s="142">
        <f t="shared" si="31"/>
        <v>0</v>
      </c>
      <c r="L278" s="142">
        <f t="shared" si="32"/>
        <v>0</v>
      </c>
      <c r="Q278" s="155"/>
      <c r="R278" s="142"/>
      <c r="S278" s="142"/>
      <c r="T278" s="142"/>
      <c r="U278" s="142"/>
    </row>
    <row r="279" spans="5:21" x14ac:dyDescent="0.35">
      <c r="E279" s="135">
        <v>267</v>
      </c>
      <c r="F279" s="135">
        <v>0</v>
      </c>
      <c r="G279" s="141">
        <f t="shared" si="28"/>
        <v>0</v>
      </c>
      <c r="H279" s="155">
        <f t="shared" si="29"/>
        <v>0</v>
      </c>
      <c r="I279" s="142">
        <f t="shared" si="30"/>
        <v>0</v>
      </c>
      <c r="J279" s="142">
        <f>0</f>
        <v>0</v>
      </c>
      <c r="K279" s="142">
        <f t="shared" si="31"/>
        <v>0</v>
      </c>
      <c r="L279" s="142">
        <f t="shared" si="32"/>
        <v>0</v>
      </c>
      <c r="Q279" s="155"/>
      <c r="R279" s="142"/>
      <c r="S279" s="142"/>
      <c r="T279" s="142"/>
      <c r="U279" s="142"/>
    </row>
    <row r="280" spans="5:21" x14ac:dyDescent="0.35">
      <c r="E280" s="135">
        <v>268</v>
      </c>
      <c r="F280" s="135">
        <v>0</v>
      </c>
      <c r="G280" s="141">
        <f t="shared" si="28"/>
        <v>0</v>
      </c>
      <c r="H280" s="155">
        <f t="shared" si="29"/>
        <v>0</v>
      </c>
      <c r="I280" s="142">
        <f t="shared" si="30"/>
        <v>0</v>
      </c>
      <c r="J280" s="142">
        <f>0</f>
        <v>0</v>
      </c>
      <c r="K280" s="142">
        <f t="shared" si="31"/>
        <v>0</v>
      </c>
      <c r="L280" s="142">
        <f t="shared" si="32"/>
        <v>0</v>
      </c>
      <c r="Q280" s="155"/>
      <c r="R280" s="142"/>
      <c r="S280" s="142"/>
      <c r="T280" s="142"/>
      <c r="U280" s="142"/>
    </row>
    <row r="281" spans="5:21" x14ac:dyDescent="0.35">
      <c r="E281" s="135">
        <v>269</v>
      </c>
      <c r="F281" s="135">
        <v>0</v>
      </c>
      <c r="G281" s="141">
        <f t="shared" si="28"/>
        <v>0</v>
      </c>
      <c r="H281" s="155">
        <f t="shared" si="29"/>
        <v>0</v>
      </c>
      <c r="I281" s="142">
        <f t="shared" si="30"/>
        <v>0</v>
      </c>
      <c r="J281" s="142">
        <f>0</f>
        <v>0</v>
      </c>
      <c r="K281" s="142">
        <f t="shared" si="31"/>
        <v>0</v>
      </c>
      <c r="L281" s="142">
        <f t="shared" si="32"/>
        <v>0</v>
      </c>
      <c r="Q281" s="155"/>
      <c r="R281" s="142"/>
      <c r="S281" s="142"/>
      <c r="T281" s="142"/>
      <c r="U281" s="142"/>
    </row>
    <row r="282" spans="5:21" x14ac:dyDescent="0.35">
      <c r="E282" s="135">
        <v>270</v>
      </c>
      <c r="F282" s="135">
        <v>1</v>
      </c>
      <c r="G282" s="141">
        <f t="shared" si="28"/>
        <v>23.813582244547764</v>
      </c>
      <c r="H282" s="155">
        <f t="shared" si="29"/>
        <v>0</v>
      </c>
      <c r="I282" s="142">
        <f t="shared" si="30"/>
        <v>0</v>
      </c>
      <c r="J282" s="142">
        <f>0</f>
        <v>0</v>
      </c>
      <c r="K282" s="142">
        <f t="shared" si="31"/>
        <v>136632.93323927111</v>
      </c>
      <c r="L282" s="142">
        <f t="shared" si="32"/>
        <v>136632.93323927111</v>
      </c>
      <c r="Q282" s="155"/>
      <c r="R282" s="142"/>
      <c r="S282" s="142"/>
      <c r="T282" s="142"/>
      <c r="U282" s="142"/>
    </row>
    <row r="283" spans="5:21" x14ac:dyDescent="0.35">
      <c r="E283" s="135">
        <v>271</v>
      </c>
      <c r="F283" s="135">
        <v>0</v>
      </c>
      <c r="G283" s="141">
        <f t="shared" si="28"/>
        <v>0</v>
      </c>
      <c r="H283" s="155">
        <f t="shared" si="29"/>
        <v>0</v>
      </c>
      <c r="I283" s="142">
        <f t="shared" si="30"/>
        <v>0</v>
      </c>
      <c r="J283" s="142">
        <f>0</f>
        <v>0</v>
      </c>
      <c r="K283" s="142">
        <f t="shared" si="31"/>
        <v>0</v>
      </c>
      <c r="L283" s="142">
        <f t="shared" si="32"/>
        <v>0</v>
      </c>
      <c r="Q283" s="155"/>
      <c r="R283" s="142"/>
      <c r="S283" s="142"/>
      <c r="T283" s="142"/>
      <c r="U283" s="142"/>
    </row>
    <row r="284" spans="5:21" x14ac:dyDescent="0.35">
      <c r="E284" s="135">
        <v>272</v>
      </c>
      <c r="F284" s="135">
        <v>0</v>
      </c>
      <c r="G284" s="141">
        <f t="shared" si="28"/>
        <v>0</v>
      </c>
      <c r="H284" s="155">
        <f t="shared" si="29"/>
        <v>0</v>
      </c>
      <c r="I284" s="142">
        <f t="shared" si="30"/>
        <v>0</v>
      </c>
      <c r="J284" s="142">
        <f>0</f>
        <v>0</v>
      </c>
      <c r="K284" s="142">
        <f t="shared" si="31"/>
        <v>0</v>
      </c>
      <c r="L284" s="142">
        <f t="shared" si="32"/>
        <v>0</v>
      </c>
      <c r="Q284" s="155"/>
      <c r="R284" s="142"/>
      <c r="S284" s="142"/>
      <c r="T284" s="142"/>
      <c r="U284" s="142"/>
    </row>
    <row r="285" spans="5:21" x14ac:dyDescent="0.35">
      <c r="E285" s="135">
        <v>273</v>
      </c>
      <c r="F285" s="135">
        <v>0</v>
      </c>
      <c r="G285" s="141">
        <f t="shared" si="28"/>
        <v>0</v>
      </c>
      <c r="H285" s="155">
        <f t="shared" si="29"/>
        <v>0</v>
      </c>
      <c r="I285" s="142">
        <f t="shared" si="30"/>
        <v>0</v>
      </c>
      <c r="J285" s="142">
        <f>0</f>
        <v>0</v>
      </c>
      <c r="K285" s="142">
        <f t="shared" si="31"/>
        <v>0</v>
      </c>
      <c r="L285" s="142">
        <f t="shared" si="32"/>
        <v>0</v>
      </c>
      <c r="Q285" s="155"/>
      <c r="R285" s="142"/>
      <c r="S285" s="142"/>
      <c r="T285" s="142"/>
      <c r="U285" s="142"/>
    </row>
    <row r="286" spans="5:21" x14ac:dyDescent="0.35">
      <c r="E286" s="135">
        <v>274</v>
      </c>
      <c r="F286" s="135">
        <v>0</v>
      </c>
      <c r="G286" s="141">
        <f t="shared" si="28"/>
        <v>0</v>
      </c>
      <c r="H286" s="155">
        <f t="shared" si="29"/>
        <v>0</v>
      </c>
      <c r="I286" s="142">
        <f t="shared" si="30"/>
        <v>0</v>
      </c>
      <c r="J286" s="142">
        <f>0</f>
        <v>0</v>
      </c>
      <c r="K286" s="142">
        <f t="shared" si="31"/>
        <v>0</v>
      </c>
      <c r="L286" s="142">
        <f t="shared" si="32"/>
        <v>0</v>
      </c>
      <c r="Q286" s="155"/>
      <c r="R286" s="142"/>
      <c r="S286" s="142"/>
      <c r="T286" s="142"/>
      <c r="U286" s="142"/>
    </row>
    <row r="287" spans="5:21" x14ac:dyDescent="0.35">
      <c r="E287" s="135">
        <v>275</v>
      </c>
      <c r="F287" s="135">
        <v>0</v>
      </c>
      <c r="G287" s="141">
        <f t="shared" si="28"/>
        <v>0</v>
      </c>
      <c r="H287" s="155">
        <f t="shared" si="29"/>
        <v>0</v>
      </c>
      <c r="I287" s="142">
        <f t="shared" si="30"/>
        <v>0</v>
      </c>
      <c r="J287" s="142">
        <f>0</f>
        <v>0</v>
      </c>
      <c r="K287" s="142">
        <f t="shared" si="31"/>
        <v>0</v>
      </c>
      <c r="L287" s="142">
        <f t="shared" si="32"/>
        <v>0</v>
      </c>
      <c r="Q287" s="155"/>
      <c r="R287" s="142"/>
      <c r="S287" s="142"/>
      <c r="T287" s="142"/>
      <c r="U287" s="142"/>
    </row>
    <row r="288" spans="5:21" x14ac:dyDescent="0.35">
      <c r="E288" s="135">
        <v>276</v>
      </c>
      <c r="F288" s="135">
        <v>0</v>
      </c>
      <c r="G288" s="141">
        <f t="shared" si="28"/>
        <v>0</v>
      </c>
      <c r="H288" s="155">
        <f t="shared" si="29"/>
        <v>0</v>
      </c>
      <c r="I288" s="142">
        <f t="shared" si="30"/>
        <v>0</v>
      </c>
      <c r="J288" s="142">
        <f>0</f>
        <v>0</v>
      </c>
      <c r="K288" s="142">
        <f t="shared" si="31"/>
        <v>0</v>
      </c>
      <c r="L288" s="142">
        <f t="shared" si="32"/>
        <v>0</v>
      </c>
      <c r="Q288" s="155"/>
      <c r="R288" s="142"/>
      <c r="S288" s="142"/>
      <c r="T288" s="142"/>
      <c r="U288" s="142"/>
    </row>
    <row r="289" spans="5:21" x14ac:dyDescent="0.35">
      <c r="E289" s="135">
        <v>277</v>
      </c>
      <c r="F289" s="135">
        <v>0</v>
      </c>
      <c r="G289" s="141">
        <f t="shared" si="28"/>
        <v>0</v>
      </c>
      <c r="H289" s="155">
        <f t="shared" si="29"/>
        <v>0</v>
      </c>
      <c r="I289" s="142">
        <f t="shared" si="30"/>
        <v>0</v>
      </c>
      <c r="J289" s="142">
        <f>0</f>
        <v>0</v>
      </c>
      <c r="K289" s="142">
        <f t="shared" si="31"/>
        <v>0</v>
      </c>
      <c r="L289" s="142">
        <f t="shared" si="32"/>
        <v>0</v>
      </c>
      <c r="Q289" s="155"/>
      <c r="R289" s="142"/>
      <c r="S289" s="142"/>
      <c r="T289" s="142"/>
      <c r="U289" s="142"/>
    </row>
    <row r="290" spans="5:21" x14ac:dyDescent="0.35">
      <c r="E290" s="135">
        <v>278</v>
      </c>
      <c r="F290" s="135">
        <v>1</v>
      </c>
      <c r="G290" s="141">
        <f t="shared" si="28"/>
        <v>23.813582244547764</v>
      </c>
      <c r="H290" s="155">
        <f t="shared" si="29"/>
        <v>0</v>
      </c>
      <c r="I290" s="142">
        <f t="shared" si="30"/>
        <v>0</v>
      </c>
      <c r="J290" s="142">
        <f>0</f>
        <v>0</v>
      </c>
      <c r="K290" s="142">
        <f t="shared" si="31"/>
        <v>136632.93323927111</v>
      </c>
      <c r="L290" s="142">
        <f t="shared" si="32"/>
        <v>136632.93323927111</v>
      </c>
      <c r="Q290" s="155"/>
      <c r="R290" s="142"/>
      <c r="S290" s="142"/>
      <c r="T290" s="142"/>
      <c r="U290" s="142"/>
    </row>
    <row r="291" spans="5:21" x14ac:dyDescent="0.35">
      <c r="E291" s="135">
        <v>279</v>
      </c>
      <c r="F291" s="135">
        <v>0</v>
      </c>
      <c r="G291" s="141">
        <f t="shared" si="28"/>
        <v>0</v>
      </c>
      <c r="H291" s="155">
        <f t="shared" si="29"/>
        <v>0</v>
      </c>
      <c r="I291" s="142">
        <f t="shared" si="30"/>
        <v>0</v>
      </c>
      <c r="J291" s="142">
        <f>0</f>
        <v>0</v>
      </c>
      <c r="K291" s="142">
        <f t="shared" si="31"/>
        <v>0</v>
      </c>
      <c r="L291" s="142">
        <f t="shared" si="32"/>
        <v>0</v>
      </c>
      <c r="Q291" s="155"/>
      <c r="R291" s="142"/>
      <c r="S291" s="142"/>
      <c r="T291" s="142"/>
      <c r="U291" s="142"/>
    </row>
    <row r="292" spans="5:21" x14ac:dyDescent="0.35">
      <c r="E292" s="135">
        <v>280</v>
      </c>
      <c r="F292" s="135">
        <v>0</v>
      </c>
      <c r="G292" s="141">
        <f t="shared" si="28"/>
        <v>0</v>
      </c>
      <c r="H292" s="155">
        <f t="shared" si="29"/>
        <v>0</v>
      </c>
      <c r="I292" s="142">
        <f t="shared" si="30"/>
        <v>0</v>
      </c>
      <c r="J292" s="142">
        <f>0</f>
        <v>0</v>
      </c>
      <c r="K292" s="142">
        <f t="shared" si="31"/>
        <v>0</v>
      </c>
      <c r="L292" s="142">
        <f t="shared" si="32"/>
        <v>0</v>
      </c>
      <c r="Q292" s="155"/>
      <c r="R292" s="142"/>
      <c r="S292" s="142"/>
      <c r="T292" s="142"/>
      <c r="U292" s="142"/>
    </row>
    <row r="293" spans="5:21" x14ac:dyDescent="0.35">
      <c r="E293" s="135">
        <v>281</v>
      </c>
      <c r="F293" s="135">
        <v>0</v>
      </c>
      <c r="G293" s="141">
        <f t="shared" si="28"/>
        <v>0</v>
      </c>
      <c r="H293" s="155">
        <f t="shared" si="29"/>
        <v>0</v>
      </c>
      <c r="I293" s="142">
        <f t="shared" si="30"/>
        <v>0</v>
      </c>
      <c r="J293" s="142">
        <f>0</f>
        <v>0</v>
      </c>
      <c r="K293" s="142">
        <f t="shared" si="31"/>
        <v>0</v>
      </c>
      <c r="L293" s="142">
        <f t="shared" si="32"/>
        <v>0</v>
      </c>
      <c r="Q293" s="155"/>
      <c r="R293" s="142"/>
      <c r="S293" s="142"/>
      <c r="T293" s="142"/>
      <c r="U293" s="142"/>
    </row>
    <row r="294" spans="5:21" x14ac:dyDescent="0.35">
      <c r="E294" s="135">
        <v>282</v>
      </c>
      <c r="F294" s="135">
        <v>0</v>
      </c>
      <c r="G294" s="141">
        <f t="shared" si="28"/>
        <v>0</v>
      </c>
      <c r="H294" s="155">
        <f t="shared" si="29"/>
        <v>0</v>
      </c>
      <c r="I294" s="142">
        <f t="shared" si="30"/>
        <v>0</v>
      </c>
      <c r="J294" s="142">
        <f>0</f>
        <v>0</v>
      </c>
      <c r="K294" s="142">
        <f t="shared" si="31"/>
        <v>0</v>
      </c>
      <c r="L294" s="142">
        <f t="shared" si="32"/>
        <v>0</v>
      </c>
      <c r="Q294" s="155"/>
      <c r="R294" s="142"/>
      <c r="S294" s="142"/>
      <c r="T294" s="142"/>
      <c r="U294" s="142"/>
    </row>
    <row r="295" spans="5:21" x14ac:dyDescent="0.35">
      <c r="E295" s="135">
        <v>283</v>
      </c>
      <c r="F295" s="135">
        <v>1</v>
      </c>
      <c r="G295" s="141">
        <f t="shared" si="28"/>
        <v>23.813582244547764</v>
      </c>
      <c r="H295" s="155">
        <f t="shared" si="29"/>
        <v>0</v>
      </c>
      <c r="I295" s="142">
        <f t="shared" si="30"/>
        <v>0</v>
      </c>
      <c r="J295" s="142">
        <f>0</f>
        <v>0</v>
      </c>
      <c r="K295" s="142">
        <f t="shared" si="31"/>
        <v>136632.93323927111</v>
      </c>
      <c r="L295" s="142">
        <f t="shared" si="32"/>
        <v>136632.93323927111</v>
      </c>
      <c r="Q295" s="155"/>
      <c r="R295" s="142"/>
      <c r="S295" s="142"/>
      <c r="T295" s="142"/>
      <c r="U295" s="142"/>
    </row>
    <row r="296" spans="5:21" x14ac:dyDescent="0.35">
      <c r="E296" s="135">
        <v>284</v>
      </c>
      <c r="F296" s="135">
        <v>0</v>
      </c>
      <c r="G296" s="141">
        <f t="shared" si="28"/>
        <v>0</v>
      </c>
      <c r="H296" s="155">
        <f t="shared" si="29"/>
        <v>0</v>
      </c>
      <c r="I296" s="142">
        <f t="shared" si="30"/>
        <v>0</v>
      </c>
      <c r="J296" s="142">
        <f>0</f>
        <v>0</v>
      </c>
      <c r="K296" s="142">
        <f t="shared" si="31"/>
        <v>0</v>
      </c>
      <c r="L296" s="142">
        <f t="shared" si="32"/>
        <v>0</v>
      </c>
      <c r="Q296" s="155"/>
      <c r="R296" s="142"/>
      <c r="S296" s="142"/>
      <c r="T296" s="142"/>
      <c r="U296" s="142"/>
    </row>
    <row r="297" spans="5:21" x14ac:dyDescent="0.35">
      <c r="E297" s="135">
        <v>285</v>
      </c>
      <c r="F297" s="135">
        <v>0</v>
      </c>
      <c r="G297" s="141">
        <f t="shared" si="28"/>
        <v>0</v>
      </c>
      <c r="H297" s="155">
        <f t="shared" si="29"/>
        <v>0</v>
      </c>
      <c r="I297" s="142">
        <f t="shared" si="30"/>
        <v>0</v>
      </c>
      <c r="J297" s="142">
        <f>0</f>
        <v>0</v>
      </c>
      <c r="K297" s="142">
        <f t="shared" si="31"/>
        <v>0</v>
      </c>
      <c r="L297" s="142">
        <f t="shared" si="32"/>
        <v>0</v>
      </c>
      <c r="Q297" s="155"/>
      <c r="R297" s="142"/>
      <c r="S297" s="142"/>
      <c r="T297" s="142"/>
      <c r="U297" s="142"/>
    </row>
    <row r="298" spans="5:21" x14ac:dyDescent="0.35">
      <c r="E298" s="135">
        <v>286</v>
      </c>
      <c r="F298" s="135">
        <v>0</v>
      </c>
      <c r="G298" s="141">
        <f t="shared" si="28"/>
        <v>0</v>
      </c>
      <c r="H298" s="155">
        <f t="shared" si="29"/>
        <v>0</v>
      </c>
      <c r="I298" s="142">
        <f t="shared" si="30"/>
        <v>0</v>
      </c>
      <c r="J298" s="142">
        <f>0</f>
        <v>0</v>
      </c>
      <c r="K298" s="142">
        <f t="shared" si="31"/>
        <v>0</v>
      </c>
      <c r="L298" s="142">
        <f t="shared" si="32"/>
        <v>0</v>
      </c>
      <c r="Q298" s="155"/>
      <c r="R298" s="142"/>
      <c r="S298" s="142"/>
      <c r="T298" s="142"/>
      <c r="U298" s="142"/>
    </row>
    <row r="299" spans="5:21" x14ac:dyDescent="0.35">
      <c r="E299" s="135">
        <v>287</v>
      </c>
      <c r="F299" s="135">
        <v>0</v>
      </c>
      <c r="G299" s="141">
        <f t="shared" si="28"/>
        <v>0</v>
      </c>
      <c r="H299" s="155">
        <f t="shared" si="29"/>
        <v>0</v>
      </c>
      <c r="I299" s="142">
        <f t="shared" si="30"/>
        <v>0</v>
      </c>
      <c r="J299" s="142">
        <f>0</f>
        <v>0</v>
      </c>
      <c r="K299" s="142">
        <f t="shared" si="31"/>
        <v>0</v>
      </c>
      <c r="L299" s="142">
        <f t="shared" si="32"/>
        <v>0</v>
      </c>
      <c r="Q299" s="155"/>
      <c r="R299" s="142"/>
      <c r="S299" s="142"/>
      <c r="T299" s="142"/>
      <c r="U299" s="142"/>
    </row>
    <row r="300" spans="5:21" x14ac:dyDescent="0.35">
      <c r="E300" s="135">
        <v>288</v>
      </c>
      <c r="F300" s="135">
        <v>2</v>
      </c>
      <c r="G300" s="141">
        <f t="shared" si="28"/>
        <v>47.627164489095527</v>
      </c>
      <c r="H300" s="155">
        <f t="shared" si="29"/>
        <v>200</v>
      </c>
      <c r="I300" s="142">
        <f t="shared" si="30"/>
        <v>14500000</v>
      </c>
      <c r="J300" s="142">
        <f>0</f>
        <v>0</v>
      </c>
      <c r="K300" s="142">
        <f t="shared" si="31"/>
        <v>273265.86647854222</v>
      </c>
      <c r="L300" s="142">
        <f t="shared" si="32"/>
        <v>14773265.866478542</v>
      </c>
      <c r="Q300" s="155"/>
      <c r="R300" s="142"/>
      <c r="S300" s="142"/>
      <c r="T300" s="142"/>
      <c r="U300" s="142"/>
    </row>
    <row r="301" spans="5:21" x14ac:dyDescent="0.35">
      <c r="E301" s="135">
        <v>289</v>
      </c>
      <c r="F301" s="135">
        <v>0</v>
      </c>
      <c r="G301" s="141">
        <f t="shared" si="28"/>
        <v>0</v>
      </c>
      <c r="H301" s="155">
        <f t="shared" si="29"/>
        <v>0</v>
      </c>
      <c r="I301" s="142">
        <f t="shared" si="30"/>
        <v>0</v>
      </c>
      <c r="J301" s="142">
        <f>0</f>
        <v>0</v>
      </c>
      <c r="K301" s="142">
        <f t="shared" si="31"/>
        <v>0</v>
      </c>
      <c r="L301" s="142">
        <f t="shared" si="32"/>
        <v>0</v>
      </c>
      <c r="Q301" s="155"/>
      <c r="R301" s="142"/>
      <c r="S301" s="142"/>
      <c r="T301" s="142"/>
      <c r="U301" s="142"/>
    </row>
    <row r="302" spans="5:21" x14ac:dyDescent="0.35">
      <c r="E302" s="135">
        <v>290</v>
      </c>
      <c r="F302" s="135">
        <v>2</v>
      </c>
      <c r="G302" s="141">
        <f t="shared" si="28"/>
        <v>47.627164489095527</v>
      </c>
      <c r="H302" s="155">
        <f t="shared" si="29"/>
        <v>200</v>
      </c>
      <c r="I302" s="142">
        <f t="shared" si="30"/>
        <v>14500000</v>
      </c>
      <c r="J302" s="142">
        <f>0</f>
        <v>0</v>
      </c>
      <c r="K302" s="142">
        <f t="shared" si="31"/>
        <v>273265.86647854222</v>
      </c>
      <c r="L302" s="142">
        <f t="shared" si="32"/>
        <v>14773265.866478542</v>
      </c>
      <c r="Q302" s="155"/>
      <c r="R302" s="142"/>
      <c r="S302" s="142"/>
      <c r="T302" s="142"/>
      <c r="U302" s="142"/>
    </row>
    <row r="303" spans="5:21" x14ac:dyDescent="0.35">
      <c r="E303" s="135">
        <v>291</v>
      </c>
      <c r="F303" s="135">
        <v>0</v>
      </c>
      <c r="G303" s="141">
        <f t="shared" si="28"/>
        <v>0</v>
      </c>
      <c r="H303" s="155">
        <f t="shared" si="29"/>
        <v>0</v>
      </c>
      <c r="I303" s="142">
        <f t="shared" si="30"/>
        <v>0</v>
      </c>
      <c r="J303" s="142">
        <f>0</f>
        <v>0</v>
      </c>
      <c r="K303" s="142">
        <f t="shared" si="31"/>
        <v>0</v>
      </c>
      <c r="L303" s="142">
        <f t="shared" si="32"/>
        <v>0</v>
      </c>
      <c r="Q303" s="155"/>
      <c r="R303" s="142"/>
      <c r="S303" s="142"/>
      <c r="T303" s="142"/>
      <c r="U303" s="142"/>
    </row>
    <row r="304" spans="5:21" x14ac:dyDescent="0.35">
      <c r="E304" s="135">
        <v>292</v>
      </c>
      <c r="F304" s="135">
        <v>0</v>
      </c>
      <c r="G304" s="141">
        <f t="shared" si="28"/>
        <v>0</v>
      </c>
      <c r="H304" s="155">
        <f t="shared" si="29"/>
        <v>0</v>
      </c>
      <c r="I304" s="142">
        <f t="shared" si="30"/>
        <v>0</v>
      </c>
      <c r="J304" s="142">
        <f>0</f>
        <v>0</v>
      </c>
      <c r="K304" s="142">
        <f t="shared" si="31"/>
        <v>0</v>
      </c>
      <c r="L304" s="142">
        <f t="shared" si="32"/>
        <v>0</v>
      </c>
      <c r="Q304" s="155"/>
      <c r="R304" s="142"/>
      <c r="S304" s="142"/>
      <c r="T304" s="142"/>
      <c r="U304" s="142"/>
    </row>
    <row r="305" spans="5:21" x14ac:dyDescent="0.35">
      <c r="E305" s="135">
        <v>293</v>
      </c>
      <c r="F305" s="135">
        <v>0</v>
      </c>
      <c r="G305" s="141">
        <f t="shared" si="28"/>
        <v>0</v>
      </c>
      <c r="H305" s="155">
        <f t="shared" si="29"/>
        <v>0</v>
      </c>
      <c r="I305" s="142">
        <f t="shared" si="30"/>
        <v>0</v>
      </c>
      <c r="J305" s="142">
        <f>0</f>
        <v>0</v>
      </c>
      <c r="K305" s="142">
        <f t="shared" si="31"/>
        <v>0</v>
      </c>
      <c r="L305" s="142">
        <f t="shared" si="32"/>
        <v>0</v>
      </c>
      <c r="Q305" s="155"/>
      <c r="R305" s="142"/>
      <c r="S305" s="142"/>
      <c r="T305" s="142"/>
      <c r="U305" s="142"/>
    </row>
    <row r="306" spans="5:21" x14ac:dyDescent="0.35">
      <c r="E306" s="135">
        <v>294</v>
      </c>
      <c r="F306" s="135">
        <v>0</v>
      </c>
      <c r="G306" s="141">
        <f t="shared" si="28"/>
        <v>0</v>
      </c>
      <c r="H306" s="155">
        <f t="shared" si="29"/>
        <v>0</v>
      </c>
      <c r="I306" s="142">
        <f t="shared" si="30"/>
        <v>0</v>
      </c>
      <c r="J306" s="142">
        <f>0</f>
        <v>0</v>
      </c>
      <c r="K306" s="142">
        <f t="shared" si="31"/>
        <v>0</v>
      </c>
      <c r="L306" s="142">
        <f t="shared" si="32"/>
        <v>0</v>
      </c>
      <c r="Q306" s="155"/>
      <c r="R306" s="142"/>
      <c r="S306" s="142"/>
      <c r="T306" s="142"/>
      <c r="U306" s="142"/>
    </row>
    <row r="307" spans="5:21" x14ac:dyDescent="0.35">
      <c r="E307" s="135">
        <v>295</v>
      </c>
      <c r="F307" s="135">
        <v>0</v>
      </c>
      <c r="G307" s="141">
        <f t="shared" si="28"/>
        <v>0</v>
      </c>
      <c r="H307" s="155">
        <f t="shared" si="29"/>
        <v>0</v>
      </c>
      <c r="I307" s="142">
        <f t="shared" si="30"/>
        <v>0</v>
      </c>
      <c r="J307" s="142">
        <f>0</f>
        <v>0</v>
      </c>
      <c r="K307" s="142">
        <f t="shared" si="31"/>
        <v>0</v>
      </c>
      <c r="L307" s="142">
        <f t="shared" si="32"/>
        <v>0</v>
      </c>
      <c r="Q307" s="155"/>
      <c r="R307" s="142"/>
      <c r="S307" s="142"/>
      <c r="T307" s="142"/>
      <c r="U307" s="142"/>
    </row>
    <row r="308" spans="5:21" x14ac:dyDescent="0.35">
      <c r="E308" s="135">
        <v>296</v>
      </c>
      <c r="F308" s="135">
        <v>0</v>
      </c>
      <c r="G308" s="141">
        <f t="shared" si="28"/>
        <v>0</v>
      </c>
      <c r="H308" s="155">
        <f t="shared" si="29"/>
        <v>0</v>
      </c>
      <c r="I308" s="142">
        <f t="shared" si="30"/>
        <v>0</v>
      </c>
      <c r="J308" s="142">
        <f>0</f>
        <v>0</v>
      </c>
      <c r="K308" s="142">
        <f t="shared" si="31"/>
        <v>0</v>
      </c>
      <c r="L308" s="142">
        <f t="shared" si="32"/>
        <v>0</v>
      </c>
      <c r="Q308" s="155"/>
      <c r="R308" s="142"/>
      <c r="S308" s="142"/>
      <c r="T308" s="142"/>
      <c r="U308" s="142"/>
    </row>
    <row r="309" spans="5:21" x14ac:dyDescent="0.35">
      <c r="E309" s="135">
        <v>297</v>
      </c>
      <c r="F309" s="135">
        <v>0</v>
      </c>
      <c r="G309" s="141">
        <f t="shared" si="28"/>
        <v>0</v>
      </c>
      <c r="H309" s="155">
        <f t="shared" si="29"/>
        <v>0</v>
      </c>
      <c r="I309" s="142">
        <f t="shared" si="30"/>
        <v>0</v>
      </c>
      <c r="J309" s="142">
        <f>0</f>
        <v>0</v>
      </c>
      <c r="K309" s="142">
        <f t="shared" si="31"/>
        <v>0</v>
      </c>
      <c r="L309" s="142">
        <f t="shared" si="32"/>
        <v>0</v>
      </c>
      <c r="Q309" s="155"/>
      <c r="R309" s="142"/>
      <c r="S309" s="142"/>
      <c r="T309" s="142"/>
      <c r="U309" s="142"/>
    </row>
    <row r="310" spans="5:21" x14ac:dyDescent="0.35">
      <c r="E310" s="135">
        <v>298</v>
      </c>
      <c r="F310" s="135">
        <v>0</v>
      </c>
      <c r="G310" s="141">
        <f t="shared" si="28"/>
        <v>0</v>
      </c>
      <c r="H310" s="155">
        <f t="shared" si="29"/>
        <v>0</v>
      </c>
      <c r="I310" s="142">
        <f t="shared" si="30"/>
        <v>0</v>
      </c>
      <c r="J310" s="142">
        <f>0</f>
        <v>0</v>
      </c>
      <c r="K310" s="142">
        <f t="shared" si="31"/>
        <v>0</v>
      </c>
      <c r="L310" s="142">
        <f t="shared" si="32"/>
        <v>0</v>
      </c>
      <c r="Q310" s="155"/>
      <c r="R310" s="142"/>
      <c r="S310" s="142"/>
      <c r="T310" s="142"/>
      <c r="U310" s="142"/>
    </row>
    <row r="311" spans="5:21" x14ac:dyDescent="0.35">
      <c r="E311" s="135">
        <v>299</v>
      </c>
      <c r="F311" s="135">
        <v>1</v>
      </c>
      <c r="G311" s="141">
        <f t="shared" si="28"/>
        <v>23.813582244547764</v>
      </c>
      <c r="H311" s="155">
        <f t="shared" si="29"/>
        <v>0</v>
      </c>
      <c r="I311" s="142">
        <f t="shared" si="30"/>
        <v>0</v>
      </c>
      <c r="J311" s="142">
        <f>0</f>
        <v>0</v>
      </c>
      <c r="K311" s="142">
        <f t="shared" si="31"/>
        <v>136632.93323927111</v>
      </c>
      <c r="L311" s="142">
        <f t="shared" si="32"/>
        <v>136632.93323927111</v>
      </c>
      <c r="Q311" s="155"/>
      <c r="R311" s="142"/>
      <c r="S311" s="142"/>
      <c r="T311" s="142"/>
      <c r="U311" s="142"/>
    </row>
    <row r="312" spans="5:21" x14ac:dyDescent="0.35">
      <c r="E312" s="135">
        <v>300</v>
      </c>
      <c r="F312" s="135">
        <v>0</v>
      </c>
      <c r="G312" s="141">
        <f t="shared" si="28"/>
        <v>0</v>
      </c>
      <c r="H312" s="155">
        <f t="shared" si="29"/>
        <v>0</v>
      </c>
      <c r="I312" s="142">
        <f t="shared" si="30"/>
        <v>0</v>
      </c>
      <c r="J312" s="142">
        <f>0</f>
        <v>0</v>
      </c>
      <c r="K312" s="142">
        <f t="shared" si="31"/>
        <v>0</v>
      </c>
      <c r="L312" s="142">
        <f t="shared" si="32"/>
        <v>0</v>
      </c>
      <c r="Q312" s="155"/>
      <c r="R312" s="142"/>
      <c r="S312" s="142"/>
      <c r="T312" s="142"/>
      <c r="U312" s="142"/>
    </row>
    <row r="313" spans="5:21" x14ac:dyDescent="0.35">
      <c r="E313" s="135">
        <v>301</v>
      </c>
      <c r="F313" s="135">
        <v>1</v>
      </c>
      <c r="G313" s="141">
        <f t="shared" si="28"/>
        <v>23.813582244547764</v>
      </c>
      <c r="H313" s="155">
        <f t="shared" si="29"/>
        <v>0</v>
      </c>
      <c r="I313" s="142">
        <f t="shared" si="30"/>
        <v>0</v>
      </c>
      <c r="J313" s="142">
        <f>0</f>
        <v>0</v>
      </c>
      <c r="K313" s="142">
        <f t="shared" si="31"/>
        <v>136632.93323927111</v>
      </c>
      <c r="L313" s="142">
        <f t="shared" si="32"/>
        <v>136632.93323927111</v>
      </c>
      <c r="Q313" s="155"/>
      <c r="R313" s="142"/>
      <c r="S313" s="142"/>
      <c r="T313" s="142"/>
      <c r="U313" s="142"/>
    </row>
    <row r="314" spans="5:21" x14ac:dyDescent="0.35">
      <c r="E314" s="135">
        <v>302</v>
      </c>
      <c r="F314" s="135">
        <v>0</v>
      </c>
      <c r="G314" s="141">
        <f t="shared" si="28"/>
        <v>0</v>
      </c>
      <c r="H314" s="155">
        <f t="shared" si="29"/>
        <v>0</v>
      </c>
      <c r="I314" s="142">
        <f t="shared" si="30"/>
        <v>0</v>
      </c>
      <c r="J314" s="142">
        <f>0</f>
        <v>0</v>
      </c>
      <c r="K314" s="142">
        <f t="shared" si="31"/>
        <v>0</v>
      </c>
      <c r="L314" s="142">
        <f t="shared" si="32"/>
        <v>0</v>
      </c>
      <c r="Q314" s="155"/>
      <c r="R314" s="142"/>
      <c r="S314" s="142"/>
      <c r="T314" s="142"/>
      <c r="U314" s="142"/>
    </row>
    <row r="315" spans="5:21" x14ac:dyDescent="0.35">
      <c r="E315" s="135">
        <v>303</v>
      </c>
      <c r="F315" s="135">
        <v>0</v>
      </c>
      <c r="G315" s="141">
        <f t="shared" si="28"/>
        <v>0</v>
      </c>
      <c r="H315" s="155">
        <f t="shared" si="29"/>
        <v>0</v>
      </c>
      <c r="I315" s="142">
        <f t="shared" si="30"/>
        <v>0</v>
      </c>
      <c r="J315" s="142">
        <f>0</f>
        <v>0</v>
      </c>
      <c r="K315" s="142">
        <f t="shared" si="31"/>
        <v>0</v>
      </c>
      <c r="L315" s="142">
        <f t="shared" si="32"/>
        <v>0</v>
      </c>
      <c r="Q315" s="155"/>
      <c r="R315" s="142"/>
      <c r="S315" s="142"/>
      <c r="T315" s="142"/>
      <c r="U315" s="142"/>
    </row>
    <row r="316" spans="5:21" x14ac:dyDescent="0.35">
      <c r="E316" s="135">
        <v>304</v>
      </c>
      <c r="F316" s="135">
        <v>0</v>
      </c>
      <c r="G316" s="141">
        <f t="shared" si="28"/>
        <v>0</v>
      </c>
      <c r="H316" s="155">
        <f t="shared" si="29"/>
        <v>0</v>
      </c>
      <c r="I316" s="142">
        <f t="shared" si="30"/>
        <v>0</v>
      </c>
      <c r="J316" s="142">
        <f>0</f>
        <v>0</v>
      </c>
      <c r="K316" s="142">
        <f t="shared" si="31"/>
        <v>0</v>
      </c>
      <c r="L316" s="142">
        <f t="shared" si="32"/>
        <v>0</v>
      </c>
      <c r="Q316" s="155"/>
      <c r="R316" s="142"/>
      <c r="S316" s="142"/>
      <c r="T316" s="142"/>
      <c r="U316" s="142"/>
    </row>
    <row r="317" spans="5:21" x14ac:dyDescent="0.35">
      <c r="E317" s="135">
        <v>305</v>
      </c>
      <c r="F317" s="135">
        <v>0</v>
      </c>
      <c r="G317" s="141">
        <f t="shared" si="28"/>
        <v>0</v>
      </c>
      <c r="H317" s="155">
        <f t="shared" si="29"/>
        <v>0</v>
      </c>
      <c r="I317" s="142">
        <f t="shared" si="30"/>
        <v>0</v>
      </c>
      <c r="J317" s="142">
        <f>0</f>
        <v>0</v>
      </c>
      <c r="K317" s="142">
        <f t="shared" si="31"/>
        <v>0</v>
      </c>
      <c r="L317" s="142">
        <f t="shared" si="32"/>
        <v>0</v>
      </c>
      <c r="Q317" s="155"/>
      <c r="R317" s="142"/>
      <c r="S317" s="142"/>
      <c r="T317" s="142"/>
      <c r="U317" s="142"/>
    </row>
    <row r="318" spans="5:21" x14ac:dyDescent="0.35">
      <c r="E318" s="135">
        <v>306</v>
      </c>
      <c r="F318" s="135">
        <v>0</v>
      </c>
      <c r="G318" s="141">
        <f t="shared" si="28"/>
        <v>0</v>
      </c>
      <c r="H318" s="155">
        <f t="shared" si="29"/>
        <v>0</v>
      </c>
      <c r="I318" s="142">
        <f t="shared" si="30"/>
        <v>0</v>
      </c>
      <c r="J318" s="142">
        <f>0</f>
        <v>0</v>
      </c>
      <c r="K318" s="142">
        <f t="shared" si="31"/>
        <v>0</v>
      </c>
      <c r="L318" s="142">
        <f t="shared" si="32"/>
        <v>0</v>
      </c>
      <c r="Q318" s="155"/>
      <c r="R318" s="142"/>
      <c r="S318" s="142"/>
      <c r="T318" s="142"/>
      <c r="U318" s="142"/>
    </row>
    <row r="319" spans="5:21" x14ac:dyDescent="0.35">
      <c r="E319" s="135">
        <v>307</v>
      </c>
      <c r="F319" s="135">
        <v>0</v>
      </c>
      <c r="G319" s="141">
        <f t="shared" si="28"/>
        <v>0</v>
      </c>
      <c r="H319" s="155">
        <f t="shared" si="29"/>
        <v>0</v>
      </c>
      <c r="I319" s="142">
        <f t="shared" si="30"/>
        <v>0</v>
      </c>
      <c r="J319" s="142">
        <f>0</f>
        <v>0</v>
      </c>
      <c r="K319" s="142">
        <f t="shared" si="31"/>
        <v>0</v>
      </c>
      <c r="L319" s="142">
        <f t="shared" si="32"/>
        <v>0</v>
      </c>
      <c r="Q319" s="155"/>
      <c r="R319" s="142"/>
      <c r="S319" s="142"/>
      <c r="T319" s="142"/>
      <c r="U319" s="142"/>
    </row>
    <row r="320" spans="5:21" x14ac:dyDescent="0.35">
      <c r="E320" s="135">
        <v>308</v>
      </c>
      <c r="F320" s="135">
        <v>1</v>
      </c>
      <c r="G320" s="141">
        <f t="shared" si="28"/>
        <v>23.813582244547764</v>
      </c>
      <c r="H320" s="155">
        <f t="shared" si="29"/>
        <v>0</v>
      </c>
      <c r="I320" s="142">
        <f t="shared" si="30"/>
        <v>0</v>
      </c>
      <c r="J320" s="142">
        <f>0</f>
        <v>0</v>
      </c>
      <c r="K320" s="142">
        <f t="shared" si="31"/>
        <v>136632.93323927111</v>
      </c>
      <c r="L320" s="142">
        <f t="shared" si="32"/>
        <v>136632.93323927111</v>
      </c>
      <c r="Q320" s="155"/>
      <c r="R320" s="142"/>
      <c r="S320" s="142"/>
      <c r="T320" s="142"/>
      <c r="U320" s="142"/>
    </row>
    <row r="321" spans="5:21" x14ac:dyDescent="0.35">
      <c r="E321" s="135">
        <v>309</v>
      </c>
      <c r="F321" s="135">
        <v>2</v>
      </c>
      <c r="G321" s="141">
        <f t="shared" si="28"/>
        <v>47.627164489095527</v>
      </c>
      <c r="H321" s="155">
        <f t="shared" si="29"/>
        <v>200</v>
      </c>
      <c r="I321" s="142">
        <f t="shared" si="30"/>
        <v>14500000</v>
      </c>
      <c r="J321" s="142">
        <f>0</f>
        <v>0</v>
      </c>
      <c r="K321" s="142">
        <f t="shared" si="31"/>
        <v>273265.86647854222</v>
      </c>
      <c r="L321" s="142">
        <f t="shared" si="32"/>
        <v>14773265.866478542</v>
      </c>
      <c r="Q321" s="155"/>
      <c r="R321" s="142"/>
      <c r="S321" s="142"/>
      <c r="T321" s="142"/>
      <c r="U321" s="142"/>
    </row>
    <row r="322" spans="5:21" x14ac:dyDescent="0.35">
      <c r="E322" s="135">
        <v>310</v>
      </c>
      <c r="F322" s="135">
        <v>1</v>
      </c>
      <c r="G322" s="141">
        <f t="shared" si="28"/>
        <v>23.813582244547764</v>
      </c>
      <c r="H322" s="155">
        <f t="shared" si="29"/>
        <v>0</v>
      </c>
      <c r="I322" s="142">
        <f t="shared" si="30"/>
        <v>0</v>
      </c>
      <c r="J322" s="142">
        <f>0</f>
        <v>0</v>
      </c>
      <c r="K322" s="142">
        <f t="shared" si="31"/>
        <v>136632.93323927111</v>
      </c>
      <c r="L322" s="142">
        <f t="shared" si="32"/>
        <v>136632.93323927111</v>
      </c>
      <c r="Q322" s="155"/>
      <c r="R322" s="142"/>
      <c r="S322" s="142"/>
      <c r="T322" s="142"/>
      <c r="U322" s="142"/>
    </row>
    <row r="323" spans="5:21" x14ac:dyDescent="0.35">
      <c r="E323" s="135">
        <v>311</v>
      </c>
      <c r="F323" s="135">
        <v>0</v>
      </c>
      <c r="G323" s="141">
        <f t="shared" si="28"/>
        <v>0</v>
      </c>
      <c r="H323" s="155">
        <f t="shared" si="29"/>
        <v>0</v>
      </c>
      <c r="I323" s="142">
        <f t="shared" si="30"/>
        <v>0</v>
      </c>
      <c r="J323" s="142">
        <f>0</f>
        <v>0</v>
      </c>
      <c r="K323" s="142">
        <f t="shared" si="31"/>
        <v>0</v>
      </c>
      <c r="L323" s="142">
        <f t="shared" si="32"/>
        <v>0</v>
      </c>
      <c r="Q323" s="155"/>
      <c r="R323" s="142"/>
      <c r="S323" s="142"/>
      <c r="T323" s="142"/>
      <c r="U323" s="142"/>
    </row>
    <row r="324" spans="5:21" x14ac:dyDescent="0.35">
      <c r="E324" s="135">
        <v>312</v>
      </c>
      <c r="F324" s="135">
        <v>0</v>
      </c>
      <c r="G324" s="141">
        <f t="shared" si="28"/>
        <v>0</v>
      </c>
      <c r="H324" s="155">
        <f t="shared" si="29"/>
        <v>0</v>
      </c>
      <c r="I324" s="142">
        <f t="shared" si="30"/>
        <v>0</v>
      </c>
      <c r="J324" s="142">
        <f>0</f>
        <v>0</v>
      </c>
      <c r="K324" s="142">
        <f t="shared" si="31"/>
        <v>0</v>
      </c>
      <c r="L324" s="142">
        <f t="shared" si="32"/>
        <v>0</v>
      </c>
      <c r="Q324" s="155"/>
      <c r="R324" s="142"/>
      <c r="S324" s="142"/>
      <c r="T324" s="142"/>
      <c r="U324" s="142"/>
    </row>
    <row r="325" spans="5:21" x14ac:dyDescent="0.35">
      <c r="E325" s="135">
        <v>313</v>
      </c>
      <c r="F325" s="135">
        <v>0</v>
      </c>
      <c r="G325" s="141">
        <f t="shared" si="28"/>
        <v>0</v>
      </c>
      <c r="H325" s="155">
        <f t="shared" si="29"/>
        <v>0</v>
      </c>
      <c r="I325" s="142">
        <f t="shared" si="30"/>
        <v>0</v>
      </c>
      <c r="J325" s="142">
        <f>0</f>
        <v>0</v>
      </c>
      <c r="K325" s="142">
        <f t="shared" si="31"/>
        <v>0</v>
      </c>
      <c r="L325" s="142">
        <f t="shared" si="32"/>
        <v>0</v>
      </c>
      <c r="Q325" s="155"/>
      <c r="R325" s="142"/>
      <c r="S325" s="142"/>
      <c r="T325" s="142"/>
      <c r="U325" s="142"/>
    </row>
    <row r="326" spans="5:21" x14ac:dyDescent="0.35">
      <c r="E326" s="135">
        <v>314</v>
      </c>
      <c r="F326" s="135">
        <v>1</v>
      </c>
      <c r="G326" s="141">
        <f t="shared" si="28"/>
        <v>23.813582244547764</v>
      </c>
      <c r="H326" s="155">
        <f t="shared" si="29"/>
        <v>0</v>
      </c>
      <c r="I326" s="142">
        <f t="shared" si="30"/>
        <v>0</v>
      </c>
      <c r="J326" s="142">
        <f>0</f>
        <v>0</v>
      </c>
      <c r="K326" s="142">
        <f t="shared" si="31"/>
        <v>136632.93323927111</v>
      </c>
      <c r="L326" s="142">
        <f t="shared" si="32"/>
        <v>136632.93323927111</v>
      </c>
      <c r="Q326" s="155"/>
      <c r="R326" s="142"/>
      <c r="S326" s="142"/>
      <c r="T326" s="142"/>
      <c r="U326" s="142"/>
    </row>
    <row r="327" spans="5:21" x14ac:dyDescent="0.35">
      <c r="E327" s="135">
        <v>315</v>
      </c>
      <c r="F327" s="135">
        <v>0</v>
      </c>
      <c r="G327" s="141">
        <f t="shared" si="28"/>
        <v>0</v>
      </c>
      <c r="H327" s="155">
        <f t="shared" si="29"/>
        <v>0</v>
      </c>
      <c r="I327" s="142">
        <f t="shared" si="30"/>
        <v>0</v>
      </c>
      <c r="J327" s="142">
        <f>0</f>
        <v>0</v>
      </c>
      <c r="K327" s="142">
        <f t="shared" si="31"/>
        <v>0</v>
      </c>
      <c r="L327" s="142">
        <f t="shared" si="32"/>
        <v>0</v>
      </c>
      <c r="Q327" s="155"/>
      <c r="R327" s="142"/>
      <c r="S327" s="142"/>
      <c r="T327" s="142"/>
      <c r="U327" s="142"/>
    </row>
    <row r="328" spans="5:21" x14ac:dyDescent="0.35">
      <c r="E328" s="135">
        <v>316</v>
      </c>
      <c r="F328" s="135">
        <v>0</v>
      </c>
      <c r="G328" s="141">
        <f t="shared" si="28"/>
        <v>0</v>
      </c>
      <c r="H328" s="155">
        <f t="shared" si="29"/>
        <v>0</v>
      </c>
      <c r="I328" s="142">
        <f t="shared" si="30"/>
        <v>0</v>
      </c>
      <c r="J328" s="142">
        <f>0</f>
        <v>0</v>
      </c>
      <c r="K328" s="142">
        <f t="shared" si="31"/>
        <v>0</v>
      </c>
      <c r="L328" s="142">
        <f t="shared" si="32"/>
        <v>0</v>
      </c>
      <c r="Q328" s="155"/>
      <c r="R328" s="142"/>
      <c r="S328" s="142"/>
      <c r="T328" s="142"/>
      <c r="U328" s="142"/>
    </row>
    <row r="329" spans="5:21" x14ac:dyDescent="0.35">
      <c r="E329" s="135">
        <v>317</v>
      </c>
      <c r="F329" s="135">
        <v>0</v>
      </c>
      <c r="G329" s="141">
        <f t="shared" si="28"/>
        <v>0</v>
      </c>
      <c r="H329" s="155">
        <f t="shared" si="29"/>
        <v>0</v>
      </c>
      <c r="I329" s="142">
        <f t="shared" si="30"/>
        <v>0</v>
      </c>
      <c r="J329" s="142">
        <f>0</f>
        <v>0</v>
      </c>
      <c r="K329" s="142">
        <f t="shared" si="31"/>
        <v>0</v>
      </c>
      <c r="L329" s="142">
        <f t="shared" si="32"/>
        <v>0</v>
      </c>
      <c r="Q329" s="155"/>
      <c r="R329" s="142"/>
      <c r="S329" s="142"/>
      <c r="T329" s="142"/>
      <c r="U329" s="142"/>
    </row>
    <row r="330" spans="5:21" x14ac:dyDescent="0.35">
      <c r="E330" s="135">
        <v>318</v>
      </c>
      <c r="F330" s="135">
        <v>1</v>
      </c>
      <c r="G330" s="141">
        <f t="shared" si="28"/>
        <v>23.813582244547764</v>
      </c>
      <c r="H330" s="155">
        <f t="shared" si="29"/>
        <v>0</v>
      </c>
      <c r="I330" s="142">
        <f t="shared" si="30"/>
        <v>0</v>
      </c>
      <c r="J330" s="142">
        <f>0</f>
        <v>0</v>
      </c>
      <c r="K330" s="142">
        <f t="shared" si="31"/>
        <v>136632.93323927111</v>
      </c>
      <c r="L330" s="142">
        <f t="shared" si="32"/>
        <v>136632.93323927111</v>
      </c>
      <c r="Q330" s="155"/>
      <c r="R330" s="142"/>
      <c r="S330" s="142"/>
      <c r="T330" s="142"/>
      <c r="U330" s="142"/>
    </row>
    <row r="331" spans="5:21" x14ac:dyDescent="0.35">
      <c r="E331" s="135">
        <v>319</v>
      </c>
      <c r="F331" s="135">
        <v>1</v>
      </c>
      <c r="G331" s="141">
        <f t="shared" si="28"/>
        <v>23.813582244547764</v>
      </c>
      <c r="H331" s="155">
        <f t="shared" si="29"/>
        <v>0</v>
      </c>
      <c r="I331" s="142">
        <f t="shared" si="30"/>
        <v>0</v>
      </c>
      <c r="J331" s="142">
        <f>0</f>
        <v>0</v>
      </c>
      <c r="K331" s="142">
        <f t="shared" si="31"/>
        <v>136632.93323927111</v>
      </c>
      <c r="L331" s="142">
        <f t="shared" si="32"/>
        <v>136632.93323927111</v>
      </c>
      <c r="Q331" s="155"/>
      <c r="R331" s="142"/>
      <c r="S331" s="142"/>
      <c r="T331" s="142"/>
      <c r="U331" s="142"/>
    </row>
    <row r="332" spans="5:21" x14ac:dyDescent="0.35">
      <c r="E332" s="135">
        <v>320</v>
      </c>
      <c r="F332" s="135">
        <v>0</v>
      </c>
      <c r="G332" s="141">
        <f t="shared" si="28"/>
        <v>0</v>
      </c>
      <c r="H332" s="155">
        <f t="shared" si="29"/>
        <v>0</v>
      </c>
      <c r="I332" s="142">
        <f t="shared" si="30"/>
        <v>0</v>
      </c>
      <c r="J332" s="142">
        <f>0</f>
        <v>0</v>
      </c>
      <c r="K332" s="142">
        <f t="shared" si="31"/>
        <v>0</v>
      </c>
      <c r="L332" s="142">
        <f t="shared" si="32"/>
        <v>0</v>
      </c>
      <c r="Q332" s="155"/>
      <c r="R332" s="142"/>
      <c r="S332" s="142"/>
      <c r="T332" s="142"/>
      <c r="U332" s="142"/>
    </row>
    <row r="333" spans="5:21" x14ac:dyDescent="0.35">
      <c r="E333" s="135">
        <v>321</v>
      </c>
      <c r="F333" s="135">
        <v>0</v>
      </c>
      <c r="G333" s="141">
        <f t="shared" ref="G333:G396" si="33">F333*$C$9</f>
        <v>0</v>
      </c>
      <c r="H333" s="155">
        <f t="shared" ref="H333:H396" si="34">IF(F333 &gt; 1,$C$13*20000,0)</f>
        <v>0</v>
      </c>
      <c r="I333" s="142">
        <f t="shared" ref="I333:I396" si="35">IF(F333 &gt; 1,$C$4,0)</f>
        <v>0</v>
      </c>
      <c r="J333" s="142">
        <f>0</f>
        <v>0</v>
      </c>
      <c r="K333" s="142">
        <f t="shared" ref="K333:K396" si="36">F333*$C$5</f>
        <v>0</v>
      </c>
      <c r="L333" s="142">
        <f t="shared" ref="L333:L396" si="37">J333+I333+K333</f>
        <v>0</v>
      </c>
      <c r="Q333" s="155"/>
      <c r="R333" s="142"/>
      <c r="S333" s="142"/>
      <c r="T333" s="142"/>
      <c r="U333" s="142"/>
    </row>
    <row r="334" spans="5:21" x14ac:dyDescent="0.35">
      <c r="E334" s="135">
        <v>322</v>
      </c>
      <c r="F334" s="135">
        <v>1</v>
      </c>
      <c r="G334" s="141">
        <f t="shared" si="33"/>
        <v>23.813582244547764</v>
      </c>
      <c r="H334" s="155">
        <f t="shared" si="34"/>
        <v>0</v>
      </c>
      <c r="I334" s="142">
        <f t="shared" si="35"/>
        <v>0</v>
      </c>
      <c r="J334" s="142">
        <f>0</f>
        <v>0</v>
      </c>
      <c r="K334" s="142">
        <f t="shared" si="36"/>
        <v>136632.93323927111</v>
      </c>
      <c r="L334" s="142">
        <f t="shared" si="37"/>
        <v>136632.93323927111</v>
      </c>
      <c r="Q334" s="155"/>
      <c r="R334" s="142"/>
      <c r="S334" s="142"/>
      <c r="T334" s="142"/>
      <c r="U334" s="142"/>
    </row>
    <row r="335" spans="5:21" x14ac:dyDescent="0.35">
      <c r="E335" s="135">
        <v>323</v>
      </c>
      <c r="F335" s="135">
        <v>0</v>
      </c>
      <c r="G335" s="141">
        <f t="shared" si="33"/>
        <v>0</v>
      </c>
      <c r="H335" s="155">
        <f t="shared" si="34"/>
        <v>0</v>
      </c>
      <c r="I335" s="142">
        <f t="shared" si="35"/>
        <v>0</v>
      </c>
      <c r="J335" s="142">
        <f>0</f>
        <v>0</v>
      </c>
      <c r="K335" s="142">
        <f t="shared" si="36"/>
        <v>0</v>
      </c>
      <c r="L335" s="142">
        <f t="shared" si="37"/>
        <v>0</v>
      </c>
      <c r="Q335" s="155"/>
      <c r="R335" s="142"/>
      <c r="S335" s="142"/>
      <c r="T335" s="142"/>
      <c r="U335" s="142"/>
    </row>
    <row r="336" spans="5:21" x14ac:dyDescent="0.35">
      <c r="E336" s="135">
        <v>324</v>
      </c>
      <c r="F336" s="135">
        <v>0</v>
      </c>
      <c r="G336" s="141">
        <f t="shared" si="33"/>
        <v>0</v>
      </c>
      <c r="H336" s="155">
        <f t="shared" si="34"/>
        <v>0</v>
      </c>
      <c r="I336" s="142">
        <f t="shared" si="35"/>
        <v>0</v>
      </c>
      <c r="J336" s="142">
        <f>0</f>
        <v>0</v>
      </c>
      <c r="K336" s="142">
        <f t="shared" si="36"/>
        <v>0</v>
      </c>
      <c r="L336" s="142">
        <f t="shared" si="37"/>
        <v>0</v>
      </c>
      <c r="Q336" s="155"/>
      <c r="R336" s="142"/>
      <c r="S336" s="142"/>
      <c r="T336" s="142"/>
      <c r="U336" s="142"/>
    </row>
    <row r="337" spans="5:21" x14ac:dyDescent="0.35">
      <c r="E337" s="135">
        <v>325</v>
      </c>
      <c r="F337" s="135">
        <v>0</v>
      </c>
      <c r="G337" s="141">
        <f t="shared" si="33"/>
        <v>0</v>
      </c>
      <c r="H337" s="155">
        <f t="shared" si="34"/>
        <v>0</v>
      </c>
      <c r="I337" s="142">
        <f t="shared" si="35"/>
        <v>0</v>
      </c>
      <c r="J337" s="142">
        <f>0</f>
        <v>0</v>
      </c>
      <c r="K337" s="142">
        <f t="shared" si="36"/>
        <v>0</v>
      </c>
      <c r="L337" s="142">
        <f t="shared" si="37"/>
        <v>0</v>
      </c>
      <c r="Q337" s="155"/>
      <c r="R337" s="142"/>
      <c r="S337" s="142"/>
      <c r="T337" s="142"/>
      <c r="U337" s="142"/>
    </row>
    <row r="338" spans="5:21" x14ac:dyDescent="0.35">
      <c r="E338" s="135">
        <v>326</v>
      </c>
      <c r="F338" s="135">
        <v>0</v>
      </c>
      <c r="G338" s="141">
        <f t="shared" si="33"/>
        <v>0</v>
      </c>
      <c r="H338" s="155">
        <f t="shared" si="34"/>
        <v>0</v>
      </c>
      <c r="I338" s="142">
        <f t="shared" si="35"/>
        <v>0</v>
      </c>
      <c r="J338" s="142">
        <f>0</f>
        <v>0</v>
      </c>
      <c r="K338" s="142">
        <f t="shared" si="36"/>
        <v>0</v>
      </c>
      <c r="L338" s="142">
        <f t="shared" si="37"/>
        <v>0</v>
      </c>
      <c r="Q338" s="155"/>
      <c r="R338" s="142"/>
      <c r="S338" s="142"/>
      <c r="T338" s="142"/>
      <c r="U338" s="142"/>
    </row>
    <row r="339" spans="5:21" x14ac:dyDescent="0.35">
      <c r="E339" s="135">
        <v>327</v>
      </c>
      <c r="F339" s="135">
        <v>3</v>
      </c>
      <c r="G339" s="141">
        <f t="shared" si="33"/>
        <v>71.440746733643294</v>
      </c>
      <c r="H339" s="155">
        <f t="shared" si="34"/>
        <v>200</v>
      </c>
      <c r="I339" s="142">
        <f t="shared" si="35"/>
        <v>14500000</v>
      </c>
      <c r="J339" s="142">
        <f>0</f>
        <v>0</v>
      </c>
      <c r="K339" s="142">
        <f t="shared" si="36"/>
        <v>409898.79971781332</v>
      </c>
      <c r="L339" s="142">
        <f t="shared" si="37"/>
        <v>14909898.799717814</v>
      </c>
      <c r="Q339" s="155"/>
      <c r="R339" s="142"/>
      <c r="S339" s="142"/>
      <c r="T339" s="142"/>
      <c r="U339" s="142"/>
    </row>
    <row r="340" spans="5:21" x14ac:dyDescent="0.35">
      <c r="E340" s="135">
        <v>328</v>
      </c>
      <c r="F340" s="135">
        <v>0</v>
      </c>
      <c r="G340" s="141">
        <f t="shared" si="33"/>
        <v>0</v>
      </c>
      <c r="H340" s="155">
        <f t="shared" si="34"/>
        <v>0</v>
      </c>
      <c r="I340" s="142">
        <f t="shared" si="35"/>
        <v>0</v>
      </c>
      <c r="J340" s="142">
        <f>0</f>
        <v>0</v>
      </c>
      <c r="K340" s="142">
        <f t="shared" si="36"/>
        <v>0</v>
      </c>
      <c r="L340" s="142">
        <f t="shared" si="37"/>
        <v>0</v>
      </c>
      <c r="Q340" s="155"/>
      <c r="R340" s="142"/>
      <c r="S340" s="142"/>
      <c r="T340" s="142"/>
      <c r="U340" s="142"/>
    </row>
    <row r="341" spans="5:21" x14ac:dyDescent="0.35">
      <c r="E341" s="135">
        <v>329</v>
      </c>
      <c r="F341" s="135">
        <v>0</v>
      </c>
      <c r="G341" s="141">
        <f t="shared" si="33"/>
        <v>0</v>
      </c>
      <c r="H341" s="155">
        <f t="shared" si="34"/>
        <v>0</v>
      </c>
      <c r="I341" s="142">
        <f t="shared" si="35"/>
        <v>0</v>
      </c>
      <c r="J341" s="142">
        <f>0</f>
        <v>0</v>
      </c>
      <c r="K341" s="142">
        <f t="shared" si="36"/>
        <v>0</v>
      </c>
      <c r="L341" s="142">
        <f t="shared" si="37"/>
        <v>0</v>
      </c>
      <c r="Q341" s="155"/>
      <c r="R341" s="142"/>
      <c r="S341" s="142"/>
      <c r="T341" s="142"/>
      <c r="U341" s="142"/>
    </row>
    <row r="342" spans="5:21" x14ac:dyDescent="0.35">
      <c r="E342" s="135">
        <v>330</v>
      </c>
      <c r="F342" s="135">
        <v>0</v>
      </c>
      <c r="G342" s="141">
        <f t="shared" si="33"/>
        <v>0</v>
      </c>
      <c r="H342" s="155">
        <f t="shared" si="34"/>
        <v>0</v>
      </c>
      <c r="I342" s="142">
        <f t="shared" si="35"/>
        <v>0</v>
      </c>
      <c r="J342" s="142">
        <f>0</f>
        <v>0</v>
      </c>
      <c r="K342" s="142">
        <f t="shared" si="36"/>
        <v>0</v>
      </c>
      <c r="L342" s="142">
        <f t="shared" si="37"/>
        <v>0</v>
      </c>
      <c r="Q342" s="155"/>
      <c r="R342" s="142"/>
      <c r="S342" s="142"/>
      <c r="T342" s="142"/>
      <c r="U342" s="142"/>
    </row>
    <row r="343" spans="5:21" x14ac:dyDescent="0.35">
      <c r="E343" s="135">
        <v>331</v>
      </c>
      <c r="F343" s="135">
        <v>0</v>
      </c>
      <c r="G343" s="141">
        <f t="shared" si="33"/>
        <v>0</v>
      </c>
      <c r="H343" s="155">
        <f t="shared" si="34"/>
        <v>0</v>
      </c>
      <c r="I343" s="142">
        <f t="shared" si="35"/>
        <v>0</v>
      </c>
      <c r="J343" s="142">
        <f>0</f>
        <v>0</v>
      </c>
      <c r="K343" s="142">
        <f t="shared" si="36"/>
        <v>0</v>
      </c>
      <c r="L343" s="142">
        <f t="shared" si="37"/>
        <v>0</v>
      </c>
      <c r="Q343" s="155"/>
      <c r="R343" s="142"/>
      <c r="S343" s="142"/>
      <c r="T343" s="142"/>
      <c r="U343" s="142"/>
    </row>
    <row r="344" spans="5:21" x14ac:dyDescent="0.35">
      <c r="E344" s="135">
        <v>332</v>
      </c>
      <c r="F344" s="135">
        <v>0</v>
      </c>
      <c r="G344" s="141">
        <f t="shared" si="33"/>
        <v>0</v>
      </c>
      <c r="H344" s="155">
        <f t="shared" si="34"/>
        <v>0</v>
      </c>
      <c r="I344" s="142">
        <f t="shared" si="35"/>
        <v>0</v>
      </c>
      <c r="J344" s="142">
        <f>0</f>
        <v>0</v>
      </c>
      <c r="K344" s="142">
        <f t="shared" si="36"/>
        <v>0</v>
      </c>
      <c r="L344" s="142">
        <f t="shared" si="37"/>
        <v>0</v>
      </c>
      <c r="Q344" s="155"/>
      <c r="R344" s="142"/>
      <c r="S344" s="142"/>
      <c r="T344" s="142"/>
      <c r="U344" s="142"/>
    </row>
    <row r="345" spans="5:21" x14ac:dyDescent="0.35">
      <c r="E345" s="135">
        <v>333</v>
      </c>
      <c r="F345" s="135">
        <v>0</v>
      </c>
      <c r="G345" s="141">
        <f t="shared" si="33"/>
        <v>0</v>
      </c>
      <c r="H345" s="155">
        <f t="shared" si="34"/>
        <v>0</v>
      </c>
      <c r="I345" s="142">
        <f t="shared" si="35"/>
        <v>0</v>
      </c>
      <c r="J345" s="142">
        <f>0</f>
        <v>0</v>
      </c>
      <c r="K345" s="142">
        <f t="shared" si="36"/>
        <v>0</v>
      </c>
      <c r="L345" s="142">
        <f t="shared" si="37"/>
        <v>0</v>
      </c>
      <c r="Q345" s="155"/>
      <c r="R345" s="142"/>
      <c r="S345" s="142"/>
      <c r="T345" s="142"/>
      <c r="U345" s="142"/>
    </row>
    <row r="346" spans="5:21" x14ac:dyDescent="0.35">
      <c r="E346" s="135">
        <v>334</v>
      </c>
      <c r="F346" s="135">
        <v>0</v>
      </c>
      <c r="G346" s="141">
        <f t="shared" si="33"/>
        <v>0</v>
      </c>
      <c r="H346" s="155">
        <f t="shared" si="34"/>
        <v>0</v>
      </c>
      <c r="I346" s="142">
        <f t="shared" si="35"/>
        <v>0</v>
      </c>
      <c r="J346" s="142">
        <f>0</f>
        <v>0</v>
      </c>
      <c r="K346" s="142">
        <f t="shared" si="36"/>
        <v>0</v>
      </c>
      <c r="L346" s="142">
        <f t="shared" si="37"/>
        <v>0</v>
      </c>
      <c r="Q346" s="155"/>
      <c r="R346" s="142"/>
      <c r="S346" s="142"/>
      <c r="T346" s="142"/>
      <c r="U346" s="142"/>
    </row>
    <row r="347" spans="5:21" x14ac:dyDescent="0.35">
      <c r="E347" s="135">
        <v>335</v>
      </c>
      <c r="F347" s="135">
        <v>0</v>
      </c>
      <c r="G347" s="141">
        <f t="shared" si="33"/>
        <v>0</v>
      </c>
      <c r="H347" s="155">
        <f t="shared" si="34"/>
        <v>0</v>
      </c>
      <c r="I347" s="142">
        <f t="shared" si="35"/>
        <v>0</v>
      </c>
      <c r="J347" s="142">
        <f>0</f>
        <v>0</v>
      </c>
      <c r="K347" s="142">
        <f t="shared" si="36"/>
        <v>0</v>
      </c>
      <c r="L347" s="142">
        <f t="shared" si="37"/>
        <v>0</v>
      </c>
      <c r="Q347" s="155"/>
      <c r="R347" s="142"/>
      <c r="S347" s="142"/>
      <c r="T347" s="142"/>
      <c r="U347" s="142"/>
    </row>
    <row r="348" spans="5:21" x14ac:dyDescent="0.35">
      <c r="E348" s="135">
        <v>336</v>
      </c>
      <c r="F348" s="135">
        <v>0</v>
      </c>
      <c r="G348" s="141">
        <f t="shared" si="33"/>
        <v>0</v>
      </c>
      <c r="H348" s="155">
        <f t="shared" si="34"/>
        <v>0</v>
      </c>
      <c r="I348" s="142">
        <f t="shared" si="35"/>
        <v>0</v>
      </c>
      <c r="J348" s="142">
        <f>0</f>
        <v>0</v>
      </c>
      <c r="K348" s="142">
        <f t="shared" si="36"/>
        <v>0</v>
      </c>
      <c r="L348" s="142">
        <f t="shared" si="37"/>
        <v>0</v>
      </c>
      <c r="Q348" s="155"/>
      <c r="R348" s="142"/>
      <c r="S348" s="142"/>
      <c r="T348" s="142"/>
      <c r="U348" s="142"/>
    </row>
    <row r="349" spans="5:21" x14ac:dyDescent="0.35">
      <c r="E349" s="135">
        <v>337</v>
      </c>
      <c r="F349" s="135">
        <v>1</v>
      </c>
      <c r="G349" s="141">
        <f t="shared" si="33"/>
        <v>23.813582244547764</v>
      </c>
      <c r="H349" s="155">
        <f t="shared" si="34"/>
        <v>0</v>
      </c>
      <c r="I349" s="142">
        <f t="shared" si="35"/>
        <v>0</v>
      </c>
      <c r="J349" s="142">
        <f>0</f>
        <v>0</v>
      </c>
      <c r="K349" s="142">
        <f t="shared" si="36"/>
        <v>136632.93323927111</v>
      </c>
      <c r="L349" s="142">
        <f t="shared" si="37"/>
        <v>136632.93323927111</v>
      </c>
      <c r="Q349" s="155"/>
      <c r="R349" s="142"/>
      <c r="S349" s="142"/>
      <c r="T349" s="142"/>
      <c r="U349" s="142"/>
    </row>
    <row r="350" spans="5:21" x14ac:dyDescent="0.35">
      <c r="E350" s="135">
        <v>338</v>
      </c>
      <c r="F350" s="135">
        <v>0</v>
      </c>
      <c r="G350" s="141">
        <f t="shared" si="33"/>
        <v>0</v>
      </c>
      <c r="H350" s="155">
        <f t="shared" si="34"/>
        <v>0</v>
      </c>
      <c r="I350" s="142">
        <f t="shared" si="35"/>
        <v>0</v>
      </c>
      <c r="J350" s="142">
        <f>0</f>
        <v>0</v>
      </c>
      <c r="K350" s="142">
        <f t="shared" si="36"/>
        <v>0</v>
      </c>
      <c r="L350" s="142">
        <f t="shared" si="37"/>
        <v>0</v>
      </c>
      <c r="Q350" s="155"/>
      <c r="R350" s="142"/>
      <c r="S350" s="142"/>
      <c r="T350" s="142"/>
      <c r="U350" s="142"/>
    </row>
    <row r="351" spans="5:21" x14ac:dyDescent="0.35">
      <c r="E351" s="135">
        <v>339</v>
      </c>
      <c r="F351" s="135">
        <v>0</v>
      </c>
      <c r="G351" s="141">
        <f t="shared" si="33"/>
        <v>0</v>
      </c>
      <c r="H351" s="155">
        <f t="shared" si="34"/>
        <v>0</v>
      </c>
      <c r="I351" s="142">
        <f t="shared" si="35"/>
        <v>0</v>
      </c>
      <c r="J351" s="142">
        <f>0</f>
        <v>0</v>
      </c>
      <c r="K351" s="142">
        <f t="shared" si="36"/>
        <v>0</v>
      </c>
      <c r="L351" s="142">
        <f t="shared" si="37"/>
        <v>0</v>
      </c>
      <c r="Q351" s="155"/>
      <c r="R351" s="142"/>
      <c r="S351" s="142"/>
      <c r="T351" s="142"/>
      <c r="U351" s="142"/>
    </row>
    <row r="352" spans="5:21" x14ac:dyDescent="0.35">
      <c r="E352" s="135">
        <v>340</v>
      </c>
      <c r="F352" s="135">
        <v>0</v>
      </c>
      <c r="G352" s="141">
        <f t="shared" si="33"/>
        <v>0</v>
      </c>
      <c r="H352" s="155">
        <f t="shared" si="34"/>
        <v>0</v>
      </c>
      <c r="I352" s="142">
        <f t="shared" si="35"/>
        <v>0</v>
      </c>
      <c r="J352" s="142">
        <f>0</f>
        <v>0</v>
      </c>
      <c r="K352" s="142">
        <f t="shared" si="36"/>
        <v>0</v>
      </c>
      <c r="L352" s="142">
        <f t="shared" si="37"/>
        <v>0</v>
      </c>
      <c r="Q352" s="155"/>
      <c r="R352" s="142"/>
      <c r="S352" s="142"/>
      <c r="T352" s="142"/>
      <c r="U352" s="142"/>
    </row>
    <row r="353" spans="5:21" x14ac:dyDescent="0.35">
      <c r="E353" s="135">
        <v>341</v>
      </c>
      <c r="F353" s="135">
        <v>1</v>
      </c>
      <c r="G353" s="141">
        <f t="shared" si="33"/>
        <v>23.813582244547764</v>
      </c>
      <c r="H353" s="155">
        <f t="shared" si="34"/>
        <v>0</v>
      </c>
      <c r="I353" s="142">
        <f t="shared" si="35"/>
        <v>0</v>
      </c>
      <c r="J353" s="142">
        <f>0</f>
        <v>0</v>
      </c>
      <c r="K353" s="142">
        <f t="shared" si="36"/>
        <v>136632.93323927111</v>
      </c>
      <c r="L353" s="142">
        <f t="shared" si="37"/>
        <v>136632.93323927111</v>
      </c>
      <c r="Q353" s="155"/>
      <c r="R353" s="142"/>
      <c r="S353" s="142"/>
      <c r="T353" s="142"/>
      <c r="U353" s="142"/>
    </row>
    <row r="354" spans="5:21" x14ac:dyDescent="0.35">
      <c r="E354" s="135">
        <v>342</v>
      </c>
      <c r="F354" s="135">
        <v>0</v>
      </c>
      <c r="G354" s="141">
        <f t="shared" si="33"/>
        <v>0</v>
      </c>
      <c r="H354" s="155">
        <f t="shared" si="34"/>
        <v>0</v>
      </c>
      <c r="I354" s="142">
        <f t="shared" si="35"/>
        <v>0</v>
      </c>
      <c r="J354" s="142">
        <f>0</f>
        <v>0</v>
      </c>
      <c r="K354" s="142">
        <f t="shared" si="36"/>
        <v>0</v>
      </c>
      <c r="L354" s="142">
        <f t="shared" si="37"/>
        <v>0</v>
      </c>
      <c r="Q354" s="155"/>
      <c r="R354" s="142"/>
      <c r="S354" s="142"/>
      <c r="T354" s="142"/>
      <c r="U354" s="142"/>
    </row>
    <row r="355" spans="5:21" x14ac:dyDescent="0.35">
      <c r="E355" s="135">
        <v>343</v>
      </c>
      <c r="F355" s="135">
        <v>0</v>
      </c>
      <c r="G355" s="141">
        <f t="shared" si="33"/>
        <v>0</v>
      </c>
      <c r="H355" s="155">
        <f t="shared" si="34"/>
        <v>0</v>
      </c>
      <c r="I355" s="142">
        <f t="shared" si="35"/>
        <v>0</v>
      </c>
      <c r="J355" s="142">
        <f>0</f>
        <v>0</v>
      </c>
      <c r="K355" s="142">
        <f t="shared" si="36"/>
        <v>0</v>
      </c>
      <c r="L355" s="142">
        <f t="shared" si="37"/>
        <v>0</v>
      </c>
      <c r="Q355" s="155"/>
      <c r="R355" s="142"/>
      <c r="S355" s="142"/>
      <c r="T355" s="142"/>
      <c r="U355" s="142"/>
    </row>
    <row r="356" spans="5:21" x14ac:dyDescent="0.35">
      <c r="E356" s="135">
        <v>344</v>
      </c>
      <c r="F356" s="135">
        <v>0</v>
      </c>
      <c r="G356" s="141">
        <f t="shared" si="33"/>
        <v>0</v>
      </c>
      <c r="H356" s="155">
        <f t="shared" si="34"/>
        <v>0</v>
      </c>
      <c r="I356" s="142">
        <f t="shared" si="35"/>
        <v>0</v>
      </c>
      <c r="J356" s="142">
        <f>0</f>
        <v>0</v>
      </c>
      <c r="K356" s="142">
        <f t="shared" si="36"/>
        <v>0</v>
      </c>
      <c r="L356" s="142">
        <f t="shared" si="37"/>
        <v>0</v>
      </c>
      <c r="Q356" s="155"/>
      <c r="R356" s="142"/>
      <c r="S356" s="142"/>
      <c r="T356" s="142"/>
      <c r="U356" s="142"/>
    </row>
    <row r="357" spans="5:21" x14ac:dyDescent="0.35">
      <c r="E357" s="135">
        <v>345</v>
      </c>
      <c r="F357" s="135">
        <v>0</v>
      </c>
      <c r="G357" s="141">
        <f t="shared" si="33"/>
        <v>0</v>
      </c>
      <c r="H357" s="155">
        <f t="shared" si="34"/>
        <v>0</v>
      </c>
      <c r="I357" s="142">
        <f t="shared" si="35"/>
        <v>0</v>
      </c>
      <c r="J357" s="142">
        <f>0</f>
        <v>0</v>
      </c>
      <c r="K357" s="142">
        <f t="shared" si="36"/>
        <v>0</v>
      </c>
      <c r="L357" s="142">
        <f t="shared" si="37"/>
        <v>0</v>
      </c>
      <c r="Q357" s="155"/>
      <c r="R357" s="142"/>
      <c r="S357" s="142"/>
      <c r="T357" s="142"/>
      <c r="U357" s="142"/>
    </row>
    <row r="358" spans="5:21" x14ac:dyDescent="0.35">
      <c r="E358" s="135">
        <v>346</v>
      </c>
      <c r="F358" s="135">
        <v>1</v>
      </c>
      <c r="G358" s="141">
        <f t="shared" si="33"/>
        <v>23.813582244547764</v>
      </c>
      <c r="H358" s="155">
        <f t="shared" si="34"/>
        <v>0</v>
      </c>
      <c r="I358" s="142">
        <f t="shared" si="35"/>
        <v>0</v>
      </c>
      <c r="J358" s="142">
        <f>0</f>
        <v>0</v>
      </c>
      <c r="K358" s="142">
        <f t="shared" si="36"/>
        <v>136632.93323927111</v>
      </c>
      <c r="L358" s="142">
        <f t="shared" si="37"/>
        <v>136632.93323927111</v>
      </c>
      <c r="Q358" s="155"/>
      <c r="R358" s="142"/>
      <c r="S358" s="142"/>
      <c r="T358" s="142"/>
      <c r="U358" s="142"/>
    </row>
    <row r="359" spans="5:21" x14ac:dyDescent="0.35">
      <c r="E359" s="135">
        <v>347</v>
      </c>
      <c r="F359" s="135">
        <v>0</v>
      </c>
      <c r="G359" s="141">
        <f t="shared" si="33"/>
        <v>0</v>
      </c>
      <c r="H359" s="155">
        <f t="shared" si="34"/>
        <v>0</v>
      </c>
      <c r="I359" s="142">
        <f t="shared" si="35"/>
        <v>0</v>
      </c>
      <c r="J359" s="142">
        <f>0</f>
        <v>0</v>
      </c>
      <c r="K359" s="142">
        <f t="shared" si="36"/>
        <v>0</v>
      </c>
      <c r="L359" s="142">
        <f t="shared" si="37"/>
        <v>0</v>
      </c>
      <c r="Q359" s="155"/>
      <c r="R359" s="142"/>
      <c r="S359" s="142"/>
      <c r="T359" s="142"/>
      <c r="U359" s="142"/>
    </row>
    <row r="360" spans="5:21" x14ac:dyDescent="0.35">
      <c r="E360" s="135">
        <v>348</v>
      </c>
      <c r="F360" s="135">
        <v>0</v>
      </c>
      <c r="G360" s="141">
        <f t="shared" si="33"/>
        <v>0</v>
      </c>
      <c r="H360" s="155">
        <f t="shared" si="34"/>
        <v>0</v>
      </c>
      <c r="I360" s="142">
        <f t="shared" si="35"/>
        <v>0</v>
      </c>
      <c r="J360" s="142">
        <f>0</f>
        <v>0</v>
      </c>
      <c r="K360" s="142">
        <f t="shared" si="36"/>
        <v>0</v>
      </c>
      <c r="L360" s="142">
        <f t="shared" si="37"/>
        <v>0</v>
      </c>
      <c r="Q360" s="155"/>
      <c r="R360" s="142"/>
      <c r="S360" s="142"/>
      <c r="T360" s="142"/>
      <c r="U360" s="142"/>
    </row>
    <row r="361" spans="5:21" x14ac:dyDescent="0.35">
      <c r="E361" s="135">
        <v>349</v>
      </c>
      <c r="F361" s="135">
        <v>1</v>
      </c>
      <c r="G361" s="141">
        <f t="shared" si="33"/>
        <v>23.813582244547764</v>
      </c>
      <c r="H361" s="155">
        <f t="shared" si="34"/>
        <v>0</v>
      </c>
      <c r="I361" s="142">
        <f t="shared" si="35"/>
        <v>0</v>
      </c>
      <c r="J361" s="142">
        <f>0</f>
        <v>0</v>
      </c>
      <c r="K361" s="142">
        <f t="shared" si="36"/>
        <v>136632.93323927111</v>
      </c>
      <c r="L361" s="142">
        <f t="shared" si="37"/>
        <v>136632.93323927111</v>
      </c>
      <c r="Q361" s="155"/>
      <c r="R361" s="142"/>
      <c r="S361" s="142"/>
      <c r="T361" s="142"/>
      <c r="U361" s="142"/>
    </row>
    <row r="362" spans="5:21" x14ac:dyDescent="0.35">
      <c r="E362" s="135">
        <v>350</v>
      </c>
      <c r="F362" s="135">
        <v>2</v>
      </c>
      <c r="G362" s="141">
        <f t="shared" si="33"/>
        <v>47.627164489095527</v>
      </c>
      <c r="H362" s="155">
        <f t="shared" si="34"/>
        <v>200</v>
      </c>
      <c r="I362" s="142">
        <f t="shared" si="35"/>
        <v>14500000</v>
      </c>
      <c r="J362" s="142">
        <f>0</f>
        <v>0</v>
      </c>
      <c r="K362" s="142">
        <f t="shared" si="36"/>
        <v>273265.86647854222</v>
      </c>
      <c r="L362" s="142">
        <f t="shared" si="37"/>
        <v>14773265.866478542</v>
      </c>
      <c r="Q362" s="155"/>
      <c r="R362" s="142"/>
      <c r="S362" s="142"/>
      <c r="T362" s="142"/>
      <c r="U362" s="142"/>
    </row>
    <row r="363" spans="5:21" x14ac:dyDescent="0.35">
      <c r="E363" s="135">
        <v>351</v>
      </c>
      <c r="F363" s="135">
        <v>0</v>
      </c>
      <c r="G363" s="141">
        <f t="shared" si="33"/>
        <v>0</v>
      </c>
      <c r="H363" s="155">
        <f t="shared" si="34"/>
        <v>0</v>
      </c>
      <c r="I363" s="142">
        <f t="shared" si="35"/>
        <v>0</v>
      </c>
      <c r="J363" s="142">
        <f>0</f>
        <v>0</v>
      </c>
      <c r="K363" s="142">
        <f t="shared" si="36"/>
        <v>0</v>
      </c>
      <c r="L363" s="142">
        <f t="shared" si="37"/>
        <v>0</v>
      </c>
      <c r="Q363" s="155"/>
      <c r="R363" s="142"/>
      <c r="S363" s="142"/>
      <c r="T363" s="142"/>
      <c r="U363" s="142"/>
    </row>
    <row r="364" spans="5:21" x14ac:dyDescent="0.35">
      <c r="E364" s="135">
        <v>352</v>
      </c>
      <c r="F364" s="135">
        <v>0</v>
      </c>
      <c r="G364" s="141">
        <f t="shared" si="33"/>
        <v>0</v>
      </c>
      <c r="H364" s="155">
        <f t="shared" si="34"/>
        <v>0</v>
      </c>
      <c r="I364" s="142">
        <f t="shared" si="35"/>
        <v>0</v>
      </c>
      <c r="J364" s="142">
        <f>0</f>
        <v>0</v>
      </c>
      <c r="K364" s="142">
        <f t="shared" si="36"/>
        <v>0</v>
      </c>
      <c r="L364" s="142">
        <f t="shared" si="37"/>
        <v>0</v>
      </c>
      <c r="Q364" s="155"/>
      <c r="R364" s="142"/>
      <c r="S364" s="142"/>
      <c r="T364" s="142"/>
      <c r="U364" s="142"/>
    </row>
    <row r="365" spans="5:21" x14ac:dyDescent="0.35">
      <c r="E365" s="135">
        <v>353</v>
      </c>
      <c r="F365" s="135">
        <v>0</v>
      </c>
      <c r="G365" s="141">
        <f t="shared" si="33"/>
        <v>0</v>
      </c>
      <c r="H365" s="155">
        <f t="shared" si="34"/>
        <v>0</v>
      </c>
      <c r="I365" s="142">
        <f t="shared" si="35"/>
        <v>0</v>
      </c>
      <c r="J365" s="142">
        <f>0</f>
        <v>0</v>
      </c>
      <c r="K365" s="142">
        <f t="shared" si="36"/>
        <v>0</v>
      </c>
      <c r="L365" s="142">
        <f t="shared" si="37"/>
        <v>0</v>
      </c>
      <c r="Q365" s="155"/>
      <c r="R365" s="142"/>
      <c r="S365" s="142"/>
      <c r="T365" s="142"/>
      <c r="U365" s="142"/>
    </row>
    <row r="366" spans="5:21" x14ac:dyDescent="0.35">
      <c r="E366" s="135">
        <v>354</v>
      </c>
      <c r="F366" s="135">
        <v>0</v>
      </c>
      <c r="G366" s="141">
        <f t="shared" si="33"/>
        <v>0</v>
      </c>
      <c r="H366" s="155">
        <f t="shared" si="34"/>
        <v>0</v>
      </c>
      <c r="I366" s="142">
        <f t="shared" si="35"/>
        <v>0</v>
      </c>
      <c r="J366" s="142">
        <f>0</f>
        <v>0</v>
      </c>
      <c r="K366" s="142">
        <f t="shared" si="36"/>
        <v>0</v>
      </c>
      <c r="L366" s="142">
        <f t="shared" si="37"/>
        <v>0</v>
      </c>
      <c r="Q366" s="155"/>
      <c r="R366" s="142"/>
      <c r="S366" s="142"/>
      <c r="T366" s="142"/>
      <c r="U366" s="142"/>
    </row>
    <row r="367" spans="5:21" x14ac:dyDescent="0.35">
      <c r="E367" s="135">
        <v>355</v>
      </c>
      <c r="F367" s="135">
        <v>0</v>
      </c>
      <c r="G367" s="141">
        <f t="shared" si="33"/>
        <v>0</v>
      </c>
      <c r="H367" s="155">
        <f t="shared" si="34"/>
        <v>0</v>
      </c>
      <c r="I367" s="142">
        <f t="shared" si="35"/>
        <v>0</v>
      </c>
      <c r="J367" s="142">
        <f>0</f>
        <v>0</v>
      </c>
      <c r="K367" s="142">
        <f t="shared" si="36"/>
        <v>0</v>
      </c>
      <c r="L367" s="142">
        <f t="shared" si="37"/>
        <v>0</v>
      </c>
      <c r="Q367" s="155"/>
      <c r="R367" s="142"/>
      <c r="S367" s="142"/>
      <c r="T367" s="142"/>
      <c r="U367" s="142"/>
    </row>
    <row r="368" spans="5:21" x14ac:dyDescent="0.35">
      <c r="E368" s="135">
        <v>356</v>
      </c>
      <c r="F368" s="135">
        <v>0</v>
      </c>
      <c r="G368" s="141">
        <f t="shared" si="33"/>
        <v>0</v>
      </c>
      <c r="H368" s="155">
        <f t="shared" si="34"/>
        <v>0</v>
      </c>
      <c r="I368" s="142">
        <f t="shared" si="35"/>
        <v>0</v>
      </c>
      <c r="J368" s="142">
        <f>0</f>
        <v>0</v>
      </c>
      <c r="K368" s="142">
        <f t="shared" si="36"/>
        <v>0</v>
      </c>
      <c r="L368" s="142">
        <f t="shared" si="37"/>
        <v>0</v>
      </c>
      <c r="Q368" s="155"/>
      <c r="R368" s="142"/>
      <c r="S368" s="142"/>
      <c r="T368" s="142"/>
      <c r="U368" s="142"/>
    </row>
    <row r="369" spans="5:21" x14ac:dyDescent="0.35">
      <c r="E369" s="135">
        <v>357</v>
      </c>
      <c r="F369" s="135">
        <v>0</v>
      </c>
      <c r="G369" s="141">
        <f t="shared" si="33"/>
        <v>0</v>
      </c>
      <c r="H369" s="155">
        <f t="shared" si="34"/>
        <v>0</v>
      </c>
      <c r="I369" s="142">
        <f t="shared" si="35"/>
        <v>0</v>
      </c>
      <c r="J369" s="142">
        <f>0</f>
        <v>0</v>
      </c>
      <c r="K369" s="142">
        <f t="shared" si="36"/>
        <v>0</v>
      </c>
      <c r="L369" s="142">
        <f t="shared" si="37"/>
        <v>0</v>
      </c>
      <c r="Q369" s="155"/>
      <c r="R369" s="142"/>
      <c r="S369" s="142"/>
      <c r="T369" s="142"/>
      <c r="U369" s="142"/>
    </row>
    <row r="370" spans="5:21" x14ac:dyDescent="0.35">
      <c r="E370" s="135">
        <v>358</v>
      </c>
      <c r="F370" s="135">
        <v>3</v>
      </c>
      <c r="G370" s="141">
        <f t="shared" si="33"/>
        <v>71.440746733643294</v>
      </c>
      <c r="H370" s="155">
        <f t="shared" si="34"/>
        <v>200</v>
      </c>
      <c r="I370" s="142">
        <f t="shared" si="35"/>
        <v>14500000</v>
      </c>
      <c r="J370" s="142">
        <f>0</f>
        <v>0</v>
      </c>
      <c r="K370" s="142">
        <f t="shared" si="36"/>
        <v>409898.79971781332</v>
      </c>
      <c r="L370" s="142">
        <f t="shared" si="37"/>
        <v>14909898.799717814</v>
      </c>
      <c r="Q370" s="155"/>
      <c r="R370" s="142"/>
      <c r="S370" s="142"/>
      <c r="T370" s="142"/>
      <c r="U370" s="142"/>
    </row>
    <row r="371" spans="5:21" x14ac:dyDescent="0.35">
      <c r="E371" s="135">
        <v>359</v>
      </c>
      <c r="F371" s="135">
        <v>0</v>
      </c>
      <c r="G371" s="141">
        <f t="shared" si="33"/>
        <v>0</v>
      </c>
      <c r="H371" s="155">
        <f t="shared" si="34"/>
        <v>0</v>
      </c>
      <c r="I371" s="142">
        <f t="shared" si="35"/>
        <v>0</v>
      </c>
      <c r="J371" s="142">
        <f>0</f>
        <v>0</v>
      </c>
      <c r="K371" s="142">
        <f t="shared" si="36"/>
        <v>0</v>
      </c>
      <c r="L371" s="142">
        <f t="shared" si="37"/>
        <v>0</v>
      </c>
      <c r="Q371" s="155"/>
      <c r="R371" s="142"/>
      <c r="S371" s="142"/>
      <c r="T371" s="142"/>
      <c r="U371" s="142"/>
    </row>
    <row r="372" spans="5:21" x14ac:dyDescent="0.35">
      <c r="E372" s="135">
        <v>360</v>
      </c>
      <c r="F372" s="135">
        <v>0</v>
      </c>
      <c r="G372" s="141">
        <f t="shared" si="33"/>
        <v>0</v>
      </c>
      <c r="H372" s="155">
        <f t="shared" si="34"/>
        <v>0</v>
      </c>
      <c r="I372" s="142">
        <f t="shared" si="35"/>
        <v>0</v>
      </c>
      <c r="J372" s="142">
        <f>0</f>
        <v>0</v>
      </c>
      <c r="K372" s="142">
        <f t="shared" si="36"/>
        <v>0</v>
      </c>
      <c r="L372" s="142">
        <f t="shared" si="37"/>
        <v>0</v>
      </c>
      <c r="Q372" s="155"/>
      <c r="R372" s="142"/>
      <c r="S372" s="142"/>
      <c r="T372" s="142"/>
      <c r="U372" s="142"/>
    </row>
    <row r="373" spans="5:21" x14ac:dyDescent="0.35">
      <c r="E373" s="135">
        <v>361</v>
      </c>
      <c r="F373" s="135">
        <v>0</v>
      </c>
      <c r="G373" s="141">
        <f t="shared" si="33"/>
        <v>0</v>
      </c>
      <c r="H373" s="155">
        <f t="shared" si="34"/>
        <v>0</v>
      </c>
      <c r="I373" s="142">
        <f t="shared" si="35"/>
        <v>0</v>
      </c>
      <c r="J373" s="142">
        <f>0</f>
        <v>0</v>
      </c>
      <c r="K373" s="142">
        <f t="shared" si="36"/>
        <v>0</v>
      </c>
      <c r="L373" s="142">
        <f t="shared" si="37"/>
        <v>0</v>
      </c>
      <c r="Q373" s="155"/>
      <c r="R373" s="142"/>
      <c r="S373" s="142"/>
      <c r="T373" s="142"/>
      <c r="U373" s="142"/>
    </row>
    <row r="374" spans="5:21" x14ac:dyDescent="0.35">
      <c r="E374" s="135">
        <v>362</v>
      </c>
      <c r="F374" s="135">
        <v>1</v>
      </c>
      <c r="G374" s="141">
        <f t="shared" si="33"/>
        <v>23.813582244547764</v>
      </c>
      <c r="H374" s="155">
        <f t="shared" si="34"/>
        <v>0</v>
      </c>
      <c r="I374" s="142">
        <f t="shared" si="35"/>
        <v>0</v>
      </c>
      <c r="J374" s="142">
        <f>0</f>
        <v>0</v>
      </c>
      <c r="K374" s="142">
        <f t="shared" si="36"/>
        <v>136632.93323927111</v>
      </c>
      <c r="L374" s="142">
        <f t="shared" si="37"/>
        <v>136632.93323927111</v>
      </c>
      <c r="Q374" s="155"/>
      <c r="R374" s="142"/>
      <c r="S374" s="142"/>
      <c r="T374" s="142"/>
      <c r="U374" s="142"/>
    </row>
    <row r="375" spans="5:21" x14ac:dyDescent="0.35">
      <c r="E375" s="135">
        <v>363</v>
      </c>
      <c r="F375" s="135">
        <v>0</v>
      </c>
      <c r="G375" s="141">
        <f t="shared" si="33"/>
        <v>0</v>
      </c>
      <c r="H375" s="155">
        <f t="shared" si="34"/>
        <v>0</v>
      </c>
      <c r="I375" s="142">
        <f t="shared" si="35"/>
        <v>0</v>
      </c>
      <c r="J375" s="142">
        <f>0</f>
        <v>0</v>
      </c>
      <c r="K375" s="142">
        <f t="shared" si="36"/>
        <v>0</v>
      </c>
      <c r="L375" s="142">
        <f t="shared" si="37"/>
        <v>0</v>
      </c>
      <c r="Q375" s="155"/>
      <c r="R375" s="142"/>
      <c r="S375" s="142"/>
      <c r="T375" s="142"/>
      <c r="U375" s="142"/>
    </row>
    <row r="376" spans="5:21" x14ac:dyDescent="0.35">
      <c r="E376" s="135">
        <v>364</v>
      </c>
      <c r="F376" s="135">
        <v>0</v>
      </c>
      <c r="G376" s="141">
        <f t="shared" si="33"/>
        <v>0</v>
      </c>
      <c r="H376" s="155">
        <f t="shared" si="34"/>
        <v>0</v>
      </c>
      <c r="I376" s="142">
        <f t="shared" si="35"/>
        <v>0</v>
      </c>
      <c r="J376" s="142">
        <f>0</f>
        <v>0</v>
      </c>
      <c r="K376" s="142">
        <f t="shared" si="36"/>
        <v>0</v>
      </c>
      <c r="L376" s="142">
        <f t="shared" si="37"/>
        <v>0</v>
      </c>
      <c r="Q376" s="155"/>
      <c r="R376" s="142"/>
      <c r="S376" s="142"/>
      <c r="T376" s="142"/>
      <c r="U376" s="142"/>
    </row>
    <row r="377" spans="5:21" x14ac:dyDescent="0.35">
      <c r="E377" s="135">
        <v>365</v>
      </c>
      <c r="F377" s="135">
        <v>1</v>
      </c>
      <c r="G377" s="141">
        <f t="shared" si="33"/>
        <v>23.813582244547764</v>
      </c>
      <c r="H377" s="155">
        <f t="shared" si="34"/>
        <v>0</v>
      </c>
      <c r="I377" s="142">
        <f t="shared" si="35"/>
        <v>0</v>
      </c>
      <c r="J377" s="142">
        <f>0</f>
        <v>0</v>
      </c>
      <c r="K377" s="142">
        <f t="shared" si="36"/>
        <v>136632.93323927111</v>
      </c>
      <c r="L377" s="142">
        <f t="shared" si="37"/>
        <v>136632.93323927111</v>
      </c>
      <c r="Q377" s="155"/>
      <c r="R377" s="142"/>
      <c r="S377" s="142"/>
      <c r="T377" s="142"/>
      <c r="U377" s="142"/>
    </row>
    <row r="378" spans="5:21" x14ac:dyDescent="0.35">
      <c r="E378" s="135">
        <v>366</v>
      </c>
      <c r="F378" s="135">
        <v>1</v>
      </c>
      <c r="G378" s="141">
        <f t="shared" si="33"/>
        <v>23.813582244547764</v>
      </c>
      <c r="H378" s="155">
        <f t="shared" si="34"/>
        <v>0</v>
      </c>
      <c r="I378" s="142">
        <f t="shared" si="35"/>
        <v>0</v>
      </c>
      <c r="J378" s="142">
        <f>0</f>
        <v>0</v>
      </c>
      <c r="K378" s="142">
        <f t="shared" si="36"/>
        <v>136632.93323927111</v>
      </c>
      <c r="L378" s="142">
        <f t="shared" si="37"/>
        <v>136632.93323927111</v>
      </c>
      <c r="Q378" s="155"/>
      <c r="R378" s="142"/>
      <c r="S378" s="142"/>
      <c r="T378" s="142"/>
      <c r="U378" s="142"/>
    </row>
    <row r="379" spans="5:21" x14ac:dyDescent="0.35">
      <c r="E379" s="135">
        <v>367</v>
      </c>
      <c r="F379" s="135">
        <v>0</v>
      </c>
      <c r="G379" s="141">
        <f t="shared" si="33"/>
        <v>0</v>
      </c>
      <c r="H379" s="155">
        <f t="shared" si="34"/>
        <v>0</v>
      </c>
      <c r="I379" s="142">
        <f t="shared" si="35"/>
        <v>0</v>
      </c>
      <c r="J379" s="142">
        <f>0</f>
        <v>0</v>
      </c>
      <c r="K379" s="142">
        <f t="shared" si="36"/>
        <v>0</v>
      </c>
      <c r="L379" s="142">
        <f t="shared" si="37"/>
        <v>0</v>
      </c>
      <c r="Q379" s="155"/>
      <c r="R379" s="142"/>
      <c r="S379" s="142"/>
      <c r="T379" s="142"/>
      <c r="U379" s="142"/>
    </row>
    <row r="380" spans="5:21" x14ac:dyDescent="0.35">
      <c r="E380" s="135">
        <v>368</v>
      </c>
      <c r="F380" s="135">
        <v>0</v>
      </c>
      <c r="G380" s="141">
        <f t="shared" si="33"/>
        <v>0</v>
      </c>
      <c r="H380" s="155">
        <f t="shared" si="34"/>
        <v>0</v>
      </c>
      <c r="I380" s="142">
        <f t="shared" si="35"/>
        <v>0</v>
      </c>
      <c r="J380" s="142">
        <f>0</f>
        <v>0</v>
      </c>
      <c r="K380" s="142">
        <f t="shared" si="36"/>
        <v>0</v>
      </c>
      <c r="L380" s="142">
        <f t="shared" si="37"/>
        <v>0</v>
      </c>
      <c r="Q380" s="155"/>
      <c r="R380" s="142"/>
      <c r="S380" s="142"/>
      <c r="T380" s="142"/>
      <c r="U380" s="142"/>
    </row>
    <row r="381" spans="5:21" x14ac:dyDescent="0.35">
      <c r="E381" s="135">
        <v>369</v>
      </c>
      <c r="F381" s="135">
        <v>0</v>
      </c>
      <c r="G381" s="141">
        <f t="shared" si="33"/>
        <v>0</v>
      </c>
      <c r="H381" s="155">
        <f t="shared" si="34"/>
        <v>0</v>
      </c>
      <c r="I381" s="142">
        <f t="shared" si="35"/>
        <v>0</v>
      </c>
      <c r="J381" s="142">
        <f>0</f>
        <v>0</v>
      </c>
      <c r="K381" s="142">
        <f t="shared" si="36"/>
        <v>0</v>
      </c>
      <c r="L381" s="142">
        <f t="shared" si="37"/>
        <v>0</v>
      </c>
      <c r="Q381" s="155"/>
      <c r="R381" s="142"/>
      <c r="S381" s="142"/>
      <c r="T381" s="142"/>
      <c r="U381" s="142"/>
    </row>
    <row r="382" spans="5:21" x14ac:dyDescent="0.35">
      <c r="E382" s="135">
        <v>370</v>
      </c>
      <c r="F382" s="135">
        <v>1</v>
      </c>
      <c r="G382" s="141">
        <f t="shared" si="33"/>
        <v>23.813582244547764</v>
      </c>
      <c r="H382" s="155">
        <f t="shared" si="34"/>
        <v>0</v>
      </c>
      <c r="I382" s="142">
        <f t="shared" si="35"/>
        <v>0</v>
      </c>
      <c r="J382" s="142">
        <f>0</f>
        <v>0</v>
      </c>
      <c r="K382" s="142">
        <f t="shared" si="36"/>
        <v>136632.93323927111</v>
      </c>
      <c r="L382" s="142">
        <f t="shared" si="37"/>
        <v>136632.93323927111</v>
      </c>
      <c r="Q382" s="155"/>
      <c r="R382" s="142"/>
      <c r="S382" s="142"/>
      <c r="T382" s="142"/>
      <c r="U382" s="142"/>
    </row>
    <row r="383" spans="5:21" x14ac:dyDescent="0.35">
      <c r="E383" s="135">
        <v>371</v>
      </c>
      <c r="F383" s="135">
        <v>1</v>
      </c>
      <c r="G383" s="141">
        <f t="shared" si="33"/>
        <v>23.813582244547764</v>
      </c>
      <c r="H383" s="155">
        <f t="shared" si="34"/>
        <v>0</v>
      </c>
      <c r="I383" s="142">
        <f t="shared" si="35"/>
        <v>0</v>
      </c>
      <c r="J383" s="142">
        <f>0</f>
        <v>0</v>
      </c>
      <c r="K383" s="142">
        <f t="shared" si="36"/>
        <v>136632.93323927111</v>
      </c>
      <c r="L383" s="142">
        <f t="shared" si="37"/>
        <v>136632.93323927111</v>
      </c>
      <c r="Q383" s="155"/>
      <c r="R383" s="142"/>
      <c r="S383" s="142"/>
      <c r="T383" s="142"/>
      <c r="U383" s="142"/>
    </row>
    <row r="384" spans="5:21" x14ac:dyDescent="0.35">
      <c r="E384" s="135">
        <v>372</v>
      </c>
      <c r="F384" s="135">
        <v>0</v>
      </c>
      <c r="G384" s="141">
        <f t="shared" si="33"/>
        <v>0</v>
      </c>
      <c r="H384" s="155">
        <f t="shared" si="34"/>
        <v>0</v>
      </c>
      <c r="I384" s="142">
        <f t="shared" si="35"/>
        <v>0</v>
      </c>
      <c r="J384" s="142">
        <f>0</f>
        <v>0</v>
      </c>
      <c r="K384" s="142">
        <f t="shared" si="36"/>
        <v>0</v>
      </c>
      <c r="L384" s="142">
        <f t="shared" si="37"/>
        <v>0</v>
      </c>
      <c r="Q384" s="155"/>
      <c r="R384" s="142"/>
      <c r="S384" s="142"/>
      <c r="T384" s="142"/>
      <c r="U384" s="142"/>
    </row>
    <row r="385" spans="5:21" x14ac:dyDescent="0.35">
      <c r="E385" s="135">
        <v>373</v>
      </c>
      <c r="F385" s="135">
        <v>0</v>
      </c>
      <c r="G385" s="141">
        <f t="shared" si="33"/>
        <v>0</v>
      </c>
      <c r="H385" s="155">
        <f t="shared" si="34"/>
        <v>0</v>
      </c>
      <c r="I385" s="142">
        <f t="shared" si="35"/>
        <v>0</v>
      </c>
      <c r="J385" s="142">
        <f>0</f>
        <v>0</v>
      </c>
      <c r="K385" s="142">
        <f t="shared" si="36"/>
        <v>0</v>
      </c>
      <c r="L385" s="142">
        <f t="shared" si="37"/>
        <v>0</v>
      </c>
      <c r="Q385" s="155"/>
      <c r="R385" s="142"/>
      <c r="S385" s="142"/>
      <c r="T385" s="142"/>
      <c r="U385" s="142"/>
    </row>
    <row r="386" spans="5:21" x14ac:dyDescent="0.35">
      <c r="E386" s="135">
        <v>374</v>
      </c>
      <c r="F386" s="135">
        <v>0</v>
      </c>
      <c r="G386" s="141">
        <f t="shared" si="33"/>
        <v>0</v>
      </c>
      <c r="H386" s="155">
        <f t="shared" si="34"/>
        <v>0</v>
      </c>
      <c r="I386" s="142">
        <f t="shared" si="35"/>
        <v>0</v>
      </c>
      <c r="J386" s="142">
        <f>0</f>
        <v>0</v>
      </c>
      <c r="K386" s="142">
        <f t="shared" si="36"/>
        <v>0</v>
      </c>
      <c r="L386" s="142">
        <f t="shared" si="37"/>
        <v>0</v>
      </c>
      <c r="Q386" s="155"/>
      <c r="R386" s="142"/>
      <c r="S386" s="142"/>
      <c r="T386" s="142"/>
      <c r="U386" s="142"/>
    </row>
    <row r="387" spans="5:21" x14ac:dyDescent="0.35">
      <c r="E387" s="135">
        <v>375</v>
      </c>
      <c r="F387" s="135">
        <v>0</v>
      </c>
      <c r="G387" s="141">
        <f t="shared" si="33"/>
        <v>0</v>
      </c>
      <c r="H387" s="155">
        <f t="shared" si="34"/>
        <v>0</v>
      </c>
      <c r="I387" s="142">
        <f t="shared" si="35"/>
        <v>0</v>
      </c>
      <c r="J387" s="142">
        <f>0</f>
        <v>0</v>
      </c>
      <c r="K387" s="142">
        <f t="shared" si="36"/>
        <v>0</v>
      </c>
      <c r="L387" s="142">
        <f t="shared" si="37"/>
        <v>0</v>
      </c>
      <c r="Q387" s="155"/>
      <c r="R387" s="142"/>
      <c r="S387" s="142"/>
      <c r="T387" s="142"/>
      <c r="U387" s="142"/>
    </row>
    <row r="388" spans="5:21" x14ac:dyDescent="0.35">
      <c r="E388" s="135">
        <v>376</v>
      </c>
      <c r="F388" s="135">
        <v>0</v>
      </c>
      <c r="G388" s="141">
        <f t="shared" si="33"/>
        <v>0</v>
      </c>
      <c r="H388" s="155">
        <f t="shared" si="34"/>
        <v>0</v>
      </c>
      <c r="I388" s="142">
        <f t="shared" si="35"/>
        <v>0</v>
      </c>
      <c r="J388" s="142">
        <f>0</f>
        <v>0</v>
      </c>
      <c r="K388" s="142">
        <f t="shared" si="36"/>
        <v>0</v>
      </c>
      <c r="L388" s="142">
        <f t="shared" si="37"/>
        <v>0</v>
      </c>
      <c r="Q388" s="155"/>
      <c r="R388" s="142"/>
      <c r="S388" s="142"/>
      <c r="T388" s="142"/>
      <c r="U388" s="142"/>
    </row>
    <row r="389" spans="5:21" x14ac:dyDescent="0.35">
      <c r="E389" s="135">
        <v>377</v>
      </c>
      <c r="F389" s="135">
        <v>0</v>
      </c>
      <c r="G389" s="141">
        <f t="shared" si="33"/>
        <v>0</v>
      </c>
      <c r="H389" s="155">
        <f t="shared" si="34"/>
        <v>0</v>
      </c>
      <c r="I389" s="142">
        <f t="shared" si="35"/>
        <v>0</v>
      </c>
      <c r="J389" s="142">
        <f>0</f>
        <v>0</v>
      </c>
      <c r="K389" s="142">
        <f t="shared" si="36"/>
        <v>0</v>
      </c>
      <c r="L389" s="142">
        <f t="shared" si="37"/>
        <v>0</v>
      </c>
      <c r="Q389" s="155"/>
      <c r="R389" s="142"/>
      <c r="S389" s="142"/>
      <c r="T389" s="142"/>
      <c r="U389" s="142"/>
    </row>
    <row r="390" spans="5:21" x14ac:dyDescent="0.35">
      <c r="E390" s="135">
        <v>378</v>
      </c>
      <c r="F390" s="135">
        <v>1</v>
      </c>
      <c r="G390" s="141">
        <f t="shared" si="33"/>
        <v>23.813582244547764</v>
      </c>
      <c r="H390" s="155">
        <f t="shared" si="34"/>
        <v>0</v>
      </c>
      <c r="I390" s="142">
        <f t="shared" si="35"/>
        <v>0</v>
      </c>
      <c r="J390" s="142">
        <f>0</f>
        <v>0</v>
      </c>
      <c r="K390" s="142">
        <f t="shared" si="36"/>
        <v>136632.93323927111</v>
      </c>
      <c r="L390" s="142">
        <f t="shared" si="37"/>
        <v>136632.93323927111</v>
      </c>
      <c r="Q390" s="155"/>
      <c r="R390" s="142"/>
      <c r="S390" s="142"/>
      <c r="T390" s="142"/>
      <c r="U390" s="142"/>
    </row>
    <row r="391" spans="5:21" x14ac:dyDescent="0.35">
      <c r="E391" s="135">
        <v>379</v>
      </c>
      <c r="F391" s="135">
        <v>0</v>
      </c>
      <c r="G391" s="141">
        <f t="shared" si="33"/>
        <v>0</v>
      </c>
      <c r="H391" s="155">
        <f t="shared" si="34"/>
        <v>0</v>
      </c>
      <c r="I391" s="142">
        <f t="shared" si="35"/>
        <v>0</v>
      </c>
      <c r="J391" s="142">
        <f>0</f>
        <v>0</v>
      </c>
      <c r="K391" s="142">
        <f t="shared" si="36"/>
        <v>0</v>
      </c>
      <c r="L391" s="142">
        <f t="shared" si="37"/>
        <v>0</v>
      </c>
      <c r="Q391" s="155"/>
      <c r="R391" s="142"/>
      <c r="S391" s="142"/>
      <c r="T391" s="142"/>
      <c r="U391" s="142"/>
    </row>
    <row r="392" spans="5:21" x14ac:dyDescent="0.35">
      <c r="E392" s="135">
        <v>380</v>
      </c>
      <c r="F392" s="135">
        <v>1</v>
      </c>
      <c r="G392" s="141">
        <f t="shared" si="33"/>
        <v>23.813582244547764</v>
      </c>
      <c r="H392" s="155">
        <f t="shared" si="34"/>
        <v>0</v>
      </c>
      <c r="I392" s="142">
        <f t="shared" si="35"/>
        <v>0</v>
      </c>
      <c r="J392" s="142">
        <f>0</f>
        <v>0</v>
      </c>
      <c r="K392" s="142">
        <f t="shared" si="36"/>
        <v>136632.93323927111</v>
      </c>
      <c r="L392" s="142">
        <f t="shared" si="37"/>
        <v>136632.93323927111</v>
      </c>
      <c r="Q392" s="155"/>
      <c r="R392" s="142"/>
      <c r="S392" s="142"/>
      <c r="T392" s="142"/>
      <c r="U392" s="142"/>
    </row>
    <row r="393" spans="5:21" x14ac:dyDescent="0.35">
      <c r="E393" s="135">
        <v>381</v>
      </c>
      <c r="F393" s="135">
        <v>1</v>
      </c>
      <c r="G393" s="141">
        <f t="shared" si="33"/>
        <v>23.813582244547764</v>
      </c>
      <c r="H393" s="155">
        <f t="shared" si="34"/>
        <v>0</v>
      </c>
      <c r="I393" s="142">
        <f t="shared" si="35"/>
        <v>0</v>
      </c>
      <c r="J393" s="142">
        <f>0</f>
        <v>0</v>
      </c>
      <c r="K393" s="142">
        <f t="shared" si="36"/>
        <v>136632.93323927111</v>
      </c>
      <c r="L393" s="142">
        <f t="shared" si="37"/>
        <v>136632.93323927111</v>
      </c>
      <c r="Q393" s="155"/>
      <c r="R393" s="142"/>
      <c r="S393" s="142"/>
      <c r="T393" s="142"/>
      <c r="U393" s="142"/>
    </row>
    <row r="394" spans="5:21" x14ac:dyDescent="0.35">
      <c r="E394" s="135">
        <v>382</v>
      </c>
      <c r="F394" s="135">
        <v>0</v>
      </c>
      <c r="G394" s="141">
        <f t="shared" si="33"/>
        <v>0</v>
      </c>
      <c r="H394" s="155">
        <f t="shared" si="34"/>
        <v>0</v>
      </c>
      <c r="I394" s="142">
        <f t="shared" si="35"/>
        <v>0</v>
      </c>
      <c r="J394" s="142">
        <f>0</f>
        <v>0</v>
      </c>
      <c r="K394" s="142">
        <f t="shared" si="36"/>
        <v>0</v>
      </c>
      <c r="L394" s="142">
        <f t="shared" si="37"/>
        <v>0</v>
      </c>
      <c r="Q394" s="155"/>
      <c r="R394" s="142"/>
      <c r="S394" s="142"/>
      <c r="T394" s="142"/>
      <c r="U394" s="142"/>
    </row>
    <row r="395" spans="5:21" x14ac:dyDescent="0.35">
      <c r="E395" s="135">
        <v>383</v>
      </c>
      <c r="F395" s="135">
        <v>0</v>
      </c>
      <c r="G395" s="141">
        <f t="shared" si="33"/>
        <v>0</v>
      </c>
      <c r="H395" s="155">
        <f t="shared" si="34"/>
        <v>0</v>
      </c>
      <c r="I395" s="142">
        <f t="shared" si="35"/>
        <v>0</v>
      </c>
      <c r="J395" s="142">
        <f>0</f>
        <v>0</v>
      </c>
      <c r="K395" s="142">
        <f t="shared" si="36"/>
        <v>0</v>
      </c>
      <c r="L395" s="142">
        <f t="shared" si="37"/>
        <v>0</v>
      </c>
      <c r="Q395" s="155"/>
      <c r="R395" s="142"/>
      <c r="S395" s="142"/>
      <c r="T395" s="142"/>
      <c r="U395" s="142"/>
    </row>
    <row r="396" spans="5:21" x14ac:dyDescent="0.35">
      <c r="E396" s="135">
        <v>384</v>
      </c>
      <c r="F396" s="135">
        <v>0</v>
      </c>
      <c r="G396" s="141">
        <f t="shared" si="33"/>
        <v>0</v>
      </c>
      <c r="H396" s="155">
        <f t="shared" si="34"/>
        <v>0</v>
      </c>
      <c r="I396" s="142">
        <f t="shared" si="35"/>
        <v>0</v>
      </c>
      <c r="J396" s="142">
        <f>0</f>
        <v>0</v>
      </c>
      <c r="K396" s="142">
        <f t="shared" si="36"/>
        <v>0</v>
      </c>
      <c r="L396" s="142">
        <f t="shared" si="37"/>
        <v>0</v>
      </c>
      <c r="Q396" s="155"/>
      <c r="R396" s="142"/>
      <c r="S396" s="142"/>
      <c r="T396" s="142"/>
      <c r="U396" s="142"/>
    </row>
    <row r="397" spans="5:21" x14ac:dyDescent="0.35">
      <c r="E397" s="135">
        <v>385</v>
      </c>
      <c r="F397" s="135">
        <v>0</v>
      </c>
      <c r="G397" s="141">
        <f t="shared" ref="G397:G460" si="38">F397*$C$9</f>
        <v>0</v>
      </c>
      <c r="H397" s="155">
        <f t="shared" ref="H397:H460" si="39">IF(F397 &gt; 1,$C$13*20000,0)</f>
        <v>0</v>
      </c>
      <c r="I397" s="142">
        <f t="shared" ref="I397:I460" si="40">IF(F397 &gt; 1,$C$4,0)</f>
        <v>0</v>
      </c>
      <c r="J397" s="142">
        <f>0</f>
        <v>0</v>
      </c>
      <c r="K397" s="142">
        <f t="shared" ref="K397:K460" si="41">F397*$C$5</f>
        <v>0</v>
      </c>
      <c r="L397" s="142">
        <f t="shared" ref="L397:L460" si="42">J397+I397+K397</f>
        <v>0</v>
      </c>
      <c r="Q397" s="155"/>
      <c r="R397" s="142"/>
      <c r="S397" s="142"/>
      <c r="T397" s="142"/>
      <c r="U397" s="142"/>
    </row>
    <row r="398" spans="5:21" x14ac:dyDescent="0.35">
      <c r="E398" s="135">
        <v>386</v>
      </c>
      <c r="F398" s="135">
        <v>0</v>
      </c>
      <c r="G398" s="141">
        <f t="shared" si="38"/>
        <v>0</v>
      </c>
      <c r="H398" s="155">
        <f t="shared" si="39"/>
        <v>0</v>
      </c>
      <c r="I398" s="142">
        <f t="shared" si="40"/>
        <v>0</v>
      </c>
      <c r="J398" s="142">
        <f>0</f>
        <v>0</v>
      </c>
      <c r="K398" s="142">
        <f t="shared" si="41"/>
        <v>0</v>
      </c>
      <c r="L398" s="142">
        <f t="shared" si="42"/>
        <v>0</v>
      </c>
      <c r="Q398" s="155"/>
      <c r="R398" s="142"/>
      <c r="S398" s="142"/>
      <c r="T398" s="142"/>
      <c r="U398" s="142"/>
    </row>
    <row r="399" spans="5:21" x14ac:dyDescent="0.35">
      <c r="E399" s="135">
        <v>387</v>
      </c>
      <c r="F399" s="135">
        <v>0</v>
      </c>
      <c r="G399" s="141">
        <f t="shared" si="38"/>
        <v>0</v>
      </c>
      <c r="H399" s="155">
        <f t="shared" si="39"/>
        <v>0</v>
      </c>
      <c r="I399" s="142">
        <f t="shared" si="40"/>
        <v>0</v>
      </c>
      <c r="J399" s="142">
        <f>0</f>
        <v>0</v>
      </c>
      <c r="K399" s="142">
        <f t="shared" si="41"/>
        <v>0</v>
      </c>
      <c r="L399" s="142">
        <f t="shared" si="42"/>
        <v>0</v>
      </c>
      <c r="Q399" s="155"/>
      <c r="R399" s="142"/>
      <c r="S399" s="142"/>
      <c r="T399" s="142"/>
      <c r="U399" s="142"/>
    </row>
    <row r="400" spans="5:21" x14ac:dyDescent="0.35">
      <c r="E400" s="135">
        <v>388</v>
      </c>
      <c r="F400" s="135">
        <v>0</v>
      </c>
      <c r="G400" s="141">
        <f t="shared" si="38"/>
        <v>0</v>
      </c>
      <c r="H400" s="155">
        <f t="shared" si="39"/>
        <v>0</v>
      </c>
      <c r="I400" s="142">
        <f t="shared" si="40"/>
        <v>0</v>
      </c>
      <c r="J400" s="142">
        <f>0</f>
        <v>0</v>
      </c>
      <c r="K400" s="142">
        <f t="shared" si="41"/>
        <v>0</v>
      </c>
      <c r="L400" s="142">
        <f t="shared" si="42"/>
        <v>0</v>
      </c>
      <c r="Q400" s="155"/>
      <c r="R400" s="142"/>
      <c r="S400" s="142"/>
      <c r="T400" s="142"/>
      <c r="U400" s="142"/>
    </row>
    <row r="401" spans="5:21" x14ac:dyDescent="0.35">
      <c r="E401" s="135">
        <v>389</v>
      </c>
      <c r="F401" s="135">
        <v>0</v>
      </c>
      <c r="G401" s="141">
        <f t="shared" si="38"/>
        <v>0</v>
      </c>
      <c r="H401" s="155">
        <f t="shared" si="39"/>
        <v>0</v>
      </c>
      <c r="I401" s="142">
        <f t="shared" si="40"/>
        <v>0</v>
      </c>
      <c r="J401" s="142">
        <f>0</f>
        <v>0</v>
      </c>
      <c r="K401" s="142">
        <f t="shared" si="41"/>
        <v>0</v>
      </c>
      <c r="L401" s="142">
        <f t="shared" si="42"/>
        <v>0</v>
      </c>
      <c r="Q401" s="155"/>
      <c r="R401" s="142"/>
      <c r="S401" s="142"/>
      <c r="T401" s="142"/>
      <c r="U401" s="142"/>
    </row>
    <row r="402" spans="5:21" x14ac:dyDescent="0.35">
      <c r="E402" s="135">
        <v>390</v>
      </c>
      <c r="F402" s="135">
        <v>0</v>
      </c>
      <c r="G402" s="141">
        <f t="shared" si="38"/>
        <v>0</v>
      </c>
      <c r="H402" s="155">
        <f t="shared" si="39"/>
        <v>0</v>
      </c>
      <c r="I402" s="142">
        <f t="shared" si="40"/>
        <v>0</v>
      </c>
      <c r="J402" s="142">
        <f>0</f>
        <v>0</v>
      </c>
      <c r="K402" s="142">
        <f t="shared" si="41"/>
        <v>0</v>
      </c>
      <c r="L402" s="142">
        <f t="shared" si="42"/>
        <v>0</v>
      </c>
      <c r="Q402" s="155"/>
      <c r="R402" s="142"/>
      <c r="S402" s="142"/>
      <c r="T402" s="142"/>
      <c r="U402" s="142"/>
    </row>
    <row r="403" spans="5:21" x14ac:dyDescent="0.35">
      <c r="E403" s="135">
        <v>391</v>
      </c>
      <c r="F403" s="135">
        <v>0</v>
      </c>
      <c r="G403" s="141">
        <f t="shared" si="38"/>
        <v>0</v>
      </c>
      <c r="H403" s="155">
        <f t="shared" si="39"/>
        <v>0</v>
      </c>
      <c r="I403" s="142">
        <f t="shared" si="40"/>
        <v>0</v>
      </c>
      <c r="J403" s="142">
        <f>0</f>
        <v>0</v>
      </c>
      <c r="K403" s="142">
        <f t="shared" si="41"/>
        <v>0</v>
      </c>
      <c r="L403" s="142">
        <f t="shared" si="42"/>
        <v>0</v>
      </c>
      <c r="Q403" s="155"/>
      <c r="R403" s="142"/>
      <c r="S403" s="142"/>
      <c r="T403" s="142"/>
      <c r="U403" s="142"/>
    </row>
    <row r="404" spans="5:21" x14ac:dyDescent="0.35">
      <c r="E404" s="135">
        <v>392</v>
      </c>
      <c r="F404" s="135">
        <v>0</v>
      </c>
      <c r="G404" s="141">
        <f t="shared" si="38"/>
        <v>0</v>
      </c>
      <c r="H404" s="155">
        <f t="shared" si="39"/>
        <v>0</v>
      </c>
      <c r="I404" s="142">
        <f t="shared" si="40"/>
        <v>0</v>
      </c>
      <c r="J404" s="142">
        <f>0</f>
        <v>0</v>
      </c>
      <c r="K404" s="142">
        <f t="shared" si="41"/>
        <v>0</v>
      </c>
      <c r="L404" s="142">
        <f t="shared" si="42"/>
        <v>0</v>
      </c>
      <c r="Q404" s="155"/>
      <c r="R404" s="142"/>
      <c r="S404" s="142"/>
      <c r="T404" s="142"/>
      <c r="U404" s="142"/>
    </row>
    <row r="405" spans="5:21" x14ac:dyDescent="0.35">
      <c r="E405" s="135">
        <v>393</v>
      </c>
      <c r="F405" s="135">
        <v>0</v>
      </c>
      <c r="G405" s="141">
        <f t="shared" si="38"/>
        <v>0</v>
      </c>
      <c r="H405" s="155">
        <f t="shared" si="39"/>
        <v>0</v>
      </c>
      <c r="I405" s="142">
        <f t="shared" si="40"/>
        <v>0</v>
      </c>
      <c r="J405" s="142">
        <f>0</f>
        <v>0</v>
      </c>
      <c r="K405" s="142">
        <f t="shared" si="41"/>
        <v>0</v>
      </c>
      <c r="L405" s="142">
        <f t="shared" si="42"/>
        <v>0</v>
      </c>
      <c r="Q405" s="155"/>
      <c r="R405" s="142"/>
      <c r="S405" s="142"/>
      <c r="T405" s="142"/>
      <c r="U405" s="142"/>
    </row>
    <row r="406" spans="5:21" x14ac:dyDescent="0.35">
      <c r="E406" s="135">
        <v>394</v>
      </c>
      <c r="F406" s="135">
        <v>0</v>
      </c>
      <c r="G406" s="141">
        <f t="shared" si="38"/>
        <v>0</v>
      </c>
      <c r="H406" s="155">
        <f t="shared" si="39"/>
        <v>0</v>
      </c>
      <c r="I406" s="142">
        <f t="shared" si="40"/>
        <v>0</v>
      </c>
      <c r="J406" s="142">
        <f>0</f>
        <v>0</v>
      </c>
      <c r="K406" s="142">
        <f t="shared" si="41"/>
        <v>0</v>
      </c>
      <c r="L406" s="142">
        <f t="shared" si="42"/>
        <v>0</v>
      </c>
      <c r="Q406" s="155"/>
      <c r="R406" s="142"/>
      <c r="S406" s="142"/>
      <c r="T406" s="142"/>
      <c r="U406" s="142"/>
    </row>
    <row r="407" spans="5:21" x14ac:dyDescent="0.35">
      <c r="E407" s="135">
        <v>395</v>
      </c>
      <c r="F407" s="135">
        <v>1</v>
      </c>
      <c r="G407" s="141">
        <f t="shared" si="38"/>
        <v>23.813582244547764</v>
      </c>
      <c r="H407" s="155">
        <f t="shared" si="39"/>
        <v>0</v>
      </c>
      <c r="I407" s="142">
        <f t="shared" si="40"/>
        <v>0</v>
      </c>
      <c r="J407" s="142">
        <f>0</f>
        <v>0</v>
      </c>
      <c r="K407" s="142">
        <f t="shared" si="41"/>
        <v>136632.93323927111</v>
      </c>
      <c r="L407" s="142">
        <f t="shared" si="42"/>
        <v>136632.93323927111</v>
      </c>
      <c r="Q407" s="155"/>
      <c r="R407" s="142"/>
      <c r="S407" s="142"/>
      <c r="T407" s="142"/>
      <c r="U407" s="142"/>
    </row>
    <row r="408" spans="5:21" x14ac:dyDescent="0.35">
      <c r="E408" s="135">
        <v>396</v>
      </c>
      <c r="F408" s="135">
        <v>1</v>
      </c>
      <c r="G408" s="141">
        <f t="shared" si="38"/>
        <v>23.813582244547764</v>
      </c>
      <c r="H408" s="155">
        <f t="shared" si="39"/>
        <v>0</v>
      </c>
      <c r="I408" s="142">
        <f t="shared" si="40"/>
        <v>0</v>
      </c>
      <c r="J408" s="142">
        <f>0</f>
        <v>0</v>
      </c>
      <c r="K408" s="142">
        <f t="shared" si="41"/>
        <v>136632.93323927111</v>
      </c>
      <c r="L408" s="142">
        <f t="shared" si="42"/>
        <v>136632.93323927111</v>
      </c>
      <c r="Q408" s="155"/>
      <c r="R408" s="142"/>
      <c r="S408" s="142"/>
      <c r="T408" s="142"/>
      <c r="U408" s="142"/>
    </row>
    <row r="409" spans="5:21" x14ac:dyDescent="0.35">
      <c r="E409" s="135">
        <v>397</v>
      </c>
      <c r="F409" s="135">
        <v>1</v>
      </c>
      <c r="G409" s="141">
        <f t="shared" si="38"/>
        <v>23.813582244547764</v>
      </c>
      <c r="H409" s="155">
        <f t="shared" si="39"/>
        <v>0</v>
      </c>
      <c r="I409" s="142">
        <f t="shared" si="40"/>
        <v>0</v>
      </c>
      <c r="J409" s="142">
        <f>0</f>
        <v>0</v>
      </c>
      <c r="K409" s="142">
        <f t="shared" si="41"/>
        <v>136632.93323927111</v>
      </c>
      <c r="L409" s="142">
        <f t="shared" si="42"/>
        <v>136632.93323927111</v>
      </c>
      <c r="Q409" s="155"/>
      <c r="R409" s="142"/>
      <c r="S409" s="142"/>
      <c r="T409" s="142"/>
      <c r="U409" s="142"/>
    </row>
    <row r="410" spans="5:21" x14ac:dyDescent="0.35">
      <c r="E410" s="135">
        <v>398</v>
      </c>
      <c r="F410" s="135">
        <v>0</v>
      </c>
      <c r="G410" s="141">
        <f t="shared" si="38"/>
        <v>0</v>
      </c>
      <c r="H410" s="155">
        <f t="shared" si="39"/>
        <v>0</v>
      </c>
      <c r="I410" s="142">
        <f t="shared" si="40"/>
        <v>0</v>
      </c>
      <c r="J410" s="142">
        <f>0</f>
        <v>0</v>
      </c>
      <c r="K410" s="142">
        <f t="shared" si="41"/>
        <v>0</v>
      </c>
      <c r="L410" s="142">
        <f t="shared" si="42"/>
        <v>0</v>
      </c>
      <c r="Q410" s="155"/>
      <c r="R410" s="142"/>
      <c r="S410" s="142"/>
      <c r="T410" s="142"/>
      <c r="U410" s="142"/>
    </row>
    <row r="411" spans="5:21" x14ac:dyDescent="0.35">
      <c r="E411" s="135">
        <v>399</v>
      </c>
      <c r="F411" s="135">
        <v>0</v>
      </c>
      <c r="G411" s="141">
        <f t="shared" si="38"/>
        <v>0</v>
      </c>
      <c r="H411" s="155">
        <f t="shared" si="39"/>
        <v>0</v>
      </c>
      <c r="I411" s="142">
        <f t="shared" si="40"/>
        <v>0</v>
      </c>
      <c r="J411" s="142">
        <f>0</f>
        <v>0</v>
      </c>
      <c r="K411" s="142">
        <f t="shared" si="41"/>
        <v>0</v>
      </c>
      <c r="L411" s="142">
        <f t="shared" si="42"/>
        <v>0</v>
      </c>
      <c r="Q411" s="155"/>
      <c r="R411" s="142"/>
      <c r="S411" s="142"/>
      <c r="T411" s="142"/>
      <c r="U411" s="142"/>
    </row>
    <row r="412" spans="5:21" x14ac:dyDescent="0.35">
      <c r="E412" s="135">
        <v>400</v>
      </c>
      <c r="F412" s="135">
        <v>0</v>
      </c>
      <c r="G412" s="141">
        <f t="shared" si="38"/>
        <v>0</v>
      </c>
      <c r="H412" s="155">
        <f t="shared" si="39"/>
        <v>0</v>
      </c>
      <c r="I412" s="142">
        <f t="shared" si="40"/>
        <v>0</v>
      </c>
      <c r="J412" s="142">
        <f>0</f>
        <v>0</v>
      </c>
      <c r="K412" s="142">
        <f t="shared" si="41"/>
        <v>0</v>
      </c>
      <c r="L412" s="142">
        <f t="shared" si="42"/>
        <v>0</v>
      </c>
      <c r="Q412" s="155"/>
      <c r="R412" s="142"/>
      <c r="S412" s="142"/>
      <c r="T412" s="142"/>
      <c r="U412" s="142"/>
    </row>
    <row r="413" spans="5:21" x14ac:dyDescent="0.35">
      <c r="E413" s="135">
        <v>401</v>
      </c>
      <c r="F413" s="135">
        <v>1</v>
      </c>
      <c r="G413" s="141">
        <f t="shared" si="38"/>
        <v>23.813582244547764</v>
      </c>
      <c r="H413" s="155">
        <f t="shared" si="39"/>
        <v>0</v>
      </c>
      <c r="I413" s="142">
        <f t="shared" si="40"/>
        <v>0</v>
      </c>
      <c r="J413" s="142">
        <f>0</f>
        <v>0</v>
      </c>
      <c r="K413" s="142">
        <f t="shared" si="41"/>
        <v>136632.93323927111</v>
      </c>
      <c r="L413" s="142">
        <f t="shared" si="42"/>
        <v>136632.93323927111</v>
      </c>
      <c r="Q413" s="155"/>
      <c r="R413" s="142"/>
      <c r="S413" s="142"/>
      <c r="T413" s="142"/>
      <c r="U413" s="142"/>
    </row>
    <row r="414" spans="5:21" x14ac:dyDescent="0.35">
      <c r="E414" s="135">
        <v>402</v>
      </c>
      <c r="F414" s="135">
        <v>2</v>
      </c>
      <c r="G414" s="141">
        <f t="shared" si="38"/>
        <v>47.627164489095527</v>
      </c>
      <c r="H414" s="155">
        <f t="shared" si="39"/>
        <v>200</v>
      </c>
      <c r="I414" s="142">
        <f t="shared" si="40"/>
        <v>14500000</v>
      </c>
      <c r="J414" s="142">
        <f>0</f>
        <v>0</v>
      </c>
      <c r="K414" s="142">
        <f t="shared" si="41"/>
        <v>273265.86647854222</v>
      </c>
      <c r="L414" s="142">
        <f t="shared" si="42"/>
        <v>14773265.866478542</v>
      </c>
      <c r="Q414" s="155"/>
      <c r="R414" s="142"/>
      <c r="S414" s="142"/>
      <c r="T414" s="142"/>
      <c r="U414" s="142"/>
    </row>
    <row r="415" spans="5:21" x14ac:dyDescent="0.35">
      <c r="E415" s="135">
        <v>403</v>
      </c>
      <c r="F415" s="135">
        <v>1</v>
      </c>
      <c r="G415" s="141">
        <f t="shared" si="38"/>
        <v>23.813582244547764</v>
      </c>
      <c r="H415" s="155">
        <f t="shared" si="39"/>
        <v>0</v>
      </c>
      <c r="I415" s="142">
        <f t="shared" si="40"/>
        <v>0</v>
      </c>
      <c r="J415" s="142">
        <f>0</f>
        <v>0</v>
      </c>
      <c r="K415" s="142">
        <f t="shared" si="41"/>
        <v>136632.93323927111</v>
      </c>
      <c r="L415" s="142">
        <f t="shared" si="42"/>
        <v>136632.93323927111</v>
      </c>
      <c r="Q415" s="155"/>
      <c r="R415" s="142"/>
      <c r="S415" s="142"/>
      <c r="T415" s="142"/>
      <c r="U415" s="142"/>
    </row>
    <row r="416" spans="5:21" x14ac:dyDescent="0.35">
      <c r="E416" s="135">
        <v>404</v>
      </c>
      <c r="F416" s="135">
        <v>0</v>
      </c>
      <c r="G416" s="141">
        <f t="shared" si="38"/>
        <v>0</v>
      </c>
      <c r="H416" s="155">
        <f t="shared" si="39"/>
        <v>0</v>
      </c>
      <c r="I416" s="142">
        <f t="shared" si="40"/>
        <v>0</v>
      </c>
      <c r="J416" s="142">
        <f>0</f>
        <v>0</v>
      </c>
      <c r="K416" s="142">
        <f t="shared" si="41"/>
        <v>0</v>
      </c>
      <c r="L416" s="142">
        <f t="shared" si="42"/>
        <v>0</v>
      </c>
      <c r="Q416" s="155"/>
      <c r="R416" s="142"/>
      <c r="S416" s="142"/>
      <c r="T416" s="142"/>
      <c r="U416" s="142"/>
    </row>
    <row r="417" spans="5:21" x14ac:dyDescent="0.35">
      <c r="E417" s="135">
        <v>405</v>
      </c>
      <c r="F417" s="135">
        <v>0</v>
      </c>
      <c r="G417" s="141">
        <f t="shared" si="38"/>
        <v>0</v>
      </c>
      <c r="H417" s="155">
        <f t="shared" si="39"/>
        <v>0</v>
      </c>
      <c r="I417" s="142">
        <f t="shared" si="40"/>
        <v>0</v>
      </c>
      <c r="J417" s="142">
        <f>0</f>
        <v>0</v>
      </c>
      <c r="K417" s="142">
        <f t="shared" si="41"/>
        <v>0</v>
      </c>
      <c r="L417" s="142">
        <f t="shared" si="42"/>
        <v>0</v>
      </c>
      <c r="Q417" s="155"/>
      <c r="R417" s="142"/>
      <c r="S417" s="142"/>
      <c r="T417" s="142"/>
      <c r="U417" s="142"/>
    </row>
    <row r="418" spans="5:21" x14ac:dyDescent="0.35">
      <c r="E418" s="135">
        <v>406</v>
      </c>
      <c r="F418" s="135">
        <v>1</v>
      </c>
      <c r="G418" s="141">
        <f t="shared" si="38"/>
        <v>23.813582244547764</v>
      </c>
      <c r="H418" s="155">
        <f t="shared" si="39"/>
        <v>0</v>
      </c>
      <c r="I418" s="142">
        <f t="shared" si="40"/>
        <v>0</v>
      </c>
      <c r="J418" s="142">
        <f>0</f>
        <v>0</v>
      </c>
      <c r="K418" s="142">
        <f t="shared" si="41"/>
        <v>136632.93323927111</v>
      </c>
      <c r="L418" s="142">
        <f t="shared" si="42"/>
        <v>136632.93323927111</v>
      </c>
      <c r="Q418" s="155"/>
      <c r="R418" s="142"/>
      <c r="S418" s="142"/>
      <c r="T418" s="142"/>
      <c r="U418" s="142"/>
    </row>
    <row r="419" spans="5:21" x14ac:dyDescent="0.35">
      <c r="E419" s="135">
        <v>407</v>
      </c>
      <c r="F419" s="135">
        <v>0</v>
      </c>
      <c r="G419" s="141">
        <f t="shared" si="38"/>
        <v>0</v>
      </c>
      <c r="H419" s="155">
        <f t="shared" si="39"/>
        <v>0</v>
      </c>
      <c r="I419" s="142">
        <f t="shared" si="40"/>
        <v>0</v>
      </c>
      <c r="J419" s="142">
        <f>0</f>
        <v>0</v>
      </c>
      <c r="K419" s="142">
        <f t="shared" si="41"/>
        <v>0</v>
      </c>
      <c r="L419" s="142">
        <f t="shared" si="42"/>
        <v>0</v>
      </c>
      <c r="Q419" s="155"/>
      <c r="R419" s="142"/>
      <c r="S419" s="142"/>
      <c r="T419" s="142"/>
      <c r="U419" s="142"/>
    </row>
    <row r="420" spans="5:21" x14ac:dyDescent="0.35">
      <c r="E420" s="135">
        <v>408</v>
      </c>
      <c r="F420" s="135">
        <v>0</v>
      </c>
      <c r="G420" s="141">
        <f t="shared" si="38"/>
        <v>0</v>
      </c>
      <c r="H420" s="155">
        <f t="shared" si="39"/>
        <v>0</v>
      </c>
      <c r="I420" s="142">
        <f t="shared" si="40"/>
        <v>0</v>
      </c>
      <c r="J420" s="142">
        <f>0</f>
        <v>0</v>
      </c>
      <c r="K420" s="142">
        <f t="shared" si="41"/>
        <v>0</v>
      </c>
      <c r="L420" s="142">
        <f t="shared" si="42"/>
        <v>0</v>
      </c>
      <c r="Q420" s="155"/>
      <c r="R420" s="142"/>
      <c r="S420" s="142"/>
      <c r="T420" s="142"/>
      <c r="U420" s="142"/>
    </row>
    <row r="421" spans="5:21" x14ac:dyDescent="0.35">
      <c r="E421" s="135">
        <v>409</v>
      </c>
      <c r="F421" s="135">
        <v>0</v>
      </c>
      <c r="G421" s="141">
        <f t="shared" si="38"/>
        <v>0</v>
      </c>
      <c r="H421" s="155">
        <f t="shared" si="39"/>
        <v>0</v>
      </c>
      <c r="I421" s="142">
        <f t="shared" si="40"/>
        <v>0</v>
      </c>
      <c r="J421" s="142">
        <f>0</f>
        <v>0</v>
      </c>
      <c r="K421" s="142">
        <f t="shared" si="41"/>
        <v>0</v>
      </c>
      <c r="L421" s="142">
        <f t="shared" si="42"/>
        <v>0</v>
      </c>
      <c r="Q421" s="155"/>
      <c r="R421" s="142"/>
      <c r="S421" s="142"/>
      <c r="T421" s="142"/>
      <c r="U421" s="142"/>
    </row>
    <row r="422" spans="5:21" x14ac:dyDescent="0.35">
      <c r="E422" s="135">
        <v>410</v>
      </c>
      <c r="F422" s="135">
        <v>0</v>
      </c>
      <c r="G422" s="141">
        <f t="shared" si="38"/>
        <v>0</v>
      </c>
      <c r="H422" s="155">
        <f t="shared" si="39"/>
        <v>0</v>
      </c>
      <c r="I422" s="142">
        <f t="shared" si="40"/>
        <v>0</v>
      </c>
      <c r="J422" s="142">
        <f>0</f>
        <v>0</v>
      </c>
      <c r="K422" s="142">
        <f t="shared" si="41"/>
        <v>0</v>
      </c>
      <c r="L422" s="142">
        <f t="shared" si="42"/>
        <v>0</v>
      </c>
      <c r="Q422" s="155"/>
      <c r="R422" s="142"/>
      <c r="S422" s="142"/>
      <c r="T422" s="142"/>
      <c r="U422" s="142"/>
    </row>
    <row r="423" spans="5:21" x14ac:dyDescent="0.35">
      <c r="E423" s="135">
        <v>411</v>
      </c>
      <c r="F423" s="135">
        <v>1</v>
      </c>
      <c r="G423" s="141">
        <f t="shared" si="38"/>
        <v>23.813582244547764</v>
      </c>
      <c r="H423" s="155">
        <f t="shared" si="39"/>
        <v>0</v>
      </c>
      <c r="I423" s="142">
        <f t="shared" si="40"/>
        <v>0</v>
      </c>
      <c r="J423" s="142">
        <f>0</f>
        <v>0</v>
      </c>
      <c r="K423" s="142">
        <f t="shared" si="41"/>
        <v>136632.93323927111</v>
      </c>
      <c r="L423" s="142">
        <f t="shared" si="42"/>
        <v>136632.93323927111</v>
      </c>
      <c r="Q423" s="155"/>
      <c r="R423" s="142"/>
      <c r="S423" s="142"/>
      <c r="T423" s="142"/>
      <c r="U423" s="142"/>
    </row>
    <row r="424" spans="5:21" x14ac:dyDescent="0.35">
      <c r="E424" s="135">
        <v>412</v>
      </c>
      <c r="F424" s="135">
        <v>0</v>
      </c>
      <c r="G424" s="141">
        <f t="shared" si="38"/>
        <v>0</v>
      </c>
      <c r="H424" s="155">
        <f t="shared" si="39"/>
        <v>0</v>
      </c>
      <c r="I424" s="142">
        <f t="shared" si="40"/>
        <v>0</v>
      </c>
      <c r="J424" s="142">
        <f>0</f>
        <v>0</v>
      </c>
      <c r="K424" s="142">
        <f t="shared" si="41"/>
        <v>0</v>
      </c>
      <c r="L424" s="142">
        <f t="shared" si="42"/>
        <v>0</v>
      </c>
      <c r="Q424" s="155"/>
      <c r="R424" s="142"/>
      <c r="S424" s="142"/>
      <c r="T424" s="142"/>
      <c r="U424" s="142"/>
    </row>
    <row r="425" spans="5:21" x14ac:dyDescent="0.35">
      <c r="E425" s="135">
        <v>413</v>
      </c>
      <c r="F425" s="135">
        <v>1</v>
      </c>
      <c r="G425" s="141">
        <f t="shared" si="38"/>
        <v>23.813582244547764</v>
      </c>
      <c r="H425" s="155">
        <f t="shared" si="39"/>
        <v>0</v>
      </c>
      <c r="I425" s="142">
        <f t="shared" si="40"/>
        <v>0</v>
      </c>
      <c r="J425" s="142">
        <f>0</f>
        <v>0</v>
      </c>
      <c r="K425" s="142">
        <f t="shared" si="41"/>
        <v>136632.93323927111</v>
      </c>
      <c r="L425" s="142">
        <f t="shared" si="42"/>
        <v>136632.93323927111</v>
      </c>
      <c r="Q425" s="155"/>
      <c r="R425" s="142"/>
      <c r="S425" s="142"/>
      <c r="T425" s="142"/>
      <c r="U425" s="142"/>
    </row>
    <row r="426" spans="5:21" x14ac:dyDescent="0.35">
      <c r="E426" s="135">
        <v>414</v>
      </c>
      <c r="F426" s="135">
        <v>0</v>
      </c>
      <c r="G426" s="141">
        <f t="shared" si="38"/>
        <v>0</v>
      </c>
      <c r="H426" s="155">
        <f t="shared" si="39"/>
        <v>0</v>
      </c>
      <c r="I426" s="142">
        <f t="shared" si="40"/>
        <v>0</v>
      </c>
      <c r="J426" s="142">
        <f>0</f>
        <v>0</v>
      </c>
      <c r="K426" s="142">
        <f t="shared" si="41"/>
        <v>0</v>
      </c>
      <c r="L426" s="142">
        <f t="shared" si="42"/>
        <v>0</v>
      </c>
      <c r="Q426" s="155"/>
      <c r="R426" s="142"/>
      <c r="S426" s="142"/>
      <c r="T426" s="142"/>
      <c r="U426" s="142"/>
    </row>
    <row r="427" spans="5:21" x14ac:dyDescent="0.35">
      <c r="E427" s="135">
        <v>415</v>
      </c>
      <c r="F427" s="135">
        <v>0</v>
      </c>
      <c r="G427" s="141">
        <f t="shared" si="38"/>
        <v>0</v>
      </c>
      <c r="H427" s="155">
        <f t="shared" si="39"/>
        <v>0</v>
      </c>
      <c r="I427" s="142">
        <f t="shared" si="40"/>
        <v>0</v>
      </c>
      <c r="J427" s="142">
        <f>0</f>
        <v>0</v>
      </c>
      <c r="K427" s="142">
        <f t="shared" si="41"/>
        <v>0</v>
      </c>
      <c r="L427" s="142">
        <f t="shared" si="42"/>
        <v>0</v>
      </c>
      <c r="Q427" s="155"/>
      <c r="R427" s="142"/>
      <c r="S427" s="142"/>
      <c r="T427" s="142"/>
      <c r="U427" s="142"/>
    </row>
    <row r="428" spans="5:21" x14ac:dyDescent="0.35">
      <c r="E428" s="135">
        <v>416</v>
      </c>
      <c r="F428" s="135">
        <v>1</v>
      </c>
      <c r="G428" s="141">
        <f t="shared" si="38"/>
        <v>23.813582244547764</v>
      </c>
      <c r="H428" s="155">
        <f t="shared" si="39"/>
        <v>0</v>
      </c>
      <c r="I428" s="142">
        <f t="shared" si="40"/>
        <v>0</v>
      </c>
      <c r="J428" s="142">
        <f>0</f>
        <v>0</v>
      </c>
      <c r="K428" s="142">
        <f t="shared" si="41"/>
        <v>136632.93323927111</v>
      </c>
      <c r="L428" s="142">
        <f t="shared" si="42"/>
        <v>136632.93323927111</v>
      </c>
      <c r="Q428" s="155"/>
      <c r="R428" s="142"/>
      <c r="S428" s="142"/>
      <c r="T428" s="142"/>
      <c r="U428" s="142"/>
    </row>
    <row r="429" spans="5:21" x14ac:dyDescent="0.35">
      <c r="E429" s="135">
        <v>417</v>
      </c>
      <c r="F429" s="135">
        <v>0</v>
      </c>
      <c r="G429" s="141">
        <f t="shared" si="38"/>
        <v>0</v>
      </c>
      <c r="H429" s="155">
        <f t="shared" si="39"/>
        <v>0</v>
      </c>
      <c r="I429" s="142">
        <f t="shared" si="40"/>
        <v>0</v>
      </c>
      <c r="J429" s="142">
        <f>0</f>
        <v>0</v>
      </c>
      <c r="K429" s="142">
        <f t="shared" si="41"/>
        <v>0</v>
      </c>
      <c r="L429" s="142">
        <f t="shared" si="42"/>
        <v>0</v>
      </c>
      <c r="Q429" s="155"/>
      <c r="R429" s="142"/>
      <c r="S429" s="142"/>
      <c r="T429" s="142"/>
      <c r="U429" s="142"/>
    </row>
    <row r="430" spans="5:21" x14ac:dyDescent="0.35">
      <c r="E430" s="135">
        <v>418</v>
      </c>
      <c r="F430" s="135">
        <v>0</v>
      </c>
      <c r="G430" s="141">
        <f t="shared" si="38"/>
        <v>0</v>
      </c>
      <c r="H430" s="155">
        <f t="shared" si="39"/>
        <v>0</v>
      </c>
      <c r="I430" s="142">
        <f t="shared" si="40"/>
        <v>0</v>
      </c>
      <c r="J430" s="142">
        <f>0</f>
        <v>0</v>
      </c>
      <c r="K430" s="142">
        <f t="shared" si="41"/>
        <v>0</v>
      </c>
      <c r="L430" s="142">
        <f t="shared" si="42"/>
        <v>0</v>
      </c>
      <c r="Q430" s="155"/>
      <c r="R430" s="142"/>
      <c r="S430" s="142"/>
      <c r="T430" s="142"/>
      <c r="U430" s="142"/>
    </row>
    <row r="431" spans="5:21" x14ac:dyDescent="0.35">
      <c r="E431" s="135">
        <v>419</v>
      </c>
      <c r="F431" s="135">
        <v>0</v>
      </c>
      <c r="G431" s="141">
        <f t="shared" si="38"/>
        <v>0</v>
      </c>
      <c r="H431" s="155">
        <f t="shared" si="39"/>
        <v>0</v>
      </c>
      <c r="I431" s="142">
        <f t="shared" si="40"/>
        <v>0</v>
      </c>
      <c r="J431" s="142">
        <f>0</f>
        <v>0</v>
      </c>
      <c r="K431" s="142">
        <f t="shared" si="41"/>
        <v>0</v>
      </c>
      <c r="L431" s="142">
        <f t="shared" si="42"/>
        <v>0</v>
      </c>
      <c r="Q431" s="155"/>
      <c r="R431" s="142"/>
      <c r="S431" s="142"/>
      <c r="T431" s="142"/>
      <c r="U431" s="142"/>
    </row>
    <row r="432" spans="5:21" x14ac:dyDescent="0.35">
      <c r="E432" s="135">
        <v>420</v>
      </c>
      <c r="F432" s="135">
        <v>0</v>
      </c>
      <c r="G432" s="141">
        <f t="shared" si="38"/>
        <v>0</v>
      </c>
      <c r="H432" s="155">
        <f t="shared" si="39"/>
        <v>0</v>
      </c>
      <c r="I432" s="142">
        <f t="shared" si="40"/>
        <v>0</v>
      </c>
      <c r="J432" s="142">
        <f>0</f>
        <v>0</v>
      </c>
      <c r="K432" s="142">
        <f t="shared" si="41"/>
        <v>0</v>
      </c>
      <c r="L432" s="142">
        <f t="shared" si="42"/>
        <v>0</v>
      </c>
      <c r="Q432" s="155"/>
      <c r="R432" s="142"/>
      <c r="S432" s="142"/>
      <c r="T432" s="142"/>
      <c r="U432" s="142"/>
    </row>
    <row r="433" spans="5:21" x14ac:dyDescent="0.35">
      <c r="E433" s="135">
        <v>421</v>
      </c>
      <c r="F433" s="135">
        <v>0</v>
      </c>
      <c r="G433" s="141">
        <f t="shared" si="38"/>
        <v>0</v>
      </c>
      <c r="H433" s="155">
        <f t="shared" si="39"/>
        <v>0</v>
      </c>
      <c r="I433" s="142">
        <f t="shared" si="40"/>
        <v>0</v>
      </c>
      <c r="J433" s="142">
        <f>0</f>
        <v>0</v>
      </c>
      <c r="K433" s="142">
        <f t="shared" si="41"/>
        <v>0</v>
      </c>
      <c r="L433" s="142">
        <f t="shared" si="42"/>
        <v>0</v>
      </c>
      <c r="Q433" s="155"/>
      <c r="R433" s="142"/>
      <c r="S433" s="142"/>
      <c r="T433" s="142"/>
      <c r="U433" s="142"/>
    </row>
    <row r="434" spans="5:21" x14ac:dyDescent="0.35">
      <c r="E434" s="135">
        <v>422</v>
      </c>
      <c r="F434" s="135">
        <v>0</v>
      </c>
      <c r="G434" s="141">
        <f t="shared" si="38"/>
        <v>0</v>
      </c>
      <c r="H434" s="155">
        <f t="shared" si="39"/>
        <v>0</v>
      </c>
      <c r="I434" s="142">
        <f t="shared" si="40"/>
        <v>0</v>
      </c>
      <c r="J434" s="142">
        <f>0</f>
        <v>0</v>
      </c>
      <c r="K434" s="142">
        <f t="shared" si="41"/>
        <v>0</v>
      </c>
      <c r="L434" s="142">
        <f t="shared" si="42"/>
        <v>0</v>
      </c>
      <c r="Q434" s="155"/>
      <c r="R434" s="142"/>
      <c r="S434" s="142"/>
      <c r="T434" s="142"/>
      <c r="U434" s="142"/>
    </row>
    <row r="435" spans="5:21" x14ac:dyDescent="0.35">
      <c r="E435" s="135">
        <v>423</v>
      </c>
      <c r="F435" s="135">
        <v>1</v>
      </c>
      <c r="G435" s="141">
        <f t="shared" si="38"/>
        <v>23.813582244547764</v>
      </c>
      <c r="H435" s="155">
        <f t="shared" si="39"/>
        <v>0</v>
      </c>
      <c r="I435" s="142">
        <f t="shared" si="40"/>
        <v>0</v>
      </c>
      <c r="J435" s="142">
        <f>0</f>
        <v>0</v>
      </c>
      <c r="K435" s="142">
        <f t="shared" si="41"/>
        <v>136632.93323927111</v>
      </c>
      <c r="L435" s="142">
        <f t="shared" si="42"/>
        <v>136632.93323927111</v>
      </c>
      <c r="Q435" s="155"/>
      <c r="R435" s="142"/>
      <c r="S435" s="142"/>
      <c r="T435" s="142"/>
      <c r="U435" s="142"/>
    </row>
    <row r="436" spans="5:21" x14ac:dyDescent="0.35">
      <c r="E436" s="135">
        <v>424</v>
      </c>
      <c r="F436" s="135">
        <v>0</v>
      </c>
      <c r="G436" s="141">
        <f t="shared" si="38"/>
        <v>0</v>
      </c>
      <c r="H436" s="155">
        <f t="shared" si="39"/>
        <v>0</v>
      </c>
      <c r="I436" s="142">
        <f t="shared" si="40"/>
        <v>0</v>
      </c>
      <c r="J436" s="142">
        <f>0</f>
        <v>0</v>
      </c>
      <c r="K436" s="142">
        <f t="shared" si="41"/>
        <v>0</v>
      </c>
      <c r="L436" s="142">
        <f t="shared" si="42"/>
        <v>0</v>
      </c>
      <c r="Q436" s="155"/>
      <c r="R436" s="142"/>
      <c r="S436" s="142"/>
      <c r="T436" s="142"/>
      <c r="U436" s="142"/>
    </row>
    <row r="437" spans="5:21" x14ac:dyDescent="0.35">
      <c r="E437" s="135">
        <v>425</v>
      </c>
      <c r="F437" s="135">
        <v>0</v>
      </c>
      <c r="G437" s="141">
        <f t="shared" si="38"/>
        <v>0</v>
      </c>
      <c r="H437" s="155">
        <f t="shared" si="39"/>
        <v>0</v>
      </c>
      <c r="I437" s="142">
        <f t="shared" si="40"/>
        <v>0</v>
      </c>
      <c r="J437" s="142">
        <f>0</f>
        <v>0</v>
      </c>
      <c r="K437" s="142">
        <f t="shared" si="41"/>
        <v>0</v>
      </c>
      <c r="L437" s="142">
        <f t="shared" si="42"/>
        <v>0</v>
      </c>
      <c r="Q437" s="155"/>
      <c r="R437" s="142"/>
      <c r="S437" s="142"/>
      <c r="T437" s="142"/>
      <c r="U437" s="142"/>
    </row>
    <row r="438" spans="5:21" x14ac:dyDescent="0.35">
      <c r="E438" s="135">
        <v>426</v>
      </c>
      <c r="F438" s="135">
        <v>1</v>
      </c>
      <c r="G438" s="141">
        <f t="shared" si="38"/>
        <v>23.813582244547764</v>
      </c>
      <c r="H438" s="155">
        <f t="shared" si="39"/>
        <v>0</v>
      </c>
      <c r="I438" s="142">
        <f t="shared" si="40"/>
        <v>0</v>
      </c>
      <c r="J438" s="142">
        <f>0</f>
        <v>0</v>
      </c>
      <c r="K438" s="142">
        <f t="shared" si="41"/>
        <v>136632.93323927111</v>
      </c>
      <c r="L438" s="142">
        <f t="shared" si="42"/>
        <v>136632.93323927111</v>
      </c>
      <c r="Q438" s="155"/>
      <c r="R438" s="142"/>
      <c r="S438" s="142"/>
      <c r="T438" s="142"/>
      <c r="U438" s="142"/>
    </row>
    <row r="439" spans="5:21" x14ac:dyDescent="0.35">
      <c r="E439" s="135">
        <v>427</v>
      </c>
      <c r="F439" s="135">
        <v>0</v>
      </c>
      <c r="G439" s="141">
        <f t="shared" si="38"/>
        <v>0</v>
      </c>
      <c r="H439" s="155">
        <f t="shared" si="39"/>
        <v>0</v>
      </c>
      <c r="I439" s="142">
        <f t="shared" si="40"/>
        <v>0</v>
      </c>
      <c r="J439" s="142">
        <f>0</f>
        <v>0</v>
      </c>
      <c r="K439" s="142">
        <f t="shared" si="41"/>
        <v>0</v>
      </c>
      <c r="L439" s="142">
        <f t="shared" si="42"/>
        <v>0</v>
      </c>
      <c r="Q439" s="155"/>
      <c r="R439" s="142"/>
      <c r="S439" s="142"/>
      <c r="T439" s="142"/>
      <c r="U439" s="142"/>
    </row>
    <row r="440" spans="5:21" x14ac:dyDescent="0.35">
      <c r="E440" s="135">
        <v>428</v>
      </c>
      <c r="F440" s="135">
        <v>1</v>
      </c>
      <c r="G440" s="141">
        <f t="shared" si="38"/>
        <v>23.813582244547764</v>
      </c>
      <c r="H440" s="155">
        <f t="shared" si="39"/>
        <v>0</v>
      </c>
      <c r="I440" s="142">
        <f t="shared" si="40"/>
        <v>0</v>
      </c>
      <c r="J440" s="142">
        <f>0</f>
        <v>0</v>
      </c>
      <c r="K440" s="142">
        <f t="shared" si="41"/>
        <v>136632.93323927111</v>
      </c>
      <c r="L440" s="142">
        <f t="shared" si="42"/>
        <v>136632.93323927111</v>
      </c>
      <c r="Q440" s="155"/>
      <c r="R440" s="142"/>
      <c r="S440" s="142"/>
      <c r="T440" s="142"/>
      <c r="U440" s="142"/>
    </row>
    <row r="441" spans="5:21" x14ac:dyDescent="0.35">
      <c r="E441" s="135">
        <v>429</v>
      </c>
      <c r="F441" s="135">
        <v>0</v>
      </c>
      <c r="G441" s="141">
        <f t="shared" si="38"/>
        <v>0</v>
      </c>
      <c r="H441" s="155">
        <f t="shared" si="39"/>
        <v>0</v>
      </c>
      <c r="I441" s="142">
        <f t="shared" si="40"/>
        <v>0</v>
      </c>
      <c r="J441" s="142">
        <f>0</f>
        <v>0</v>
      </c>
      <c r="K441" s="142">
        <f t="shared" si="41"/>
        <v>0</v>
      </c>
      <c r="L441" s="142">
        <f t="shared" si="42"/>
        <v>0</v>
      </c>
      <c r="Q441" s="155"/>
      <c r="R441" s="142"/>
      <c r="S441" s="142"/>
      <c r="T441" s="142"/>
      <c r="U441" s="142"/>
    </row>
    <row r="442" spans="5:21" x14ac:dyDescent="0.35">
      <c r="E442" s="135">
        <v>430</v>
      </c>
      <c r="F442" s="135">
        <v>0</v>
      </c>
      <c r="G442" s="141">
        <f t="shared" si="38"/>
        <v>0</v>
      </c>
      <c r="H442" s="155">
        <f t="shared" si="39"/>
        <v>0</v>
      </c>
      <c r="I442" s="142">
        <f t="shared" si="40"/>
        <v>0</v>
      </c>
      <c r="J442" s="142">
        <f>0</f>
        <v>0</v>
      </c>
      <c r="K442" s="142">
        <f t="shared" si="41"/>
        <v>0</v>
      </c>
      <c r="L442" s="142">
        <f t="shared" si="42"/>
        <v>0</v>
      </c>
      <c r="Q442" s="155"/>
      <c r="R442" s="142"/>
      <c r="S442" s="142"/>
      <c r="T442" s="142"/>
      <c r="U442" s="142"/>
    </row>
    <row r="443" spans="5:21" x14ac:dyDescent="0.35">
      <c r="E443" s="135">
        <v>431</v>
      </c>
      <c r="F443" s="135">
        <v>0</v>
      </c>
      <c r="G443" s="141">
        <f t="shared" si="38"/>
        <v>0</v>
      </c>
      <c r="H443" s="155">
        <f t="shared" si="39"/>
        <v>0</v>
      </c>
      <c r="I443" s="142">
        <f t="shared" si="40"/>
        <v>0</v>
      </c>
      <c r="J443" s="142">
        <f>0</f>
        <v>0</v>
      </c>
      <c r="K443" s="142">
        <f t="shared" si="41"/>
        <v>0</v>
      </c>
      <c r="L443" s="142">
        <f t="shared" si="42"/>
        <v>0</v>
      </c>
      <c r="Q443" s="155"/>
      <c r="R443" s="142"/>
      <c r="S443" s="142"/>
      <c r="T443" s="142"/>
      <c r="U443" s="142"/>
    </row>
    <row r="444" spans="5:21" x14ac:dyDescent="0.35">
      <c r="E444" s="135">
        <v>432</v>
      </c>
      <c r="F444" s="135">
        <v>0</v>
      </c>
      <c r="G444" s="141">
        <f t="shared" si="38"/>
        <v>0</v>
      </c>
      <c r="H444" s="155">
        <f t="shared" si="39"/>
        <v>0</v>
      </c>
      <c r="I444" s="142">
        <f t="shared" si="40"/>
        <v>0</v>
      </c>
      <c r="J444" s="142">
        <f>0</f>
        <v>0</v>
      </c>
      <c r="K444" s="142">
        <f t="shared" si="41"/>
        <v>0</v>
      </c>
      <c r="L444" s="142">
        <f t="shared" si="42"/>
        <v>0</v>
      </c>
      <c r="Q444" s="155"/>
      <c r="R444" s="142"/>
      <c r="S444" s="142"/>
      <c r="T444" s="142"/>
      <c r="U444" s="142"/>
    </row>
    <row r="445" spans="5:21" x14ac:dyDescent="0.35">
      <c r="E445" s="135">
        <v>433</v>
      </c>
      <c r="F445" s="135">
        <v>0</v>
      </c>
      <c r="G445" s="141">
        <f t="shared" si="38"/>
        <v>0</v>
      </c>
      <c r="H445" s="155">
        <f t="shared" si="39"/>
        <v>0</v>
      </c>
      <c r="I445" s="142">
        <f t="shared" si="40"/>
        <v>0</v>
      </c>
      <c r="J445" s="142">
        <f>0</f>
        <v>0</v>
      </c>
      <c r="K445" s="142">
        <f t="shared" si="41"/>
        <v>0</v>
      </c>
      <c r="L445" s="142">
        <f t="shared" si="42"/>
        <v>0</v>
      </c>
      <c r="Q445" s="155"/>
      <c r="R445" s="142"/>
      <c r="S445" s="142"/>
      <c r="T445" s="142"/>
      <c r="U445" s="142"/>
    </row>
    <row r="446" spans="5:21" x14ac:dyDescent="0.35">
      <c r="E446" s="135">
        <v>434</v>
      </c>
      <c r="F446" s="135">
        <v>0</v>
      </c>
      <c r="G446" s="141">
        <f t="shared" si="38"/>
        <v>0</v>
      </c>
      <c r="H446" s="155">
        <f t="shared" si="39"/>
        <v>0</v>
      </c>
      <c r="I446" s="142">
        <f t="shared" si="40"/>
        <v>0</v>
      </c>
      <c r="J446" s="142">
        <f>0</f>
        <v>0</v>
      </c>
      <c r="K446" s="142">
        <f t="shared" si="41"/>
        <v>0</v>
      </c>
      <c r="L446" s="142">
        <f t="shared" si="42"/>
        <v>0</v>
      </c>
      <c r="Q446" s="155"/>
      <c r="R446" s="142"/>
      <c r="S446" s="142"/>
      <c r="T446" s="142"/>
      <c r="U446" s="142"/>
    </row>
    <row r="447" spans="5:21" x14ac:dyDescent="0.35">
      <c r="E447" s="135">
        <v>435</v>
      </c>
      <c r="F447" s="135">
        <v>0</v>
      </c>
      <c r="G447" s="141">
        <f t="shared" si="38"/>
        <v>0</v>
      </c>
      <c r="H447" s="155">
        <f t="shared" si="39"/>
        <v>0</v>
      </c>
      <c r="I447" s="142">
        <f t="shared" si="40"/>
        <v>0</v>
      </c>
      <c r="J447" s="142">
        <f>0</f>
        <v>0</v>
      </c>
      <c r="K447" s="142">
        <f t="shared" si="41"/>
        <v>0</v>
      </c>
      <c r="L447" s="142">
        <f t="shared" si="42"/>
        <v>0</v>
      </c>
      <c r="Q447" s="155"/>
      <c r="R447" s="142"/>
      <c r="S447" s="142"/>
      <c r="T447" s="142"/>
      <c r="U447" s="142"/>
    </row>
    <row r="448" spans="5:21" x14ac:dyDescent="0.35">
      <c r="E448" s="135">
        <v>436</v>
      </c>
      <c r="F448" s="135">
        <v>0</v>
      </c>
      <c r="G448" s="141">
        <f t="shared" si="38"/>
        <v>0</v>
      </c>
      <c r="H448" s="155">
        <f t="shared" si="39"/>
        <v>0</v>
      </c>
      <c r="I448" s="142">
        <f t="shared" si="40"/>
        <v>0</v>
      </c>
      <c r="J448" s="142">
        <f>0</f>
        <v>0</v>
      </c>
      <c r="K448" s="142">
        <f t="shared" si="41"/>
        <v>0</v>
      </c>
      <c r="L448" s="142">
        <f t="shared" si="42"/>
        <v>0</v>
      </c>
      <c r="Q448" s="155"/>
      <c r="R448" s="142"/>
      <c r="S448" s="142"/>
      <c r="T448" s="142"/>
      <c r="U448" s="142"/>
    </row>
    <row r="449" spans="5:21" x14ac:dyDescent="0.35">
      <c r="E449" s="135">
        <v>437</v>
      </c>
      <c r="F449" s="135">
        <v>1</v>
      </c>
      <c r="G449" s="141">
        <f t="shared" si="38"/>
        <v>23.813582244547764</v>
      </c>
      <c r="H449" s="155">
        <f t="shared" si="39"/>
        <v>0</v>
      </c>
      <c r="I449" s="142">
        <f t="shared" si="40"/>
        <v>0</v>
      </c>
      <c r="J449" s="142">
        <f>0</f>
        <v>0</v>
      </c>
      <c r="K449" s="142">
        <f t="shared" si="41"/>
        <v>136632.93323927111</v>
      </c>
      <c r="L449" s="142">
        <f t="shared" si="42"/>
        <v>136632.93323927111</v>
      </c>
      <c r="Q449" s="155"/>
      <c r="R449" s="142"/>
      <c r="S449" s="142"/>
      <c r="T449" s="142"/>
      <c r="U449" s="142"/>
    </row>
    <row r="450" spans="5:21" x14ac:dyDescent="0.35">
      <c r="E450" s="135">
        <v>438</v>
      </c>
      <c r="F450" s="135">
        <v>0</v>
      </c>
      <c r="G450" s="141">
        <f t="shared" si="38"/>
        <v>0</v>
      </c>
      <c r="H450" s="155">
        <f t="shared" si="39"/>
        <v>0</v>
      </c>
      <c r="I450" s="142">
        <f t="shared" si="40"/>
        <v>0</v>
      </c>
      <c r="J450" s="142">
        <f>0</f>
        <v>0</v>
      </c>
      <c r="K450" s="142">
        <f t="shared" si="41"/>
        <v>0</v>
      </c>
      <c r="L450" s="142">
        <f t="shared" si="42"/>
        <v>0</v>
      </c>
      <c r="Q450" s="155"/>
      <c r="R450" s="142"/>
      <c r="S450" s="142"/>
      <c r="T450" s="142"/>
      <c r="U450" s="142"/>
    </row>
    <row r="451" spans="5:21" x14ac:dyDescent="0.35">
      <c r="E451" s="135">
        <v>439</v>
      </c>
      <c r="F451" s="135">
        <v>0</v>
      </c>
      <c r="G451" s="141">
        <f t="shared" si="38"/>
        <v>0</v>
      </c>
      <c r="H451" s="155">
        <f t="shared" si="39"/>
        <v>0</v>
      </c>
      <c r="I451" s="142">
        <f t="shared" si="40"/>
        <v>0</v>
      </c>
      <c r="J451" s="142">
        <f>0</f>
        <v>0</v>
      </c>
      <c r="K451" s="142">
        <f t="shared" si="41"/>
        <v>0</v>
      </c>
      <c r="L451" s="142">
        <f t="shared" si="42"/>
        <v>0</v>
      </c>
      <c r="Q451" s="155"/>
      <c r="R451" s="142"/>
      <c r="S451" s="142"/>
      <c r="T451" s="142"/>
      <c r="U451" s="142"/>
    </row>
    <row r="452" spans="5:21" x14ac:dyDescent="0.35">
      <c r="E452" s="135">
        <v>440</v>
      </c>
      <c r="F452" s="135">
        <v>0</v>
      </c>
      <c r="G452" s="141">
        <f t="shared" si="38"/>
        <v>0</v>
      </c>
      <c r="H452" s="155">
        <f t="shared" si="39"/>
        <v>0</v>
      </c>
      <c r="I452" s="142">
        <f t="shared" si="40"/>
        <v>0</v>
      </c>
      <c r="J452" s="142">
        <f>0</f>
        <v>0</v>
      </c>
      <c r="K452" s="142">
        <f t="shared" si="41"/>
        <v>0</v>
      </c>
      <c r="L452" s="142">
        <f t="shared" si="42"/>
        <v>0</v>
      </c>
      <c r="Q452" s="155"/>
      <c r="R452" s="142"/>
      <c r="S452" s="142"/>
      <c r="T452" s="142"/>
      <c r="U452" s="142"/>
    </row>
    <row r="453" spans="5:21" x14ac:dyDescent="0.35">
      <c r="E453" s="135">
        <v>441</v>
      </c>
      <c r="F453" s="135">
        <v>1</v>
      </c>
      <c r="G453" s="141">
        <f t="shared" si="38"/>
        <v>23.813582244547764</v>
      </c>
      <c r="H453" s="155">
        <f t="shared" si="39"/>
        <v>0</v>
      </c>
      <c r="I453" s="142">
        <f t="shared" si="40"/>
        <v>0</v>
      </c>
      <c r="J453" s="142">
        <f>0</f>
        <v>0</v>
      </c>
      <c r="K453" s="142">
        <f t="shared" si="41"/>
        <v>136632.93323927111</v>
      </c>
      <c r="L453" s="142">
        <f t="shared" si="42"/>
        <v>136632.93323927111</v>
      </c>
      <c r="Q453" s="155"/>
      <c r="R453" s="142"/>
      <c r="S453" s="142"/>
      <c r="T453" s="142"/>
      <c r="U453" s="142"/>
    </row>
    <row r="454" spans="5:21" x14ac:dyDescent="0.35">
      <c r="E454" s="135">
        <v>442</v>
      </c>
      <c r="F454" s="135">
        <v>0</v>
      </c>
      <c r="G454" s="141">
        <f t="shared" si="38"/>
        <v>0</v>
      </c>
      <c r="H454" s="155">
        <f t="shared" si="39"/>
        <v>0</v>
      </c>
      <c r="I454" s="142">
        <f t="shared" si="40"/>
        <v>0</v>
      </c>
      <c r="J454" s="142">
        <f>0</f>
        <v>0</v>
      </c>
      <c r="K454" s="142">
        <f t="shared" si="41"/>
        <v>0</v>
      </c>
      <c r="L454" s="142">
        <f t="shared" si="42"/>
        <v>0</v>
      </c>
      <c r="Q454" s="155"/>
      <c r="R454" s="142"/>
      <c r="S454" s="142"/>
      <c r="T454" s="142"/>
      <c r="U454" s="142"/>
    </row>
    <row r="455" spans="5:21" x14ac:dyDescent="0.35">
      <c r="E455" s="135">
        <v>443</v>
      </c>
      <c r="F455" s="135">
        <v>0</v>
      </c>
      <c r="G455" s="141">
        <f t="shared" si="38"/>
        <v>0</v>
      </c>
      <c r="H455" s="155">
        <f t="shared" si="39"/>
        <v>0</v>
      </c>
      <c r="I455" s="142">
        <f t="shared" si="40"/>
        <v>0</v>
      </c>
      <c r="J455" s="142">
        <f>0</f>
        <v>0</v>
      </c>
      <c r="K455" s="142">
        <f t="shared" si="41"/>
        <v>0</v>
      </c>
      <c r="L455" s="142">
        <f t="shared" si="42"/>
        <v>0</v>
      </c>
      <c r="Q455" s="155"/>
      <c r="R455" s="142"/>
      <c r="S455" s="142"/>
      <c r="T455" s="142"/>
      <c r="U455" s="142"/>
    </row>
    <row r="456" spans="5:21" x14ac:dyDescent="0.35">
      <c r="E456" s="135">
        <v>444</v>
      </c>
      <c r="F456" s="135">
        <v>0</v>
      </c>
      <c r="G456" s="141">
        <f t="shared" si="38"/>
        <v>0</v>
      </c>
      <c r="H456" s="155">
        <f t="shared" si="39"/>
        <v>0</v>
      </c>
      <c r="I456" s="142">
        <f t="shared" si="40"/>
        <v>0</v>
      </c>
      <c r="J456" s="142">
        <f>0</f>
        <v>0</v>
      </c>
      <c r="K456" s="142">
        <f t="shared" si="41"/>
        <v>0</v>
      </c>
      <c r="L456" s="142">
        <f t="shared" si="42"/>
        <v>0</v>
      </c>
      <c r="Q456" s="155"/>
      <c r="R456" s="142"/>
      <c r="S456" s="142"/>
      <c r="T456" s="142"/>
      <c r="U456" s="142"/>
    </row>
    <row r="457" spans="5:21" x14ac:dyDescent="0.35">
      <c r="E457" s="135">
        <v>445</v>
      </c>
      <c r="F457" s="135">
        <v>0</v>
      </c>
      <c r="G457" s="141">
        <f t="shared" si="38"/>
        <v>0</v>
      </c>
      <c r="H457" s="155">
        <f t="shared" si="39"/>
        <v>0</v>
      </c>
      <c r="I457" s="142">
        <f t="shared" si="40"/>
        <v>0</v>
      </c>
      <c r="J457" s="142">
        <f>0</f>
        <v>0</v>
      </c>
      <c r="K457" s="142">
        <f t="shared" si="41"/>
        <v>0</v>
      </c>
      <c r="L457" s="142">
        <f t="shared" si="42"/>
        <v>0</v>
      </c>
      <c r="Q457" s="155"/>
      <c r="R457" s="142"/>
      <c r="S457" s="142"/>
      <c r="T457" s="142"/>
      <c r="U457" s="142"/>
    </row>
    <row r="458" spans="5:21" x14ac:dyDescent="0.35">
      <c r="E458" s="135">
        <v>446</v>
      </c>
      <c r="F458" s="135">
        <v>1</v>
      </c>
      <c r="G458" s="141">
        <f t="shared" si="38"/>
        <v>23.813582244547764</v>
      </c>
      <c r="H458" s="155">
        <f t="shared" si="39"/>
        <v>0</v>
      </c>
      <c r="I458" s="142">
        <f t="shared" si="40"/>
        <v>0</v>
      </c>
      <c r="J458" s="142">
        <f>0</f>
        <v>0</v>
      </c>
      <c r="K458" s="142">
        <f t="shared" si="41"/>
        <v>136632.93323927111</v>
      </c>
      <c r="L458" s="142">
        <f t="shared" si="42"/>
        <v>136632.93323927111</v>
      </c>
      <c r="Q458" s="155"/>
      <c r="R458" s="142"/>
      <c r="S458" s="142"/>
      <c r="T458" s="142"/>
      <c r="U458" s="142"/>
    </row>
    <row r="459" spans="5:21" x14ac:dyDescent="0.35">
      <c r="E459" s="135">
        <v>447</v>
      </c>
      <c r="F459" s="135">
        <v>0</v>
      </c>
      <c r="G459" s="141">
        <f t="shared" si="38"/>
        <v>0</v>
      </c>
      <c r="H459" s="155">
        <f t="shared" si="39"/>
        <v>0</v>
      </c>
      <c r="I459" s="142">
        <f t="shared" si="40"/>
        <v>0</v>
      </c>
      <c r="J459" s="142">
        <f>0</f>
        <v>0</v>
      </c>
      <c r="K459" s="142">
        <f t="shared" si="41"/>
        <v>0</v>
      </c>
      <c r="L459" s="142">
        <f t="shared" si="42"/>
        <v>0</v>
      </c>
      <c r="Q459" s="155"/>
      <c r="R459" s="142"/>
      <c r="S459" s="142"/>
      <c r="T459" s="142"/>
      <c r="U459" s="142"/>
    </row>
    <row r="460" spans="5:21" x14ac:dyDescent="0.35">
      <c r="E460" s="135">
        <v>448</v>
      </c>
      <c r="F460" s="135">
        <v>0</v>
      </c>
      <c r="G460" s="141">
        <f t="shared" si="38"/>
        <v>0</v>
      </c>
      <c r="H460" s="155">
        <f t="shared" si="39"/>
        <v>0</v>
      </c>
      <c r="I460" s="142">
        <f t="shared" si="40"/>
        <v>0</v>
      </c>
      <c r="J460" s="142">
        <f>0</f>
        <v>0</v>
      </c>
      <c r="K460" s="142">
        <f t="shared" si="41"/>
        <v>0</v>
      </c>
      <c r="L460" s="142">
        <f t="shared" si="42"/>
        <v>0</v>
      </c>
      <c r="Q460" s="155"/>
      <c r="R460" s="142"/>
      <c r="S460" s="142"/>
      <c r="T460" s="142"/>
      <c r="U460" s="142"/>
    </row>
    <row r="461" spans="5:21" x14ac:dyDescent="0.35">
      <c r="E461" s="135">
        <v>449</v>
      </c>
      <c r="F461" s="135">
        <v>1</v>
      </c>
      <c r="G461" s="141">
        <f t="shared" ref="G461:G524" si="43">F461*$C$9</f>
        <v>23.813582244547764</v>
      </c>
      <c r="H461" s="155">
        <f t="shared" ref="H461:H524" si="44">IF(F461 &gt; 1,$C$13*20000,0)</f>
        <v>0</v>
      </c>
      <c r="I461" s="142">
        <f t="shared" ref="I461:I524" si="45">IF(F461 &gt; 1,$C$4,0)</f>
        <v>0</v>
      </c>
      <c r="J461" s="142">
        <f>0</f>
        <v>0</v>
      </c>
      <c r="K461" s="142">
        <f t="shared" ref="K461:K524" si="46">F461*$C$5</f>
        <v>136632.93323927111</v>
      </c>
      <c r="L461" s="142">
        <f t="shared" ref="L461:L524" si="47">J461+I461+K461</f>
        <v>136632.93323927111</v>
      </c>
      <c r="Q461" s="155"/>
      <c r="R461" s="142"/>
      <c r="S461" s="142"/>
      <c r="T461" s="142"/>
      <c r="U461" s="142"/>
    </row>
    <row r="462" spans="5:21" x14ac:dyDescent="0.35">
      <c r="E462" s="135">
        <v>450</v>
      </c>
      <c r="F462" s="135">
        <v>0</v>
      </c>
      <c r="G462" s="141">
        <f t="shared" si="43"/>
        <v>0</v>
      </c>
      <c r="H462" s="155">
        <f t="shared" si="44"/>
        <v>0</v>
      </c>
      <c r="I462" s="142">
        <f t="shared" si="45"/>
        <v>0</v>
      </c>
      <c r="J462" s="142">
        <f>0</f>
        <v>0</v>
      </c>
      <c r="K462" s="142">
        <f t="shared" si="46"/>
        <v>0</v>
      </c>
      <c r="L462" s="142">
        <f t="shared" si="47"/>
        <v>0</v>
      </c>
      <c r="Q462" s="155"/>
      <c r="R462" s="142"/>
      <c r="S462" s="142"/>
      <c r="T462" s="142"/>
      <c r="U462" s="142"/>
    </row>
    <row r="463" spans="5:21" x14ac:dyDescent="0.35">
      <c r="E463" s="135">
        <v>451</v>
      </c>
      <c r="F463" s="135">
        <v>0</v>
      </c>
      <c r="G463" s="141">
        <f t="shared" si="43"/>
        <v>0</v>
      </c>
      <c r="H463" s="155">
        <f t="shared" si="44"/>
        <v>0</v>
      </c>
      <c r="I463" s="142">
        <f t="shared" si="45"/>
        <v>0</v>
      </c>
      <c r="J463" s="142">
        <f>0</f>
        <v>0</v>
      </c>
      <c r="K463" s="142">
        <f t="shared" si="46"/>
        <v>0</v>
      </c>
      <c r="L463" s="142">
        <f t="shared" si="47"/>
        <v>0</v>
      </c>
      <c r="Q463" s="155"/>
      <c r="R463" s="142"/>
      <c r="S463" s="142"/>
      <c r="T463" s="142"/>
      <c r="U463" s="142"/>
    </row>
    <row r="464" spans="5:21" x14ac:dyDescent="0.35">
      <c r="E464" s="135">
        <v>452</v>
      </c>
      <c r="F464" s="135">
        <v>0</v>
      </c>
      <c r="G464" s="141">
        <f t="shared" si="43"/>
        <v>0</v>
      </c>
      <c r="H464" s="155">
        <f t="shared" si="44"/>
        <v>0</v>
      </c>
      <c r="I464" s="142">
        <f t="shared" si="45"/>
        <v>0</v>
      </c>
      <c r="J464" s="142">
        <f>0</f>
        <v>0</v>
      </c>
      <c r="K464" s="142">
        <f t="shared" si="46"/>
        <v>0</v>
      </c>
      <c r="L464" s="142">
        <f t="shared" si="47"/>
        <v>0</v>
      </c>
      <c r="Q464" s="155"/>
      <c r="R464" s="142"/>
      <c r="S464" s="142"/>
      <c r="T464" s="142"/>
      <c r="U464" s="142"/>
    </row>
    <row r="465" spans="5:21" x14ac:dyDescent="0.35">
      <c r="E465" s="135">
        <v>453</v>
      </c>
      <c r="F465" s="135">
        <v>0</v>
      </c>
      <c r="G465" s="141">
        <f t="shared" si="43"/>
        <v>0</v>
      </c>
      <c r="H465" s="155">
        <f t="shared" si="44"/>
        <v>0</v>
      </c>
      <c r="I465" s="142">
        <f t="shared" si="45"/>
        <v>0</v>
      </c>
      <c r="J465" s="142">
        <f>0</f>
        <v>0</v>
      </c>
      <c r="K465" s="142">
        <f t="shared" si="46"/>
        <v>0</v>
      </c>
      <c r="L465" s="142">
        <f t="shared" si="47"/>
        <v>0</v>
      </c>
      <c r="Q465" s="155"/>
      <c r="R465" s="142"/>
      <c r="S465" s="142"/>
      <c r="T465" s="142"/>
      <c r="U465" s="142"/>
    </row>
    <row r="466" spans="5:21" x14ac:dyDescent="0.35">
      <c r="E466" s="135">
        <v>454</v>
      </c>
      <c r="F466" s="135">
        <v>1</v>
      </c>
      <c r="G466" s="141">
        <f t="shared" si="43"/>
        <v>23.813582244547764</v>
      </c>
      <c r="H466" s="155">
        <f t="shared" si="44"/>
        <v>0</v>
      </c>
      <c r="I466" s="142">
        <f t="shared" si="45"/>
        <v>0</v>
      </c>
      <c r="J466" s="142">
        <f>0</f>
        <v>0</v>
      </c>
      <c r="K466" s="142">
        <f t="shared" si="46"/>
        <v>136632.93323927111</v>
      </c>
      <c r="L466" s="142">
        <f t="shared" si="47"/>
        <v>136632.93323927111</v>
      </c>
      <c r="Q466" s="155"/>
      <c r="R466" s="142"/>
      <c r="S466" s="142"/>
      <c r="T466" s="142"/>
      <c r="U466" s="142"/>
    </row>
    <row r="467" spans="5:21" x14ac:dyDescent="0.35">
      <c r="E467" s="135">
        <v>455</v>
      </c>
      <c r="F467" s="135">
        <v>0</v>
      </c>
      <c r="G467" s="141">
        <f t="shared" si="43"/>
        <v>0</v>
      </c>
      <c r="H467" s="155">
        <f t="shared" si="44"/>
        <v>0</v>
      </c>
      <c r="I467" s="142">
        <f t="shared" si="45"/>
        <v>0</v>
      </c>
      <c r="J467" s="142">
        <f>0</f>
        <v>0</v>
      </c>
      <c r="K467" s="142">
        <f t="shared" si="46"/>
        <v>0</v>
      </c>
      <c r="L467" s="142">
        <f t="shared" si="47"/>
        <v>0</v>
      </c>
      <c r="Q467" s="155"/>
      <c r="R467" s="142"/>
      <c r="S467" s="142"/>
      <c r="T467" s="142"/>
      <c r="U467" s="142"/>
    </row>
    <row r="468" spans="5:21" x14ac:dyDescent="0.35">
      <c r="E468" s="135">
        <v>456</v>
      </c>
      <c r="F468" s="135">
        <v>0</v>
      </c>
      <c r="G468" s="141">
        <f t="shared" si="43"/>
        <v>0</v>
      </c>
      <c r="H468" s="155">
        <f t="shared" si="44"/>
        <v>0</v>
      </c>
      <c r="I468" s="142">
        <f t="shared" si="45"/>
        <v>0</v>
      </c>
      <c r="J468" s="142">
        <f>0</f>
        <v>0</v>
      </c>
      <c r="K468" s="142">
        <f t="shared" si="46"/>
        <v>0</v>
      </c>
      <c r="L468" s="142">
        <f t="shared" si="47"/>
        <v>0</v>
      </c>
      <c r="Q468" s="155"/>
      <c r="R468" s="142"/>
      <c r="S468" s="142"/>
      <c r="T468" s="142"/>
      <c r="U468" s="142"/>
    </row>
    <row r="469" spans="5:21" x14ac:dyDescent="0.35">
      <c r="E469" s="135">
        <v>457</v>
      </c>
      <c r="F469" s="135">
        <v>0</v>
      </c>
      <c r="G469" s="141">
        <f t="shared" si="43"/>
        <v>0</v>
      </c>
      <c r="H469" s="155">
        <f t="shared" si="44"/>
        <v>0</v>
      </c>
      <c r="I469" s="142">
        <f t="shared" si="45"/>
        <v>0</v>
      </c>
      <c r="J469" s="142">
        <f>0</f>
        <v>0</v>
      </c>
      <c r="K469" s="142">
        <f t="shared" si="46"/>
        <v>0</v>
      </c>
      <c r="L469" s="142">
        <f t="shared" si="47"/>
        <v>0</v>
      </c>
      <c r="Q469" s="155"/>
      <c r="R469" s="142"/>
      <c r="S469" s="142"/>
      <c r="T469" s="142"/>
      <c r="U469" s="142"/>
    </row>
    <row r="470" spans="5:21" x14ac:dyDescent="0.35">
      <c r="E470" s="135">
        <v>458</v>
      </c>
      <c r="F470" s="135">
        <v>1</v>
      </c>
      <c r="G470" s="141">
        <f t="shared" si="43"/>
        <v>23.813582244547764</v>
      </c>
      <c r="H470" s="155">
        <f t="shared" si="44"/>
        <v>0</v>
      </c>
      <c r="I470" s="142">
        <f t="shared" si="45"/>
        <v>0</v>
      </c>
      <c r="J470" s="142">
        <f>0</f>
        <v>0</v>
      </c>
      <c r="K470" s="142">
        <f t="shared" si="46"/>
        <v>136632.93323927111</v>
      </c>
      <c r="L470" s="142">
        <f t="shared" si="47"/>
        <v>136632.93323927111</v>
      </c>
      <c r="Q470" s="155"/>
      <c r="R470" s="142"/>
      <c r="S470" s="142"/>
      <c r="T470" s="142"/>
      <c r="U470" s="142"/>
    </row>
    <row r="471" spans="5:21" x14ac:dyDescent="0.35">
      <c r="E471" s="135">
        <v>459</v>
      </c>
      <c r="F471" s="135">
        <v>0</v>
      </c>
      <c r="G471" s="141">
        <f t="shared" si="43"/>
        <v>0</v>
      </c>
      <c r="H471" s="155">
        <f t="shared" si="44"/>
        <v>0</v>
      </c>
      <c r="I471" s="142">
        <f t="shared" si="45"/>
        <v>0</v>
      </c>
      <c r="J471" s="142">
        <f>0</f>
        <v>0</v>
      </c>
      <c r="K471" s="142">
        <f t="shared" si="46"/>
        <v>0</v>
      </c>
      <c r="L471" s="142">
        <f t="shared" si="47"/>
        <v>0</v>
      </c>
      <c r="Q471" s="155"/>
      <c r="R471" s="142"/>
      <c r="S471" s="142"/>
      <c r="T471" s="142"/>
      <c r="U471" s="142"/>
    </row>
    <row r="472" spans="5:21" x14ac:dyDescent="0.35">
      <c r="E472" s="135">
        <v>460</v>
      </c>
      <c r="F472" s="135">
        <v>0</v>
      </c>
      <c r="G472" s="141">
        <f t="shared" si="43"/>
        <v>0</v>
      </c>
      <c r="H472" s="155">
        <f t="shared" si="44"/>
        <v>0</v>
      </c>
      <c r="I472" s="142">
        <f t="shared" si="45"/>
        <v>0</v>
      </c>
      <c r="J472" s="142">
        <f>0</f>
        <v>0</v>
      </c>
      <c r="K472" s="142">
        <f t="shared" si="46"/>
        <v>0</v>
      </c>
      <c r="L472" s="142">
        <f t="shared" si="47"/>
        <v>0</v>
      </c>
      <c r="Q472" s="155"/>
      <c r="R472" s="142"/>
      <c r="S472" s="142"/>
      <c r="T472" s="142"/>
      <c r="U472" s="142"/>
    </row>
    <row r="473" spans="5:21" x14ac:dyDescent="0.35">
      <c r="E473" s="135">
        <v>461</v>
      </c>
      <c r="F473" s="135">
        <v>0</v>
      </c>
      <c r="G473" s="141">
        <f t="shared" si="43"/>
        <v>0</v>
      </c>
      <c r="H473" s="155">
        <f t="shared" si="44"/>
        <v>0</v>
      </c>
      <c r="I473" s="142">
        <f t="shared" si="45"/>
        <v>0</v>
      </c>
      <c r="J473" s="142">
        <f>0</f>
        <v>0</v>
      </c>
      <c r="K473" s="142">
        <f t="shared" si="46"/>
        <v>0</v>
      </c>
      <c r="L473" s="142">
        <f t="shared" si="47"/>
        <v>0</v>
      </c>
      <c r="Q473" s="155"/>
      <c r="R473" s="142"/>
      <c r="S473" s="142"/>
      <c r="T473" s="142"/>
      <c r="U473" s="142"/>
    </row>
    <row r="474" spans="5:21" x14ac:dyDescent="0.35">
      <c r="E474" s="135">
        <v>462</v>
      </c>
      <c r="F474" s="135">
        <v>0</v>
      </c>
      <c r="G474" s="141">
        <f t="shared" si="43"/>
        <v>0</v>
      </c>
      <c r="H474" s="155">
        <f t="shared" si="44"/>
        <v>0</v>
      </c>
      <c r="I474" s="142">
        <f t="shared" si="45"/>
        <v>0</v>
      </c>
      <c r="J474" s="142">
        <f>0</f>
        <v>0</v>
      </c>
      <c r="K474" s="142">
        <f t="shared" si="46"/>
        <v>0</v>
      </c>
      <c r="L474" s="142">
        <f t="shared" si="47"/>
        <v>0</v>
      </c>
      <c r="Q474" s="155"/>
      <c r="R474" s="142"/>
      <c r="S474" s="142"/>
      <c r="T474" s="142"/>
      <c r="U474" s="142"/>
    </row>
    <row r="475" spans="5:21" x14ac:dyDescent="0.35">
      <c r="E475" s="135">
        <v>463</v>
      </c>
      <c r="F475" s="135">
        <v>0</v>
      </c>
      <c r="G475" s="141">
        <f t="shared" si="43"/>
        <v>0</v>
      </c>
      <c r="H475" s="155">
        <f t="shared" si="44"/>
        <v>0</v>
      </c>
      <c r="I475" s="142">
        <f t="shared" si="45"/>
        <v>0</v>
      </c>
      <c r="J475" s="142">
        <f>0</f>
        <v>0</v>
      </c>
      <c r="K475" s="142">
        <f t="shared" si="46"/>
        <v>0</v>
      </c>
      <c r="L475" s="142">
        <f t="shared" si="47"/>
        <v>0</v>
      </c>
      <c r="Q475" s="155"/>
      <c r="R475" s="142"/>
      <c r="S475" s="142"/>
      <c r="T475" s="142"/>
      <c r="U475" s="142"/>
    </row>
    <row r="476" spans="5:21" x14ac:dyDescent="0.35">
      <c r="E476" s="135">
        <v>464</v>
      </c>
      <c r="F476" s="135">
        <v>0</v>
      </c>
      <c r="G476" s="141">
        <f t="shared" si="43"/>
        <v>0</v>
      </c>
      <c r="H476" s="155">
        <f t="shared" si="44"/>
        <v>0</v>
      </c>
      <c r="I476" s="142">
        <f t="shared" si="45"/>
        <v>0</v>
      </c>
      <c r="J476" s="142">
        <f>0</f>
        <v>0</v>
      </c>
      <c r="K476" s="142">
        <f t="shared" si="46"/>
        <v>0</v>
      </c>
      <c r="L476" s="142">
        <f t="shared" si="47"/>
        <v>0</v>
      </c>
      <c r="Q476" s="155"/>
      <c r="R476" s="142"/>
      <c r="S476" s="142"/>
      <c r="T476" s="142"/>
      <c r="U476" s="142"/>
    </row>
    <row r="477" spans="5:21" x14ac:dyDescent="0.35">
      <c r="E477" s="135">
        <v>465</v>
      </c>
      <c r="F477" s="135">
        <v>0</v>
      </c>
      <c r="G477" s="141">
        <f t="shared" si="43"/>
        <v>0</v>
      </c>
      <c r="H477" s="155">
        <f t="shared" si="44"/>
        <v>0</v>
      </c>
      <c r="I477" s="142">
        <f t="shared" si="45"/>
        <v>0</v>
      </c>
      <c r="J477" s="142">
        <f>0</f>
        <v>0</v>
      </c>
      <c r="K477" s="142">
        <f t="shared" si="46"/>
        <v>0</v>
      </c>
      <c r="L477" s="142">
        <f t="shared" si="47"/>
        <v>0</v>
      </c>
      <c r="Q477" s="155"/>
      <c r="R477" s="142"/>
      <c r="S477" s="142"/>
      <c r="T477" s="142"/>
      <c r="U477" s="142"/>
    </row>
    <row r="478" spans="5:21" x14ac:dyDescent="0.35">
      <c r="E478" s="135">
        <v>466</v>
      </c>
      <c r="F478" s="135">
        <v>0</v>
      </c>
      <c r="G478" s="141">
        <f t="shared" si="43"/>
        <v>0</v>
      </c>
      <c r="H478" s="155">
        <f t="shared" si="44"/>
        <v>0</v>
      </c>
      <c r="I478" s="142">
        <f t="shared" si="45"/>
        <v>0</v>
      </c>
      <c r="J478" s="142">
        <f>0</f>
        <v>0</v>
      </c>
      <c r="K478" s="142">
        <f t="shared" si="46"/>
        <v>0</v>
      </c>
      <c r="L478" s="142">
        <f t="shared" si="47"/>
        <v>0</v>
      </c>
      <c r="Q478" s="155"/>
      <c r="R478" s="142"/>
      <c r="S478" s="142"/>
      <c r="T478" s="142"/>
      <c r="U478" s="142"/>
    </row>
    <row r="479" spans="5:21" x14ac:dyDescent="0.35">
      <c r="E479" s="135">
        <v>467</v>
      </c>
      <c r="F479" s="135">
        <v>0</v>
      </c>
      <c r="G479" s="141">
        <f t="shared" si="43"/>
        <v>0</v>
      </c>
      <c r="H479" s="155">
        <f t="shared" si="44"/>
        <v>0</v>
      </c>
      <c r="I479" s="142">
        <f t="shared" si="45"/>
        <v>0</v>
      </c>
      <c r="J479" s="142">
        <f>0</f>
        <v>0</v>
      </c>
      <c r="K479" s="142">
        <f t="shared" si="46"/>
        <v>0</v>
      </c>
      <c r="L479" s="142">
        <f t="shared" si="47"/>
        <v>0</v>
      </c>
      <c r="Q479" s="155"/>
      <c r="R479" s="142"/>
      <c r="S479" s="142"/>
      <c r="T479" s="142"/>
      <c r="U479" s="142"/>
    </row>
    <row r="480" spans="5:21" x14ac:dyDescent="0.35">
      <c r="E480" s="135">
        <v>468</v>
      </c>
      <c r="F480" s="135">
        <v>1</v>
      </c>
      <c r="G480" s="141">
        <f t="shared" si="43"/>
        <v>23.813582244547764</v>
      </c>
      <c r="H480" s="155">
        <f t="shared" si="44"/>
        <v>0</v>
      </c>
      <c r="I480" s="142">
        <f t="shared" si="45"/>
        <v>0</v>
      </c>
      <c r="J480" s="142">
        <f>0</f>
        <v>0</v>
      </c>
      <c r="K480" s="142">
        <f t="shared" si="46"/>
        <v>136632.93323927111</v>
      </c>
      <c r="L480" s="142">
        <f t="shared" si="47"/>
        <v>136632.93323927111</v>
      </c>
      <c r="Q480" s="155"/>
      <c r="R480" s="142"/>
      <c r="S480" s="142"/>
      <c r="T480" s="142"/>
      <c r="U480" s="142"/>
    </row>
    <row r="481" spans="5:21" x14ac:dyDescent="0.35">
      <c r="E481" s="135">
        <v>469</v>
      </c>
      <c r="F481" s="135">
        <v>0</v>
      </c>
      <c r="G481" s="141">
        <f t="shared" si="43"/>
        <v>0</v>
      </c>
      <c r="H481" s="155">
        <f t="shared" si="44"/>
        <v>0</v>
      </c>
      <c r="I481" s="142">
        <f t="shared" si="45"/>
        <v>0</v>
      </c>
      <c r="J481" s="142">
        <f>0</f>
        <v>0</v>
      </c>
      <c r="K481" s="142">
        <f t="shared" si="46"/>
        <v>0</v>
      </c>
      <c r="L481" s="142">
        <f t="shared" si="47"/>
        <v>0</v>
      </c>
      <c r="Q481" s="155"/>
      <c r="R481" s="142"/>
      <c r="S481" s="142"/>
      <c r="T481" s="142"/>
      <c r="U481" s="142"/>
    </row>
    <row r="482" spans="5:21" x14ac:dyDescent="0.35">
      <c r="E482" s="135">
        <v>470</v>
      </c>
      <c r="F482" s="135">
        <v>0</v>
      </c>
      <c r="G482" s="141">
        <f t="shared" si="43"/>
        <v>0</v>
      </c>
      <c r="H482" s="155">
        <f t="shared" si="44"/>
        <v>0</v>
      </c>
      <c r="I482" s="142">
        <f t="shared" si="45"/>
        <v>0</v>
      </c>
      <c r="J482" s="142">
        <f>0</f>
        <v>0</v>
      </c>
      <c r="K482" s="142">
        <f t="shared" si="46"/>
        <v>0</v>
      </c>
      <c r="L482" s="142">
        <f t="shared" si="47"/>
        <v>0</v>
      </c>
      <c r="Q482" s="155"/>
      <c r="R482" s="142"/>
      <c r="S482" s="142"/>
      <c r="T482" s="142"/>
      <c r="U482" s="142"/>
    </row>
    <row r="483" spans="5:21" x14ac:dyDescent="0.35">
      <c r="E483" s="135">
        <v>471</v>
      </c>
      <c r="F483" s="135">
        <v>0</v>
      </c>
      <c r="G483" s="141">
        <f t="shared" si="43"/>
        <v>0</v>
      </c>
      <c r="H483" s="155">
        <f t="shared" si="44"/>
        <v>0</v>
      </c>
      <c r="I483" s="142">
        <f t="shared" si="45"/>
        <v>0</v>
      </c>
      <c r="J483" s="142">
        <f>0</f>
        <v>0</v>
      </c>
      <c r="K483" s="142">
        <f t="shared" si="46"/>
        <v>0</v>
      </c>
      <c r="L483" s="142">
        <f t="shared" si="47"/>
        <v>0</v>
      </c>
      <c r="Q483" s="155"/>
      <c r="R483" s="142"/>
      <c r="S483" s="142"/>
      <c r="T483" s="142"/>
      <c r="U483" s="142"/>
    </row>
    <row r="484" spans="5:21" x14ac:dyDescent="0.35">
      <c r="E484" s="135">
        <v>472</v>
      </c>
      <c r="F484" s="135">
        <v>0</v>
      </c>
      <c r="G484" s="141">
        <f t="shared" si="43"/>
        <v>0</v>
      </c>
      <c r="H484" s="155">
        <f t="shared" si="44"/>
        <v>0</v>
      </c>
      <c r="I484" s="142">
        <f t="shared" si="45"/>
        <v>0</v>
      </c>
      <c r="J484" s="142">
        <f>0</f>
        <v>0</v>
      </c>
      <c r="K484" s="142">
        <f t="shared" si="46"/>
        <v>0</v>
      </c>
      <c r="L484" s="142">
        <f t="shared" si="47"/>
        <v>0</v>
      </c>
      <c r="Q484" s="155"/>
      <c r="R484" s="142"/>
      <c r="S484" s="142"/>
      <c r="T484" s="142"/>
      <c r="U484" s="142"/>
    </row>
    <row r="485" spans="5:21" x14ac:dyDescent="0.35">
      <c r="E485" s="135">
        <v>473</v>
      </c>
      <c r="F485" s="135">
        <v>0</v>
      </c>
      <c r="G485" s="141">
        <f t="shared" si="43"/>
        <v>0</v>
      </c>
      <c r="H485" s="155">
        <f t="shared" si="44"/>
        <v>0</v>
      </c>
      <c r="I485" s="142">
        <f t="shared" si="45"/>
        <v>0</v>
      </c>
      <c r="J485" s="142">
        <f>0</f>
        <v>0</v>
      </c>
      <c r="K485" s="142">
        <f t="shared" si="46"/>
        <v>0</v>
      </c>
      <c r="L485" s="142">
        <f t="shared" si="47"/>
        <v>0</v>
      </c>
      <c r="Q485" s="155"/>
      <c r="R485" s="142"/>
      <c r="S485" s="142"/>
      <c r="T485" s="142"/>
      <c r="U485" s="142"/>
    </row>
    <row r="486" spans="5:21" x14ac:dyDescent="0.35">
      <c r="E486" s="135">
        <v>474</v>
      </c>
      <c r="F486" s="135">
        <v>0</v>
      </c>
      <c r="G486" s="141">
        <f t="shared" si="43"/>
        <v>0</v>
      </c>
      <c r="H486" s="155">
        <f t="shared" si="44"/>
        <v>0</v>
      </c>
      <c r="I486" s="142">
        <f t="shared" si="45"/>
        <v>0</v>
      </c>
      <c r="J486" s="142">
        <f>0</f>
        <v>0</v>
      </c>
      <c r="K486" s="142">
        <f t="shared" si="46"/>
        <v>0</v>
      </c>
      <c r="L486" s="142">
        <f t="shared" si="47"/>
        <v>0</v>
      </c>
      <c r="Q486" s="155"/>
      <c r="R486" s="142"/>
      <c r="S486" s="142"/>
      <c r="T486" s="142"/>
      <c r="U486" s="142"/>
    </row>
    <row r="487" spans="5:21" x14ac:dyDescent="0.35">
      <c r="E487" s="135">
        <v>475</v>
      </c>
      <c r="F487" s="135">
        <v>0</v>
      </c>
      <c r="G487" s="141">
        <f t="shared" si="43"/>
        <v>0</v>
      </c>
      <c r="H487" s="155">
        <f t="shared" si="44"/>
        <v>0</v>
      </c>
      <c r="I487" s="142">
        <f t="shared" si="45"/>
        <v>0</v>
      </c>
      <c r="J487" s="142">
        <f>0</f>
        <v>0</v>
      </c>
      <c r="K487" s="142">
        <f t="shared" si="46"/>
        <v>0</v>
      </c>
      <c r="L487" s="142">
        <f t="shared" si="47"/>
        <v>0</v>
      </c>
      <c r="Q487" s="155"/>
      <c r="R487" s="142"/>
      <c r="S487" s="142"/>
      <c r="T487" s="142"/>
      <c r="U487" s="142"/>
    </row>
    <row r="488" spans="5:21" x14ac:dyDescent="0.35">
      <c r="E488" s="135">
        <v>476</v>
      </c>
      <c r="F488" s="135">
        <v>0</v>
      </c>
      <c r="G488" s="141">
        <f t="shared" si="43"/>
        <v>0</v>
      </c>
      <c r="H488" s="155">
        <f t="shared" si="44"/>
        <v>0</v>
      </c>
      <c r="I488" s="142">
        <f t="shared" si="45"/>
        <v>0</v>
      </c>
      <c r="J488" s="142">
        <f>0</f>
        <v>0</v>
      </c>
      <c r="K488" s="142">
        <f t="shared" si="46"/>
        <v>0</v>
      </c>
      <c r="L488" s="142">
        <f t="shared" si="47"/>
        <v>0</v>
      </c>
      <c r="Q488" s="155"/>
      <c r="R488" s="142"/>
      <c r="S488" s="142"/>
      <c r="T488" s="142"/>
      <c r="U488" s="142"/>
    </row>
    <row r="489" spans="5:21" x14ac:dyDescent="0.35">
      <c r="E489" s="135">
        <v>477</v>
      </c>
      <c r="F489" s="135">
        <v>1</v>
      </c>
      <c r="G489" s="141">
        <f t="shared" si="43"/>
        <v>23.813582244547764</v>
      </c>
      <c r="H489" s="155">
        <f t="shared" si="44"/>
        <v>0</v>
      </c>
      <c r="I489" s="142">
        <f t="shared" si="45"/>
        <v>0</v>
      </c>
      <c r="J489" s="142">
        <f>0</f>
        <v>0</v>
      </c>
      <c r="K489" s="142">
        <f t="shared" si="46"/>
        <v>136632.93323927111</v>
      </c>
      <c r="L489" s="142">
        <f t="shared" si="47"/>
        <v>136632.93323927111</v>
      </c>
      <c r="Q489" s="155"/>
      <c r="R489" s="142"/>
      <c r="S489" s="142"/>
      <c r="T489" s="142"/>
      <c r="U489" s="142"/>
    </row>
    <row r="490" spans="5:21" x14ac:dyDescent="0.35">
      <c r="E490" s="135">
        <v>478</v>
      </c>
      <c r="F490" s="135">
        <v>0</v>
      </c>
      <c r="G490" s="141">
        <f t="shared" si="43"/>
        <v>0</v>
      </c>
      <c r="H490" s="155">
        <f t="shared" si="44"/>
        <v>0</v>
      </c>
      <c r="I490" s="142">
        <f t="shared" si="45"/>
        <v>0</v>
      </c>
      <c r="J490" s="142">
        <f>0</f>
        <v>0</v>
      </c>
      <c r="K490" s="142">
        <f t="shared" si="46"/>
        <v>0</v>
      </c>
      <c r="L490" s="142">
        <f t="shared" si="47"/>
        <v>0</v>
      </c>
      <c r="Q490" s="155"/>
      <c r="R490" s="142"/>
      <c r="S490" s="142"/>
      <c r="T490" s="142"/>
      <c r="U490" s="142"/>
    </row>
    <row r="491" spans="5:21" x14ac:dyDescent="0.35">
      <c r="E491" s="135">
        <v>479</v>
      </c>
      <c r="F491" s="135">
        <v>0</v>
      </c>
      <c r="G491" s="141">
        <f t="shared" si="43"/>
        <v>0</v>
      </c>
      <c r="H491" s="155">
        <f t="shared" si="44"/>
        <v>0</v>
      </c>
      <c r="I491" s="142">
        <f t="shared" si="45"/>
        <v>0</v>
      </c>
      <c r="J491" s="142">
        <f>0</f>
        <v>0</v>
      </c>
      <c r="K491" s="142">
        <f t="shared" si="46"/>
        <v>0</v>
      </c>
      <c r="L491" s="142">
        <f t="shared" si="47"/>
        <v>0</v>
      </c>
      <c r="Q491" s="155"/>
      <c r="R491" s="142"/>
      <c r="S491" s="142"/>
      <c r="T491" s="142"/>
      <c r="U491" s="142"/>
    </row>
    <row r="492" spans="5:21" x14ac:dyDescent="0.35">
      <c r="E492" s="135">
        <v>480</v>
      </c>
      <c r="F492" s="135">
        <v>0</v>
      </c>
      <c r="G492" s="141">
        <f t="shared" si="43"/>
        <v>0</v>
      </c>
      <c r="H492" s="155">
        <f t="shared" si="44"/>
        <v>0</v>
      </c>
      <c r="I492" s="142">
        <f t="shared" si="45"/>
        <v>0</v>
      </c>
      <c r="J492" s="142">
        <f>0</f>
        <v>0</v>
      </c>
      <c r="K492" s="142">
        <f t="shared" si="46"/>
        <v>0</v>
      </c>
      <c r="L492" s="142">
        <f t="shared" si="47"/>
        <v>0</v>
      </c>
      <c r="Q492" s="155"/>
      <c r="R492" s="142"/>
      <c r="S492" s="142"/>
      <c r="T492" s="142"/>
      <c r="U492" s="142"/>
    </row>
    <row r="493" spans="5:21" x14ac:dyDescent="0.35">
      <c r="E493" s="135">
        <v>481</v>
      </c>
      <c r="F493" s="135">
        <v>1</v>
      </c>
      <c r="G493" s="141">
        <f t="shared" si="43"/>
        <v>23.813582244547764</v>
      </c>
      <c r="H493" s="155">
        <f t="shared" si="44"/>
        <v>0</v>
      </c>
      <c r="I493" s="142">
        <f t="shared" si="45"/>
        <v>0</v>
      </c>
      <c r="J493" s="142">
        <f>0</f>
        <v>0</v>
      </c>
      <c r="K493" s="142">
        <f t="shared" si="46"/>
        <v>136632.93323927111</v>
      </c>
      <c r="L493" s="142">
        <f t="shared" si="47"/>
        <v>136632.93323927111</v>
      </c>
      <c r="Q493" s="155"/>
      <c r="R493" s="142"/>
      <c r="S493" s="142"/>
      <c r="T493" s="142"/>
      <c r="U493" s="142"/>
    </row>
    <row r="494" spans="5:21" x14ac:dyDescent="0.35">
      <c r="E494" s="135">
        <v>482</v>
      </c>
      <c r="F494" s="135">
        <v>0</v>
      </c>
      <c r="G494" s="141">
        <f t="shared" si="43"/>
        <v>0</v>
      </c>
      <c r="H494" s="155">
        <f t="shared" si="44"/>
        <v>0</v>
      </c>
      <c r="I494" s="142">
        <f t="shared" si="45"/>
        <v>0</v>
      </c>
      <c r="J494" s="142">
        <f>0</f>
        <v>0</v>
      </c>
      <c r="K494" s="142">
        <f t="shared" si="46"/>
        <v>0</v>
      </c>
      <c r="L494" s="142">
        <f t="shared" si="47"/>
        <v>0</v>
      </c>
      <c r="Q494" s="155"/>
      <c r="R494" s="142"/>
      <c r="S494" s="142"/>
      <c r="T494" s="142"/>
      <c r="U494" s="142"/>
    </row>
    <row r="495" spans="5:21" x14ac:dyDescent="0.35">
      <c r="E495" s="135">
        <v>483</v>
      </c>
      <c r="F495" s="135">
        <v>0</v>
      </c>
      <c r="G495" s="141">
        <f t="shared" si="43"/>
        <v>0</v>
      </c>
      <c r="H495" s="155">
        <f t="shared" si="44"/>
        <v>0</v>
      </c>
      <c r="I495" s="142">
        <f t="shared" si="45"/>
        <v>0</v>
      </c>
      <c r="J495" s="142">
        <f>0</f>
        <v>0</v>
      </c>
      <c r="K495" s="142">
        <f t="shared" si="46"/>
        <v>0</v>
      </c>
      <c r="L495" s="142">
        <f t="shared" si="47"/>
        <v>0</v>
      </c>
      <c r="Q495" s="155"/>
      <c r="R495" s="142"/>
      <c r="S495" s="142"/>
      <c r="T495" s="142"/>
      <c r="U495" s="142"/>
    </row>
    <row r="496" spans="5:21" x14ac:dyDescent="0.35">
      <c r="E496" s="135">
        <v>484</v>
      </c>
      <c r="F496" s="135">
        <v>0</v>
      </c>
      <c r="G496" s="141">
        <f t="shared" si="43"/>
        <v>0</v>
      </c>
      <c r="H496" s="155">
        <f t="shared" si="44"/>
        <v>0</v>
      </c>
      <c r="I496" s="142">
        <f t="shared" si="45"/>
        <v>0</v>
      </c>
      <c r="J496" s="142">
        <f>0</f>
        <v>0</v>
      </c>
      <c r="K496" s="142">
        <f t="shared" si="46"/>
        <v>0</v>
      </c>
      <c r="L496" s="142">
        <f t="shared" si="47"/>
        <v>0</v>
      </c>
      <c r="Q496" s="155"/>
      <c r="R496" s="142"/>
      <c r="S496" s="142"/>
      <c r="T496" s="142"/>
      <c r="U496" s="142"/>
    </row>
    <row r="497" spans="5:21" x14ac:dyDescent="0.35">
      <c r="E497" s="135">
        <v>485</v>
      </c>
      <c r="F497" s="135">
        <v>0</v>
      </c>
      <c r="G497" s="141">
        <f t="shared" si="43"/>
        <v>0</v>
      </c>
      <c r="H497" s="155">
        <f t="shared" si="44"/>
        <v>0</v>
      </c>
      <c r="I497" s="142">
        <f t="shared" si="45"/>
        <v>0</v>
      </c>
      <c r="J497" s="142">
        <f>0</f>
        <v>0</v>
      </c>
      <c r="K497" s="142">
        <f t="shared" si="46"/>
        <v>0</v>
      </c>
      <c r="L497" s="142">
        <f t="shared" si="47"/>
        <v>0</v>
      </c>
      <c r="Q497" s="155"/>
      <c r="R497" s="142"/>
      <c r="S497" s="142"/>
      <c r="T497" s="142"/>
      <c r="U497" s="142"/>
    </row>
    <row r="498" spans="5:21" x14ac:dyDescent="0.35">
      <c r="E498" s="135">
        <v>486</v>
      </c>
      <c r="F498" s="135">
        <v>0</v>
      </c>
      <c r="G498" s="141">
        <f t="shared" si="43"/>
        <v>0</v>
      </c>
      <c r="H498" s="155">
        <f t="shared" si="44"/>
        <v>0</v>
      </c>
      <c r="I498" s="142">
        <f t="shared" si="45"/>
        <v>0</v>
      </c>
      <c r="J498" s="142">
        <f>0</f>
        <v>0</v>
      </c>
      <c r="K498" s="142">
        <f t="shared" si="46"/>
        <v>0</v>
      </c>
      <c r="L498" s="142">
        <f t="shared" si="47"/>
        <v>0</v>
      </c>
      <c r="Q498" s="155"/>
      <c r="R498" s="142"/>
      <c r="S498" s="142"/>
      <c r="T498" s="142"/>
      <c r="U498" s="142"/>
    </row>
    <row r="499" spans="5:21" x14ac:dyDescent="0.35">
      <c r="E499" s="135">
        <v>487</v>
      </c>
      <c r="F499" s="135">
        <v>0</v>
      </c>
      <c r="G499" s="141">
        <f t="shared" si="43"/>
        <v>0</v>
      </c>
      <c r="H499" s="155">
        <f t="shared" si="44"/>
        <v>0</v>
      </c>
      <c r="I499" s="142">
        <f t="shared" si="45"/>
        <v>0</v>
      </c>
      <c r="J499" s="142">
        <f>0</f>
        <v>0</v>
      </c>
      <c r="K499" s="142">
        <f t="shared" si="46"/>
        <v>0</v>
      </c>
      <c r="L499" s="142">
        <f t="shared" si="47"/>
        <v>0</v>
      </c>
      <c r="Q499" s="155"/>
      <c r="R499" s="142"/>
      <c r="S499" s="142"/>
      <c r="T499" s="142"/>
      <c r="U499" s="142"/>
    </row>
    <row r="500" spans="5:21" x14ac:dyDescent="0.35">
      <c r="E500" s="135">
        <v>488</v>
      </c>
      <c r="F500" s="135">
        <v>1</v>
      </c>
      <c r="G500" s="141">
        <f t="shared" si="43"/>
        <v>23.813582244547764</v>
      </c>
      <c r="H500" s="155">
        <f t="shared" si="44"/>
        <v>0</v>
      </c>
      <c r="I500" s="142">
        <f t="shared" si="45"/>
        <v>0</v>
      </c>
      <c r="J500" s="142">
        <f>0</f>
        <v>0</v>
      </c>
      <c r="K500" s="142">
        <f t="shared" si="46"/>
        <v>136632.93323927111</v>
      </c>
      <c r="L500" s="142">
        <f t="shared" si="47"/>
        <v>136632.93323927111</v>
      </c>
      <c r="Q500" s="155"/>
      <c r="R500" s="142"/>
      <c r="S500" s="142"/>
      <c r="T500" s="142"/>
      <c r="U500" s="142"/>
    </row>
    <row r="501" spans="5:21" x14ac:dyDescent="0.35">
      <c r="E501" s="135">
        <v>489</v>
      </c>
      <c r="F501" s="135">
        <v>0</v>
      </c>
      <c r="G501" s="141">
        <f t="shared" si="43"/>
        <v>0</v>
      </c>
      <c r="H501" s="155">
        <f t="shared" si="44"/>
        <v>0</v>
      </c>
      <c r="I501" s="142">
        <f t="shared" si="45"/>
        <v>0</v>
      </c>
      <c r="J501" s="142">
        <f>0</f>
        <v>0</v>
      </c>
      <c r="K501" s="142">
        <f t="shared" si="46"/>
        <v>0</v>
      </c>
      <c r="L501" s="142">
        <f t="shared" si="47"/>
        <v>0</v>
      </c>
      <c r="Q501" s="155"/>
      <c r="R501" s="142"/>
      <c r="S501" s="142"/>
      <c r="T501" s="142"/>
      <c r="U501" s="142"/>
    </row>
    <row r="502" spans="5:21" x14ac:dyDescent="0.35">
      <c r="E502" s="135">
        <v>490</v>
      </c>
      <c r="F502" s="135">
        <v>0</v>
      </c>
      <c r="G502" s="141">
        <f t="shared" si="43"/>
        <v>0</v>
      </c>
      <c r="H502" s="155">
        <f t="shared" si="44"/>
        <v>0</v>
      </c>
      <c r="I502" s="142">
        <f t="shared" si="45"/>
        <v>0</v>
      </c>
      <c r="J502" s="142">
        <f>0</f>
        <v>0</v>
      </c>
      <c r="K502" s="142">
        <f t="shared" si="46"/>
        <v>0</v>
      </c>
      <c r="L502" s="142">
        <f t="shared" si="47"/>
        <v>0</v>
      </c>
      <c r="Q502" s="155"/>
      <c r="R502" s="142"/>
      <c r="S502" s="142"/>
      <c r="T502" s="142"/>
      <c r="U502" s="142"/>
    </row>
    <row r="503" spans="5:21" x14ac:dyDescent="0.35">
      <c r="E503" s="135">
        <v>491</v>
      </c>
      <c r="F503" s="135">
        <v>0</v>
      </c>
      <c r="G503" s="141">
        <f t="shared" si="43"/>
        <v>0</v>
      </c>
      <c r="H503" s="155">
        <f t="shared" si="44"/>
        <v>0</v>
      </c>
      <c r="I503" s="142">
        <f t="shared" si="45"/>
        <v>0</v>
      </c>
      <c r="J503" s="142">
        <f>0</f>
        <v>0</v>
      </c>
      <c r="K503" s="142">
        <f t="shared" si="46"/>
        <v>0</v>
      </c>
      <c r="L503" s="142">
        <f t="shared" si="47"/>
        <v>0</v>
      </c>
      <c r="Q503" s="155"/>
      <c r="R503" s="142"/>
      <c r="S503" s="142"/>
      <c r="T503" s="142"/>
      <c r="U503" s="142"/>
    </row>
    <row r="504" spans="5:21" x14ac:dyDescent="0.35">
      <c r="E504" s="135">
        <v>492</v>
      </c>
      <c r="F504" s="135">
        <v>0</v>
      </c>
      <c r="G504" s="141">
        <f t="shared" si="43"/>
        <v>0</v>
      </c>
      <c r="H504" s="155">
        <f t="shared" si="44"/>
        <v>0</v>
      </c>
      <c r="I504" s="142">
        <f t="shared" si="45"/>
        <v>0</v>
      </c>
      <c r="J504" s="142">
        <f>0</f>
        <v>0</v>
      </c>
      <c r="K504" s="142">
        <f t="shared" si="46"/>
        <v>0</v>
      </c>
      <c r="L504" s="142">
        <f t="shared" si="47"/>
        <v>0</v>
      </c>
      <c r="Q504" s="155"/>
      <c r="R504" s="142"/>
      <c r="S504" s="142"/>
      <c r="T504" s="142"/>
      <c r="U504" s="142"/>
    </row>
    <row r="505" spans="5:21" x14ac:dyDescent="0.35">
      <c r="E505" s="135">
        <v>493</v>
      </c>
      <c r="F505" s="135">
        <v>0</v>
      </c>
      <c r="G505" s="141">
        <f t="shared" si="43"/>
        <v>0</v>
      </c>
      <c r="H505" s="155">
        <f t="shared" si="44"/>
        <v>0</v>
      </c>
      <c r="I505" s="142">
        <f t="shared" si="45"/>
        <v>0</v>
      </c>
      <c r="J505" s="142">
        <f>0</f>
        <v>0</v>
      </c>
      <c r="K505" s="142">
        <f t="shared" si="46"/>
        <v>0</v>
      </c>
      <c r="L505" s="142">
        <f t="shared" si="47"/>
        <v>0</v>
      </c>
      <c r="Q505" s="155"/>
      <c r="R505" s="142"/>
      <c r="S505" s="142"/>
      <c r="T505" s="142"/>
      <c r="U505" s="142"/>
    </row>
    <row r="506" spans="5:21" x14ac:dyDescent="0.35">
      <c r="E506" s="135">
        <v>494</v>
      </c>
      <c r="F506" s="135">
        <v>0</v>
      </c>
      <c r="G506" s="141">
        <f t="shared" si="43"/>
        <v>0</v>
      </c>
      <c r="H506" s="155">
        <f t="shared" si="44"/>
        <v>0</v>
      </c>
      <c r="I506" s="142">
        <f t="shared" si="45"/>
        <v>0</v>
      </c>
      <c r="J506" s="142">
        <f>0</f>
        <v>0</v>
      </c>
      <c r="K506" s="142">
        <f t="shared" si="46"/>
        <v>0</v>
      </c>
      <c r="L506" s="142">
        <f t="shared" si="47"/>
        <v>0</v>
      </c>
      <c r="Q506" s="155"/>
      <c r="R506" s="142"/>
      <c r="S506" s="142"/>
      <c r="T506" s="142"/>
      <c r="U506" s="142"/>
    </row>
    <row r="507" spans="5:21" x14ac:dyDescent="0.35">
      <c r="E507" s="135">
        <v>495</v>
      </c>
      <c r="F507" s="135">
        <v>1</v>
      </c>
      <c r="G507" s="141">
        <f t="shared" si="43"/>
        <v>23.813582244547764</v>
      </c>
      <c r="H507" s="155">
        <f t="shared" si="44"/>
        <v>0</v>
      </c>
      <c r="I507" s="142">
        <f t="shared" si="45"/>
        <v>0</v>
      </c>
      <c r="J507" s="142">
        <f>0</f>
        <v>0</v>
      </c>
      <c r="K507" s="142">
        <f t="shared" si="46"/>
        <v>136632.93323927111</v>
      </c>
      <c r="L507" s="142">
        <f t="shared" si="47"/>
        <v>136632.93323927111</v>
      </c>
      <c r="Q507" s="155"/>
      <c r="R507" s="142"/>
      <c r="S507" s="142"/>
      <c r="T507" s="142"/>
      <c r="U507" s="142"/>
    </row>
    <row r="508" spans="5:21" x14ac:dyDescent="0.35">
      <c r="E508" s="135">
        <v>496</v>
      </c>
      <c r="F508" s="135">
        <v>0</v>
      </c>
      <c r="G508" s="141">
        <f t="shared" si="43"/>
        <v>0</v>
      </c>
      <c r="H508" s="155">
        <f t="shared" si="44"/>
        <v>0</v>
      </c>
      <c r="I508" s="142">
        <f t="shared" si="45"/>
        <v>0</v>
      </c>
      <c r="J508" s="142">
        <f>0</f>
        <v>0</v>
      </c>
      <c r="K508" s="142">
        <f t="shared" si="46"/>
        <v>0</v>
      </c>
      <c r="L508" s="142">
        <f t="shared" si="47"/>
        <v>0</v>
      </c>
      <c r="Q508" s="155"/>
      <c r="R508" s="142"/>
      <c r="S508" s="142"/>
      <c r="T508" s="142"/>
      <c r="U508" s="142"/>
    </row>
    <row r="509" spans="5:21" x14ac:dyDescent="0.35">
      <c r="E509" s="135">
        <v>497</v>
      </c>
      <c r="F509" s="135">
        <v>2</v>
      </c>
      <c r="G509" s="141">
        <f t="shared" si="43"/>
        <v>47.627164489095527</v>
      </c>
      <c r="H509" s="155">
        <f t="shared" si="44"/>
        <v>200</v>
      </c>
      <c r="I509" s="142">
        <f t="shared" si="45"/>
        <v>14500000</v>
      </c>
      <c r="J509" s="142">
        <f>0</f>
        <v>0</v>
      </c>
      <c r="K509" s="142">
        <f t="shared" si="46"/>
        <v>273265.86647854222</v>
      </c>
      <c r="L509" s="142">
        <f t="shared" si="47"/>
        <v>14773265.866478542</v>
      </c>
      <c r="Q509" s="155"/>
      <c r="R509" s="142"/>
      <c r="S509" s="142"/>
      <c r="T509" s="142"/>
      <c r="U509" s="142"/>
    </row>
    <row r="510" spans="5:21" x14ac:dyDescent="0.35">
      <c r="E510" s="135">
        <v>498</v>
      </c>
      <c r="F510" s="135">
        <v>0</v>
      </c>
      <c r="G510" s="141">
        <f t="shared" si="43"/>
        <v>0</v>
      </c>
      <c r="H510" s="155">
        <f t="shared" si="44"/>
        <v>0</v>
      </c>
      <c r="I510" s="142">
        <f t="shared" si="45"/>
        <v>0</v>
      </c>
      <c r="J510" s="142">
        <f>0</f>
        <v>0</v>
      </c>
      <c r="K510" s="142">
        <f t="shared" si="46"/>
        <v>0</v>
      </c>
      <c r="L510" s="142">
        <f t="shared" si="47"/>
        <v>0</v>
      </c>
      <c r="Q510" s="155"/>
      <c r="R510" s="142"/>
      <c r="S510" s="142"/>
      <c r="T510" s="142"/>
      <c r="U510" s="142"/>
    </row>
    <row r="511" spans="5:21" x14ac:dyDescent="0.35">
      <c r="E511" s="135">
        <v>499</v>
      </c>
      <c r="F511" s="135">
        <v>0</v>
      </c>
      <c r="G511" s="141">
        <f t="shared" si="43"/>
        <v>0</v>
      </c>
      <c r="H511" s="155">
        <f t="shared" si="44"/>
        <v>0</v>
      </c>
      <c r="I511" s="142">
        <f t="shared" si="45"/>
        <v>0</v>
      </c>
      <c r="J511" s="142">
        <f>0</f>
        <v>0</v>
      </c>
      <c r="K511" s="142">
        <f t="shared" si="46"/>
        <v>0</v>
      </c>
      <c r="L511" s="142">
        <f t="shared" si="47"/>
        <v>0</v>
      </c>
      <c r="Q511" s="155"/>
      <c r="R511" s="142"/>
      <c r="S511" s="142"/>
      <c r="T511" s="142"/>
      <c r="U511" s="142"/>
    </row>
    <row r="512" spans="5:21" x14ac:dyDescent="0.35">
      <c r="E512" s="135">
        <v>500</v>
      </c>
      <c r="F512" s="135">
        <v>0</v>
      </c>
      <c r="G512" s="141">
        <f t="shared" si="43"/>
        <v>0</v>
      </c>
      <c r="H512" s="155">
        <f t="shared" si="44"/>
        <v>0</v>
      </c>
      <c r="I512" s="142">
        <f t="shared" si="45"/>
        <v>0</v>
      </c>
      <c r="J512" s="142">
        <f>0</f>
        <v>0</v>
      </c>
      <c r="K512" s="142">
        <f t="shared" si="46"/>
        <v>0</v>
      </c>
      <c r="L512" s="142">
        <f t="shared" si="47"/>
        <v>0</v>
      </c>
      <c r="Q512" s="155"/>
      <c r="R512" s="142"/>
      <c r="S512" s="142"/>
      <c r="T512" s="142"/>
      <c r="U512" s="142"/>
    </row>
    <row r="513" spans="5:21" x14ac:dyDescent="0.35">
      <c r="E513" s="135">
        <v>501</v>
      </c>
      <c r="F513" s="135">
        <v>3</v>
      </c>
      <c r="G513" s="141">
        <f t="shared" si="43"/>
        <v>71.440746733643294</v>
      </c>
      <c r="H513" s="155">
        <f t="shared" si="44"/>
        <v>200</v>
      </c>
      <c r="I513" s="142">
        <f t="shared" si="45"/>
        <v>14500000</v>
      </c>
      <c r="J513" s="142">
        <f>0</f>
        <v>0</v>
      </c>
      <c r="K513" s="142">
        <f t="shared" si="46"/>
        <v>409898.79971781332</v>
      </c>
      <c r="L513" s="142">
        <f t="shared" si="47"/>
        <v>14909898.799717814</v>
      </c>
      <c r="Q513" s="155"/>
      <c r="R513" s="142"/>
      <c r="S513" s="142"/>
      <c r="T513" s="142"/>
      <c r="U513" s="142"/>
    </row>
    <row r="514" spans="5:21" x14ac:dyDescent="0.35">
      <c r="E514" s="135">
        <v>502</v>
      </c>
      <c r="F514" s="135">
        <v>1</v>
      </c>
      <c r="G514" s="141">
        <f t="shared" si="43"/>
        <v>23.813582244547764</v>
      </c>
      <c r="H514" s="155">
        <f t="shared" si="44"/>
        <v>0</v>
      </c>
      <c r="I514" s="142">
        <f t="shared" si="45"/>
        <v>0</v>
      </c>
      <c r="J514" s="142">
        <f>0</f>
        <v>0</v>
      </c>
      <c r="K514" s="142">
        <f t="shared" si="46"/>
        <v>136632.93323927111</v>
      </c>
      <c r="L514" s="142">
        <f t="shared" si="47"/>
        <v>136632.93323927111</v>
      </c>
      <c r="Q514" s="155"/>
      <c r="R514" s="142"/>
      <c r="S514" s="142"/>
      <c r="T514" s="142"/>
      <c r="U514" s="142"/>
    </row>
    <row r="515" spans="5:21" x14ac:dyDescent="0.35">
      <c r="E515" s="135">
        <v>503</v>
      </c>
      <c r="F515" s="135">
        <v>0</v>
      </c>
      <c r="G515" s="141">
        <f t="shared" si="43"/>
        <v>0</v>
      </c>
      <c r="H515" s="155">
        <f t="shared" si="44"/>
        <v>0</v>
      </c>
      <c r="I515" s="142">
        <f t="shared" si="45"/>
        <v>0</v>
      </c>
      <c r="J515" s="142">
        <f>0</f>
        <v>0</v>
      </c>
      <c r="K515" s="142">
        <f t="shared" si="46"/>
        <v>0</v>
      </c>
      <c r="L515" s="142">
        <f t="shared" si="47"/>
        <v>0</v>
      </c>
      <c r="Q515" s="155"/>
      <c r="R515" s="142"/>
      <c r="S515" s="142"/>
      <c r="T515" s="142"/>
      <c r="U515" s="142"/>
    </row>
    <row r="516" spans="5:21" x14ac:dyDescent="0.35">
      <c r="E516" s="135">
        <v>504</v>
      </c>
      <c r="F516" s="135">
        <v>0</v>
      </c>
      <c r="G516" s="141">
        <f t="shared" si="43"/>
        <v>0</v>
      </c>
      <c r="H516" s="155">
        <f t="shared" si="44"/>
        <v>0</v>
      </c>
      <c r="I516" s="142">
        <f t="shared" si="45"/>
        <v>0</v>
      </c>
      <c r="J516" s="142">
        <f>0</f>
        <v>0</v>
      </c>
      <c r="K516" s="142">
        <f t="shared" si="46"/>
        <v>0</v>
      </c>
      <c r="L516" s="142">
        <f t="shared" si="47"/>
        <v>0</v>
      </c>
      <c r="Q516" s="155"/>
      <c r="R516" s="142"/>
      <c r="S516" s="142"/>
      <c r="T516" s="142"/>
      <c r="U516" s="142"/>
    </row>
    <row r="517" spans="5:21" x14ac:dyDescent="0.35">
      <c r="E517" s="135">
        <v>505</v>
      </c>
      <c r="F517" s="135">
        <v>0</v>
      </c>
      <c r="G517" s="141">
        <f t="shared" si="43"/>
        <v>0</v>
      </c>
      <c r="H517" s="155">
        <f t="shared" si="44"/>
        <v>0</v>
      </c>
      <c r="I517" s="142">
        <f t="shared" si="45"/>
        <v>0</v>
      </c>
      <c r="J517" s="142">
        <f>0</f>
        <v>0</v>
      </c>
      <c r="K517" s="142">
        <f t="shared" si="46"/>
        <v>0</v>
      </c>
      <c r="L517" s="142">
        <f t="shared" si="47"/>
        <v>0</v>
      </c>
      <c r="Q517" s="155"/>
      <c r="R517" s="142"/>
      <c r="S517" s="142"/>
      <c r="T517" s="142"/>
      <c r="U517" s="142"/>
    </row>
    <row r="518" spans="5:21" x14ac:dyDescent="0.35">
      <c r="E518" s="135">
        <v>506</v>
      </c>
      <c r="F518" s="135">
        <v>2</v>
      </c>
      <c r="G518" s="141">
        <f t="shared" si="43"/>
        <v>47.627164489095527</v>
      </c>
      <c r="H518" s="155">
        <f t="shared" si="44"/>
        <v>200</v>
      </c>
      <c r="I518" s="142">
        <f t="shared" si="45"/>
        <v>14500000</v>
      </c>
      <c r="J518" s="142">
        <f>0</f>
        <v>0</v>
      </c>
      <c r="K518" s="142">
        <f t="shared" si="46"/>
        <v>273265.86647854222</v>
      </c>
      <c r="L518" s="142">
        <f t="shared" si="47"/>
        <v>14773265.866478542</v>
      </c>
      <c r="Q518" s="155"/>
      <c r="R518" s="142"/>
      <c r="S518" s="142"/>
      <c r="T518" s="142"/>
      <c r="U518" s="142"/>
    </row>
    <row r="519" spans="5:21" x14ac:dyDescent="0.35">
      <c r="E519" s="135">
        <v>507</v>
      </c>
      <c r="F519" s="135">
        <v>0</v>
      </c>
      <c r="G519" s="141">
        <f t="shared" si="43"/>
        <v>0</v>
      </c>
      <c r="H519" s="155">
        <f t="shared" si="44"/>
        <v>0</v>
      </c>
      <c r="I519" s="142">
        <f t="shared" si="45"/>
        <v>0</v>
      </c>
      <c r="J519" s="142">
        <f>0</f>
        <v>0</v>
      </c>
      <c r="K519" s="142">
        <f t="shared" si="46"/>
        <v>0</v>
      </c>
      <c r="L519" s="142">
        <f t="shared" si="47"/>
        <v>0</v>
      </c>
      <c r="Q519" s="155"/>
      <c r="R519" s="142"/>
      <c r="S519" s="142"/>
      <c r="T519" s="142"/>
      <c r="U519" s="142"/>
    </row>
    <row r="520" spans="5:21" x14ac:dyDescent="0.35">
      <c r="E520" s="135">
        <v>508</v>
      </c>
      <c r="F520" s="135">
        <v>1</v>
      </c>
      <c r="G520" s="141">
        <f t="shared" si="43"/>
        <v>23.813582244547764</v>
      </c>
      <c r="H520" s="155">
        <f t="shared" si="44"/>
        <v>0</v>
      </c>
      <c r="I520" s="142">
        <f t="shared" si="45"/>
        <v>0</v>
      </c>
      <c r="J520" s="142">
        <f>0</f>
        <v>0</v>
      </c>
      <c r="K520" s="142">
        <f t="shared" si="46"/>
        <v>136632.93323927111</v>
      </c>
      <c r="L520" s="142">
        <f t="shared" si="47"/>
        <v>136632.93323927111</v>
      </c>
      <c r="Q520" s="155"/>
      <c r="R520" s="142"/>
      <c r="S520" s="142"/>
      <c r="T520" s="142"/>
      <c r="U520" s="142"/>
    </row>
    <row r="521" spans="5:21" x14ac:dyDescent="0.35">
      <c r="E521" s="135">
        <v>509</v>
      </c>
      <c r="F521" s="135">
        <v>0</v>
      </c>
      <c r="G521" s="141">
        <f t="shared" si="43"/>
        <v>0</v>
      </c>
      <c r="H521" s="155">
        <f t="shared" si="44"/>
        <v>0</v>
      </c>
      <c r="I521" s="142">
        <f t="shared" si="45"/>
        <v>0</v>
      </c>
      <c r="J521" s="142">
        <f>0</f>
        <v>0</v>
      </c>
      <c r="K521" s="142">
        <f t="shared" si="46"/>
        <v>0</v>
      </c>
      <c r="L521" s="142">
        <f t="shared" si="47"/>
        <v>0</v>
      </c>
      <c r="Q521" s="155"/>
      <c r="R521" s="142"/>
      <c r="S521" s="142"/>
      <c r="T521" s="142"/>
      <c r="U521" s="142"/>
    </row>
    <row r="522" spans="5:21" x14ac:dyDescent="0.35">
      <c r="E522" s="135">
        <v>510</v>
      </c>
      <c r="F522" s="135">
        <v>0</v>
      </c>
      <c r="G522" s="141">
        <f t="shared" si="43"/>
        <v>0</v>
      </c>
      <c r="H522" s="155">
        <f t="shared" si="44"/>
        <v>0</v>
      </c>
      <c r="I522" s="142">
        <f t="shared" si="45"/>
        <v>0</v>
      </c>
      <c r="J522" s="142">
        <f>0</f>
        <v>0</v>
      </c>
      <c r="K522" s="142">
        <f t="shared" si="46"/>
        <v>0</v>
      </c>
      <c r="L522" s="142">
        <f t="shared" si="47"/>
        <v>0</v>
      </c>
      <c r="Q522" s="155"/>
      <c r="R522" s="142"/>
      <c r="S522" s="142"/>
      <c r="T522" s="142"/>
      <c r="U522" s="142"/>
    </row>
    <row r="523" spans="5:21" x14ac:dyDescent="0.35">
      <c r="E523" s="135">
        <v>511</v>
      </c>
      <c r="F523" s="135">
        <v>2</v>
      </c>
      <c r="G523" s="141">
        <f t="shared" si="43"/>
        <v>47.627164489095527</v>
      </c>
      <c r="H523" s="155">
        <f t="shared" si="44"/>
        <v>200</v>
      </c>
      <c r="I523" s="142">
        <f t="shared" si="45"/>
        <v>14500000</v>
      </c>
      <c r="J523" s="142">
        <f>0</f>
        <v>0</v>
      </c>
      <c r="K523" s="142">
        <f t="shared" si="46"/>
        <v>273265.86647854222</v>
      </c>
      <c r="L523" s="142">
        <f t="shared" si="47"/>
        <v>14773265.866478542</v>
      </c>
      <c r="Q523" s="155"/>
      <c r="R523" s="142"/>
      <c r="S523" s="142"/>
      <c r="T523" s="142"/>
      <c r="U523" s="142"/>
    </row>
    <row r="524" spans="5:21" x14ac:dyDescent="0.35">
      <c r="E524" s="135">
        <v>512</v>
      </c>
      <c r="F524" s="135">
        <v>1</v>
      </c>
      <c r="G524" s="141">
        <f t="shared" si="43"/>
        <v>23.813582244547764</v>
      </c>
      <c r="H524" s="155">
        <f t="shared" si="44"/>
        <v>0</v>
      </c>
      <c r="I524" s="142">
        <f t="shared" si="45"/>
        <v>0</v>
      </c>
      <c r="J524" s="142">
        <f>0</f>
        <v>0</v>
      </c>
      <c r="K524" s="142">
        <f t="shared" si="46"/>
        <v>136632.93323927111</v>
      </c>
      <c r="L524" s="142">
        <f t="shared" si="47"/>
        <v>136632.93323927111</v>
      </c>
      <c r="Q524" s="155"/>
      <c r="R524" s="142"/>
      <c r="S524" s="142"/>
      <c r="T524" s="142"/>
      <c r="U524" s="142"/>
    </row>
    <row r="525" spans="5:21" x14ac:dyDescent="0.35">
      <c r="E525" s="135">
        <v>513</v>
      </c>
      <c r="F525" s="135">
        <v>1</v>
      </c>
      <c r="G525" s="141">
        <f t="shared" ref="G525:G588" si="48">F525*$C$9</f>
        <v>23.813582244547764</v>
      </c>
      <c r="H525" s="155">
        <f t="shared" ref="H525:H588" si="49">IF(F525 &gt; 1,$C$13*20000,0)</f>
        <v>0</v>
      </c>
      <c r="I525" s="142">
        <f t="shared" ref="I525:I588" si="50">IF(F525 &gt; 1,$C$4,0)</f>
        <v>0</v>
      </c>
      <c r="J525" s="142">
        <f>0</f>
        <v>0</v>
      </c>
      <c r="K525" s="142">
        <f t="shared" ref="K525:K588" si="51">F525*$C$5</f>
        <v>136632.93323927111</v>
      </c>
      <c r="L525" s="142">
        <f t="shared" ref="L525:L588" si="52">J525+I525+K525</f>
        <v>136632.93323927111</v>
      </c>
      <c r="Q525" s="155"/>
      <c r="R525" s="142"/>
      <c r="S525" s="142"/>
      <c r="T525" s="142"/>
      <c r="U525" s="142"/>
    </row>
    <row r="526" spans="5:21" x14ac:dyDescent="0.35">
      <c r="E526" s="135">
        <v>514</v>
      </c>
      <c r="F526" s="135">
        <v>1</v>
      </c>
      <c r="G526" s="141">
        <f t="shared" si="48"/>
        <v>23.813582244547764</v>
      </c>
      <c r="H526" s="155">
        <f t="shared" si="49"/>
        <v>0</v>
      </c>
      <c r="I526" s="142">
        <f t="shared" si="50"/>
        <v>0</v>
      </c>
      <c r="J526" s="142">
        <f>0</f>
        <v>0</v>
      </c>
      <c r="K526" s="142">
        <f t="shared" si="51"/>
        <v>136632.93323927111</v>
      </c>
      <c r="L526" s="142">
        <f t="shared" si="52"/>
        <v>136632.93323927111</v>
      </c>
      <c r="Q526" s="155"/>
      <c r="R526" s="142"/>
      <c r="S526" s="142"/>
      <c r="T526" s="142"/>
      <c r="U526" s="142"/>
    </row>
    <row r="527" spans="5:21" x14ac:dyDescent="0.35">
      <c r="E527" s="135">
        <v>515</v>
      </c>
      <c r="F527" s="135">
        <v>0</v>
      </c>
      <c r="G527" s="141">
        <f t="shared" si="48"/>
        <v>0</v>
      </c>
      <c r="H527" s="155">
        <f t="shared" si="49"/>
        <v>0</v>
      </c>
      <c r="I527" s="142">
        <f t="shared" si="50"/>
        <v>0</v>
      </c>
      <c r="J527" s="142">
        <f>0</f>
        <v>0</v>
      </c>
      <c r="K527" s="142">
        <f t="shared" si="51"/>
        <v>0</v>
      </c>
      <c r="L527" s="142">
        <f t="shared" si="52"/>
        <v>0</v>
      </c>
      <c r="Q527" s="155"/>
      <c r="R527" s="142"/>
      <c r="S527" s="142"/>
      <c r="T527" s="142"/>
      <c r="U527" s="142"/>
    </row>
    <row r="528" spans="5:21" x14ac:dyDescent="0.35">
      <c r="E528" s="135">
        <v>516</v>
      </c>
      <c r="F528" s="135">
        <v>0</v>
      </c>
      <c r="G528" s="141">
        <f t="shared" si="48"/>
        <v>0</v>
      </c>
      <c r="H528" s="155">
        <f t="shared" si="49"/>
        <v>0</v>
      </c>
      <c r="I528" s="142">
        <f t="shared" si="50"/>
        <v>0</v>
      </c>
      <c r="J528" s="142">
        <f>0</f>
        <v>0</v>
      </c>
      <c r="K528" s="142">
        <f t="shared" si="51"/>
        <v>0</v>
      </c>
      <c r="L528" s="142">
        <f t="shared" si="52"/>
        <v>0</v>
      </c>
      <c r="Q528" s="155"/>
      <c r="R528" s="142"/>
      <c r="S528" s="142"/>
      <c r="T528" s="142"/>
      <c r="U528" s="142"/>
    </row>
    <row r="529" spans="5:21" x14ac:dyDescent="0.35">
      <c r="E529" s="135">
        <v>517</v>
      </c>
      <c r="F529" s="135">
        <v>0</v>
      </c>
      <c r="G529" s="141">
        <f t="shared" si="48"/>
        <v>0</v>
      </c>
      <c r="H529" s="155">
        <f t="shared" si="49"/>
        <v>0</v>
      </c>
      <c r="I529" s="142">
        <f t="shared" si="50"/>
        <v>0</v>
      </c>
      <c r="J529" s="142">
        <f>0</f>
        <v>0</v>
      </c>
      <c r="K529" s="142">
        <f t="shared" si="51"/>
        <v>0</v>
      </c>
      <c r="L529" s="142">
        <f t="shared" si="52"/>
        <v>0</v>
      </c>
      <c r="Q529" s="155"/>
      <c r="R529" s="142"/>
      <c r="S529" s="142"/>
      <c r="T529" s="142"/>
      <c r="U529" s="142"/>
    </row>
    <row r="530" spans="5:21" x14ac:dyDescent="0.35">
      <c r="E530" s="135">
        <v>518</v>
      </c>
      <c r="F530" s="135">
        <v>0</v>
      </c>
      <c r="G530" s="141">
        <f t="shared" si="48"/>
        <v>0</v>
      </c>
      <c r="H530" s="155">
        <f t="shared" si="49"/>
        <v>0</v>
      </c>
      <c r="I530" s="142">
        <f t="shared" si="50"/>
        <v>0</v>
      </c>
      <c r="J530" s="142">
        <f>0</f>
        <v>0</v>
      </c>
      <c r="K530" s="142">
        <f t="shared" si="51"/>
        <v>0</v>
      </c>
      <c r="L530" s="142">
        <f t="shared" si="52"/>
        <v>0</v>
      </c>
      <c r="Q530" s="155"/>
      <c r="R530" s="142"/>
      <c r="S530" s="142"/>
      <c r="T530" s="142"/>
      <c r="U530" s="142"/>
    </row>
    <row r="531" spans="5:21" x14ac:dyDescent="0.35">
      <c r="E531" s="135">
        <v>519</v>
      </c>
      <c r="F531" s="135">
        <v>0</v>
      </c>
      <c r="G531" s="141">
        <f t="shared" si="48"/>
        <v>0</v>
      </c>
      <c r="H531" s="155">
        <f t="shared" si="49"/>
        <v>0</v>
      </c>
      <c r="I531" s="142">
        <f t="shared" si="50"/>
        <v>0</v>
      </c>
      <c r="J531" s="142">
        <f>0</f>
        <v>0</v>
      </c>
      <c r="K531" s="142">
        <f t="shared" si="51"/>
        <v>0</v>
      </c>
      <c r="L531" s="142">
        <f t="shared" si="52"/>
        <v>0</v>
      </c>
      <c r="Q531" s="155"/>
      <c r="R531" s="142"/>
      <c r="S531" s="142"/>
      <c r="T531" s="142"/>
      <c r="U531" s="142"/>
    </row>
    <row r="532" spans="5:21" x14ac:dyDescent="0.35">
      <c r="E532" s="135">
        <v>520</v>
      </c>
      <c r="F532" s="135">
        <v>0</v>
      </c>
      <c r="G532" s="141">
        <f t="shared" si="48"/>
        <v>0</v>
      </c>
      <c r="H532" s="155">
        <f t="shared" si="49"/>
        <v>0</v>
      </c>
      <c r="I532" s="142">
        <f t="shared" si="50"/>
        <v>0</v>
      </c>
      <c r="J532" s="142">
        <f>0</f>
        <v>0</v>
      </c>
      <c r="K532" s="142">
        <f t="shared" si="51"/>
        <v>0</v>
      </c>
      <c r="L532" s="142">
        <f t="shared" si="52"/>
        <v>0</v>
      </c>
      <c r="Q532" s="155"/>
      <c r="R532" s="142"/>
      <c r="S532" s="142"/>
      <c r="T532" s="142"/>
      <c r="U532" s="142"/>
    </row>
    <row r="533" spans="5:21" x14ac:dyDescent="0.35">
      <c r="E533" s="135">
        <v>521</v>
      </c>
      <c r="F533" s="135">
        <v>0</v>
      </c>
      <c r="G533" s="141">
        <f t="shared" si="48"/>
        <v>0</v>
      </c>
      <c r="H533" s="155">
        <f t="shared" si="49"/>
        <v>0</v>
      </c>
      <c r="I533" s="142">
        <f t="shared" si="50"/>
        <v>0</v>
      </c>
      <c r="J533" s="142">
        <f>0</f>
        <v>0</v>
      </c>
      <c r="K533" s="142">
        <f t="shared" si="51"/>
        <v>0</v>
      </c>
      <c r="L533" s="142">
        <f t="shared" si="52"/>
        <v>0</v>
      </c>
      <c r="Q533" s="155"/>
      <c r="R533" s="142"/>
      <c r="S533" s="142"/>
      <c r="T533" s="142"/>
      <c r="U533" s="142"/>
    </row>
    <row r="534" spans="5:21" x14ac:dyDescent="0.35">
      <c r="E534" s="135">
        <v>522</v>
      </c>
      <c r="F534" s="135">
        <v>0</v>
      </c>
      <c r="G534" s="141">
        <f t="shared" si="48"/>
        <v>0</v>
      </c>
      <c r="H534" s="155">
        <f t="shared" si="49"/>
        <v>0</v>
      </c>
      <c r="I534" s="142">
        <f t="shared" si="50"/>
        <v>0</v>
      </c>
      <c r="J534" s="142">
        <f>0</f>
        <v>0</v>
      </c>
      <c r="K534" s="142">
        <f t="shared" si="51"/>
        <v>0</v>
      </c>
      <c r="L534" s="142">
        <f t="shared" si="52"/>
        <v>0</v>
      </c>
      <c r="Q534" s="155"/>
      <c r="R534" s="142"/>
      <c r="S534" s="142"/>
      <c r="T534" s="142"/>
      <c r="U534" s="142"/>
    </row>
    <row r="535" spans="5:21" x14ac:dyDescent="0.35">
      <c r="E535" s="135">
        <v>523</v>
      </c>
      <c r="F535" s="135">
        <v>1</v>
      </c>
      <c r="G535" s="141">
        <f t="shared" si="48"/>
        <v>23.813582244547764</v>
      </c>
      <c r="H535" s="155">
        <f t="shared" si="49"/>
        <v>0</v>
      </c>
      <c r="I535" s="142">
        <f t="shared" si="50"/>
        <v>0</v>
      </c>
      <c r="J535" s="142">
        <f>0</f>
        <v>0</v>
      </c>
      <c r="K535" s="142">
        <f t="shared" si="51"/>
        <v>136632.93323927111</v>
      </c>
      <c r="L535" s="142">
        <f t="shared" si="52"/>
        <v>136632.93323927111</v>
      </c>
      <c r="Q535" s="155"/>
      <c r="R535" s="142"/>
      <c r="S535" s="142"/>
      <c r="T535" s="142"/>
      <c r="U535" s="142"/>
    </row>
    <row r="536" spans="5:21" x14ac:dyDescent="0.35">
      <c r="E536" s="135">
        <v>524</v>
      </c>
      <c r="F536" s="135">
        <v>0</v>
      </c>
      <c r="G536" s="141">
        <f t="shared" si="48"/>
        <v>0</v>
      </c>
      <c r="H536" s="155">
        <f t="shared" si="49"/>
        <v>0</v>
      </c>
      <c r="I536" s="142">
        <f t="shared" si="50"/>
        <v>0</v>
      </c>
      <c r="J536" s="142">
        <f>0</f>
        <v>0</v>
      </c>
      <c r="K536" s="142">
        <f t="shared" si="51"/>
        <v>0</v>
      </c>
      <c r="L536" s="142">
        <f t="shared" si="52"/>
        <v>0</v>
      </c>
      <c r="Q536" s="155"/>
      <c r="R536" s="142"/>
      <c r="S536" s="142"/>
      <c r="T536" s="142"/>
      <c r="U536" s="142"/>
    </row>
    <row r="537" spans="5:21" x14ac:dyDescent="0.35">
      <c r="E537" s="135">
        <v>525</v>
      </c>
      <c r="F537" s="135">
        <v>1</v>
      </c>
      <c r="G537" s="141">
        <f t="shared" si="48"/>
        <v>23.813582244547764</v>
      </c>
      <c r="H537" s="155">
        <f t="shared" si="49"/>
        <v>0</v>
      </c>
      <c r="I537" s="142">
        <f t="shared" si="50"/>
        <v>0</v>
      </c>
      <c r="J537" s="142">
        <f>0</f>
        <v>0</v>
      </c>
      <c r="K537" s="142">
        <f t="shared" si="51"/>
        <v>136632.93323927111</v>
      </c>
      <c r="L537" s="142">
        <f t="shared" si="52"/>
        <v>136632.93323927111</v>
      </c>
      <c r="Q537" s="155"/>
      <c r="R537" s="142"/>
      <c r="S537" s="142"/>
      <c r="T537" s="142"/>
      <c r="U537" s="142"/>
    </row>
    <row r="538" spans="5:21" x14ac:dyDescent="0.35">
      <c r="E538" s="135">
        <v>526</v>
      </c>
      <c r="F538" s="135">
        <v>0</v>
      </c>
      <c r="G538" s="141">
        <f t="shared" si="48"/>
        <v>0</v>
      </c>
      <c r="H538" s="155">
        <f t="shared" si="49"/>
        <v>0</v>
      </c>
      <c r="I538" s="142">
        <f t="shared" si="50"/>
        <v>0</v>
      </c>
      <c r="J538" s="142">
        <f>0</f>
        <v>0</v>
      </c>
      <c r="K538" s="142">
        <f t="shared" si="51"/>
        <v>0</v>
      </c>
      <c r="L538" s="142">
        <f t="shared" si="52"/>
        <v>0</v>
      </c>
      <c r="Q538" s="155"/>
      <c r="R538" s="142"/>
      <c r="S538" s="142"/>
      <c r="T538" s="142"/>
      <c r="U538" s="142"/>
    </row>
    <row r="539" spans="5:21" x14ac:dyDescent="0.35">
      <c r="E539" s="135">
        <v>527</v>
      </c>
      <c r="F539" s="135">
        <v>0</v>
      </c>
      <c r="G539" s="141">
        <f t="shared" si="48"/>
        <v>0</v>
      </c>
      <c r="H539" s="155">
        <f t="shared" si="49"/>
        <v>0</v>
      </c>
      <c r="I539" s="142">
        <f t="shared" si="50"/>
        <v>0</v>
      </c>
      <c r="J539" s="142">
        <f>0</f>
        <v>0</v>
      </c>
      <c r="K539" s="142">
        <f t="shared" si="51"/>
        <v>0</v>
      </c>
      <c r="L539" s="142">
        <f t="shared" si="52"/>
        <v>0</v>
      </c>
      <c r="Q539" s="155"/>
      <c r="R539" s="142"/>
      <c r="S539" s="142"/>
      <c r="T539" s="142"/>
      <c r="U539" s="142"/>
    </row>
    <row r="540" spans="5:21" x14ac:dyDescent="0.35">
      <c r="E540" s="135">
        <v>528</v>
      </c>
      <c r="F540" s="135">
        <v>0</v>
      </c>
      <c r="G540" s="141">
        <f t="shared" si="48"/>
        <v>0</v>
      </c>
      <c r="H540" s="155">
        <f t="shared" si="49"/>
        <v>0</v>
      </c>
      <c r="I540" s="142">
        <f t="shared" si="50"/>
        <v>0</v>
      </c>
      <c r="J540" s="142">
        <f>0</f>
        <v>0</v>
      </c>
      <c r="K540" s="142">
        <f t="shared" si="51"/>
        <v>0</v>
      </c>
      <c r="L540" s="142">
        <f t="shared" si="52"/>
        <v>0</v>
      </c>
      <c r="Q540" s="155"/>
      <c r="R540" s="142"/>
      <c r="S540" s="142"/>
      <c r="T540" s="142"/>
      <c r="U540" s="142"/>
    </row>
    <row r="541" spans="5:21" x14ac:dyDescent="0.35">
      <c r="E541" s="135">
        <v>529</v>
      </c>
      <c r="F541" s="135">
        <v>0</v>
      </c>
      <c r="G541" s="141">
        <f t="shared" si="48"/>
        <v>0</v>
      </c>
      <c r="H541" s="155">
        <f t="shared" si="49"/>
        <v>0</v>
      </c>
      <c r="I541" s="142">
        <f t="shared" si="50"/>
        <v>0</v>
      </c>
      <c r="J541" s="142">
        <f>0</f>
        <v>0</v>
      </c>
      <c r="K541" s="142">
        <f t="shared" si="51"/>
        <v>0</v>
      </c>
      <c r="L541" s="142">
        <f t="shared" si="52"/>
        <v>0</v>
      </c>
      <c r="Q541" s="155"/>
      <c r="R541" s="142"/>
      <c r="S541" s="142"/>
      <c r="T541" s="142"/>
      <c r="U541" s="142"/>
    </row>
    <row r="542" spans="5:21" x14ac:dyDescent="0.35">
      <c r="E542" s="135">
        <v>530</v>
      </c>
      <c r="F542" s="135">
        <v>1</v>
      </c>
      <c r="G542" s="141">
        <f t="shared" si="48"/>
        <v>23.813582244547764</v>
      </c>
      <c r="H542" s="155">
        <f t="shared" si="49"/>
        <v>0</v>
      </c>
      <c r="I542" s="142">
        <f t="shared" si="50"/>
        <v>0</v>
      </c>
      <c r="J542" s="142">
        <f>0</f>
        <v>0</v>
      </c>
      <c r="K542" s="142">
        <f t="shared" si="51"/>
        <v>136632.93323927111</v>
      </c>
      <c r="L542" s="142">
        <f t="shared" si="52"/>
        <v>136632.93323927111</v>
      </c>
      <c r="Q542" s="155"/>
      <c r="R542" s="142"/>
      <c r="S542" s="142"/>
      <c r="T542" s="142"/>
      <c r="U542" s="142"/>
    </row>
    <row r="543" spans="5:21" x14ac:dyDescent="0.35">
      <c r="E543" s="135">
        <v>531</v>
      </c>
      <c r="F543" s="135">
        <v>0</v>
      </c>
      <c r="G543" s="141">
        <f t="shared" si="48"/>
        <v>0</v>
      </c>
      <c r="H543" s="155">
        <f t="shared" si="49"/>
        <v>0</v>
      </c>
      <c r="I543" s="142">
        <f t="shared" si="50"/>
        <v>0</v>
      </c>
      <c r="J543" s="142">
        <f>0</f>
        <v>0</v>
      </c>
      <c r="K543" s="142">
        <f t="shared" si="51"/>
        <v>0</v>
      </c>
      <c r="L543" s="142">
        <f t="shared" si="52"/>
        <v>0</v>
      </c>
      <c r="Q543" s="155"/>
      <c r="R543" s="142"/>
      <c r="S543" s="142"/>
      <c r="T543" s="142"/>
      <c r="U543" s="142"/>
    </row>
    <row r="544" spans="5:21" x14ac:dyDescent="0.35">
      <c r="E544" s="135">
        <v>532</v>
      </c>
      <c r="F544" s="135">
        <v>1</v>
      </c>
      <c r="G544" s="141">
        <f t="shared" si="48"/>
        <v>23.813582244547764</v>
      </c>
      <c r="H544" s="155">
        <f t="shared" si="49"/>
        <v>0</v>
      </c>
      <c r="I544" s="142">
        <f t="shared" si="50"/>
        <v>0</v>
      </c>
      <c r="J544" s="142">
        <f>0</f>
        <v>0</v>
      </c>
      <c r="K544" s="142">
        <f t="shared" si="51"/>
        <v>136632.93323927111</v>
      </c>
      <c r="L544" s="142">
        <f t="shared" si="52"/>
        <v>136632.93323927111</v>
      </c>
      <c r="Q544" s="155"/>
      <c r="R544" s="142"/>
      <c r="S544" s="142"/>
      <c r="T544" s="142"/>
      <c r="U544" s="142"/>
    </row>
    <row r="545" spans="5:21" x14ac:dyDescent="0.35">
      <c r="E545" s="135">
        <v>533</v>
      </c>
      <c r="F545" s="135">
        <v>0</v>
      </c>
      <c r="G545" s="141">
        <f t="shared" si="48"/>
        <v>0</v>
      </c>
      <c r="H545" s="155">
        <f t="shared" si="49"/>
        <v>0</v>
      </c>
      <c r="I545" s="142">
        <f t="shared" si="50"/>
        <v>0</v>
      </c>
      <c r="J545" s="142">
        <f>0</f>
        <v>0</v>
      </c>
      <c r="K545" s="142">
        <f t="shared" si="51"/>
        <v>0</v>
      </c>
      <c r="L545" s="142">
        <f t="shared" si="52"/>
        <v>0</v>
      </c>
      <c r="Q545" s="155"/>
      <c r="R545" s="142"/>
      <c r="S545" s="142"/>
      <c r="T545" s="142"/>
      <c r="U545" s="142"/>
    </row>
    <row r="546" spans="5:21" x14ac:dyDescent="0.35">
      <c r="E546" s="135">
        <v>534</v>
      </c>
      <c r="F546" s="135">
        <v>0</v>
      </c>
      <c r="G546" s="141">
        <f t="shared" si="48"/>
        <v>0</v>
      </c>
      <c r="H546" s="155">
        <f t="shared" si="49"/>
        <v>0</v>
      </c>
      <c r="I546" s="142">
        <f t="shared" si="50"/>
        <v>0</v>
      </c>
      <c r="J546" s="142">
        <f>0</f>
        <v>0</v>
      </c>
      <c r="K546" s="142">
        <f t="shared" si="51"/>
        <v>0</v>
      </c>
      <c r="L546" s="142">
        <f t="shared" si="52"/>
        <v>0</v>
      </c>
      <c r="Q546" s="155"/>
      <c r="R546" s="142"/>
      <c r="S546" s="142"/>
      <c r="T546" s="142"/>
      <c r="U546" s="142"/>
    </row>
    <row r="547" spans="5:21" x14ac:dyDescent="0.35">
      <c r="E547" s="135">
        <v>535</v>
      </c>
      <c r="F547" s="135">
        <v>0</v>
      </c>
      <c r="G547" s="141">
        <f t="shared" si="48"/>
        <v>0</v>
      </c>
      <c r="H547" s="155">
        <f t="shared" si="49"/>
        <v>0</v>
      </c>
      <c r="I547" s="142">
        <f t="shared" si="50"/>
        <v>0</v>
      </c>
      <c r="J547" s="142">
        <f>0</f>
        <v>0</v>
      </c>
      <c r="K547" s="142">
        <f t="shared" si="51"/>
        <v>0</v>
      </c>
      <c r="L547" s="142">
        <f t="shared" si="52"/>
        <v>0</v>
      </c>
      <c r="Q547" s="155"/>
      <c r="R547" s="142"/>
      <c r="S547" s="142"/>
      <c r="T547" s="142"/>
      <c r="U547" s="142"/>
    </row>
    <row r="548" spans="5:21" x14ac:dyDescent="0.35">
      <c r="E548" s="135">
        <v>536</v>
      </c>
      <c r="F548" s="135">
        <v>0</v>
      </c>
      <c r="G548" s="141">
        <f t="shared" si="48"/>
        <v>0</v>
      </c>
      <c r="H548" s="155">
        <f t="shared" si="49"/>
        <v>0</v>
      </c>
      <c r="I548" s="142">
        <f t="shared" si="50"/>
        <v>0</v>
      </c>
      <c r="J548" s="142">
        <f>0</f>
        <v>0</v>
      </c>
      <c r="K548" s="142">
        <f t="shared" si="51"/>
        <v>0</v>
      </c>
      <c r="L548" s="142">
        <f t="shared" si="52"/>
        <v>0</v>
      </c>
      <c r="Q548" s="155"/>
      <c r="R548" s="142"/>
      <c r="S548" s="142"/>
      <c r="T548" s="142"/>
      <c r="U548" s="142"/>
    </row>
    <row r="549" spans="5:21" x14ac:dyDescent="0.35">
      <c r="E549" s="135">
        <v>537</v>
      </c>
      <c r="F549" s="135">
        <v>0</v>
      </c>
      <c r="G549" s="141">
        <f t="shared" si="48"/>
        <v>0</v>
      </c>
      <c r="H549" s="155">
        <f t="shared" si="49"/>
        <v>0</v>
      </c>
      <c r="I549" s="142">
        <f t="shared" si="50"/>
        <v>0</v>
      </c>
      <c r="J549" s="142">
        <f>0</f>
        <v>0</v>
      </c>
      <c r="K549" s="142">
        <f t="shared" si="51"/>
        <v>0</v>
      </c>
      <c r="L549" s="142">
        <f t="shared" si="52"/>
        <v>0</v>
      </c>
      <c r="Q549" s="155"/>
      <c r="R549" s="142"/>
      <c r="S549" s="142"/>
      <c r="T549" s="142"/>
      <c r="U549" s="142"/>
    </row>
    <row r="550" spans="5:21" x14ac:dyDescent="0.35">
      <c r="E550" s="135">
        <v>538</v>
      </c>
      <c r="F550" s="135">
        <v>0</v>
      </c>
      <c r="G550" s="141">
        <f t="shared" si="48"/>
        <v>0</v>
      </c>
      <c r="H550" s="155">
        <f t="shared" si="49"/>
        <v>0</v>
      </c>
      <c r="I550" s="142">
        <f t="shared" si="50"/>
        <v>0</v>
      </c>
      <c r="J550" s="142">
        <f>0</f>
        <v>0</v>
      </c>
      <c r="K550" s="142">
        <f t="shared" si="51"/>
        <v>0</v>
      </c>
      <c r="L550" s="142">
        <f t="shared" si="52"/>
        <v>0</v>
      </c>
      <c r="Q550" s="155"/>
      <c r="R550" s="142"/>
      <c r="S550" s="142"/>
      <c r="T550" s="142"/>
      <c r="U550" s="142"/>
    </row>
    <row r="551" spans="5:21" x14ac:dyDescent="0.35">
      <c r="E551" s="135">
        <v>539</v>
      </c>
      <c r="F551" s="135">
        <v>0</v>
      </c>
      <c r="G551" s="141">
        <f t="shared" si="48"/>
        <v>0</v>
      </c>
      <c r="H551" s="155">
        <f t="shared" si="49"/>
        <v>0</v>
      </c>
      <c r="I551" s="142">
        <f t="shared" si="50"/>
        <v>0</v>
      </c>
      <c r="J551" s="142">
        <f>0</f>
        <v>0</v>
      </c>
      <c r="K551" s="142">
        <f t="shared" si="51"/>
        <v>0</v>
      </c>
      <c r="L551" s="142">
        <f t="shared" si="52"/>
        <v>0</v>
      </c>
      <c r="Q551" s="155"/>
      <c r="R551" s="142"/>
      <c r="S551" s="142"/>
      <c r="T551" s="142"/>
      <c r="U551" s="142"/>
    </row>
    <row r="552" spans="5:21" x14ac:dyDescent="0.35">
      <c r="E552" s="135">
        <v>540</v>
      </c>
      <c r="F552" s="135">
        <v>0</v>
      </c>
      <c r="G552" s="141">
        <f t="shared" si="48"/>
        <v>0</v>
      </c>
      <c r="H552" s="155">
        <f t="shared" si="49"/>
        <v>0</v>
      </c>
      <c r="I552" s="142">
        <f t="shared" si="50"/>
        <v>0</v>
      </c>
      <c r="J552" s="142">
        <f>0</f>
        <v>0</v>
      </c>
      <c r="K552" s="142">
        <f t="shared" si="51"/>
        <v>0</v>
      </c>
      <c r="L552" s="142">
        <f t="shared" si="52"/>
        <v>0</v>
      </c>
      <c r="Q552" s="155"/>
      <c r="R552" s="142"/>
      <c r="S552" s="142"/>
      <c r="T552" s="142"/>
      <c r="U552" s="142"/>
    </row>
    <row r="553" spans="5:21" x14ac:dyDescent="0.35">
      <c r="E553" s="135">
        <v>541</v>
      </c>
      <c r="F553" s="135">
        <v>0</v>
      </c>
      <c r="G553" s="141">
        <f t="shared" si="48"/>
        <v>0</v>
      </c>
      <c r="H553" s="155">
        <f t="shared" si="49"/>
        <v>0</v>
      </c>
      <c r="I553" s="142">
        <f t="shared" si="50"/>
        <v>0</v>
      </c>
      <c r="J553" s="142">
        <f>0</f>
        <v>0</v>
      </c>
      <c r="K553" s="142">
        <f t="shared" si="51"/>
        <v>0</v>
      </c>
      <c r="L553" s="142">
        <f t="shared" si="52"/>
        <v>0</v>
      </c>
      <c r="Q553" s="155"/>
      <c r="R553" s="142"/>
      <c r="S553" s="142"/>
      <c r="T553" s="142"/>
      <c r="U553" s="142"/>
    </row>
    <row r="554" spans="5:21" x14ac:dyDescent="0.35">
      <c r="E554" s="135">
        <v>542</v>
      </c>
      <c r="F554" s="135">
        <v>0</v>
      </c>
      <c r="G554" s="141">
        <f t="shared" si="48"/>
        <v>0</v>
      </c>
      <c r="H554" s="155">
        <f t="shared" si="49"/>
        <v>0</v>
      </c>
      <c r="I554" s="142">
        <f t="shared" si="50"/>
        <v>0</v>
      </c>
      <c r="J554" s="142">
        <f>0</f>
        <v>0</v>
      </c>
      <c r="K554" s="142">
        <f t="shared" si="51"/>
        <v>0</v>
      </c>
      <c r="L554" s="142">
        <f t="shared" si="52"/>
        <v>0</v>
      </c>
      <c r="Q554" s="155"/>
      <c r="R554" s="142"/>
      <c r="S554" s="142"/>
      <c r="T554" s="142"/>
      <c r="U554" s="142"/>
    </row>
    <row r="555" spans="5:21" x14ac:dyDescent="0.35">
      <c r="E555" s="135">
        <v>543</v>
      </c>
      <c r="F555" s="135">
        <v>0</v>
      </c>
      <c r="G555" s="141">
        <f t="shared" si="48"/>
        <v>0</v>
      </c>
      <c r="H555" s="155">
        <f t="shared" si="49"/>
        <v>0</v>
      </c>
      <c r="I555" s="142">
        <f t="shared" si="50"/>
        <v>0</v>
      </c>
      <c r="J555" s="142">
        <f>0</f>
        <v>0</v>
      </c>
      <c r="K555" s="142">
        <f t="shared" si="51"/>
        <v>0</v>
      </c>
      <c r="L555" s="142">
        <f t="shared" si="52"/>
        <v>0</v>
      </c>
      <c r="Q555" s="155"/>
      <c r="R555" s="142"/>
      <c r="S555" s="142"/>
      <c r="T555" s="142"/>
      <c r="U555" s="142"/>
    </row>
    <row r="556" spans="5:21" x14ac:dyDescent="0.35">
      <c r="E556" s="135">
        <v>544</v>
      </c>
      <c r="F556" s="135">
        <v>1</v>
      </c>
      <c r="G556" s="141">
        <f t="shared" si="48"/>
        <v>23.813582244547764</v>
      </c>
      <c r="H556" s="155">
        <f t="shared" si="49"/>
        <v>0</v>
      </c>
      <c r="I556" s="142">
        <f t="shared" si="50"/>
        <v>0</v>
      </c>
      <c r="J556" s="142">
        <f>0</f>
        <v>0</v>
      </c>
      <c r="K556" s="142">
        <f t="shared" si="51"/>
        <v>136632.93323927111</v>
      </c>
      <c r="L556" s="142">
        <f t="shared" si="52"/>
        <v>136632.93323927111</v>
      </c>
      <c r="Q556" s="155"/>
      <c r="R556" s="142"/>
      <c r="S556" s="142"/>
      <c r="T556" s="142"/>
      <c r="U556" s="142"/>
    </row>
    <row r="557" spans="5:21" x14ac:dyDescent="0.35">
      <c r="E557" s="135">
        <v>545</v>
      </c>
      <c r="F557" s="135">
        <v>0</v>
      </c>
      <c r="G557" s="141">
        <f t="shared" si="48"/>
        <v>0</v>
      </c>
      <c r="H557" s="155">
        <f t="shared" si="49"/>
        <v>0</v>
      </c>
      <c r="I557" s="142">
        <f t="shared" si="50"/>
        <v>0</v>
      </c>
      <c r="J557" s="142">
        <f>0</f>
        <v>0</v>
      </c>
      <c r="K557" s="142">
        <f t="shared" si="51"/>
        <v>0</v>
      </c>
      <c r="L557" s="142">
        <f t="shared" si="52"/>
        <v>0</v>
      </c>
      <c r="Q557" s="155"/>
      <c r="R557" s="142"/>
      <c r="S557" s="142"/>
      <c r="T557" s="142"/>
      <c r="U557" s="142"/>
    </row>
    <row r="558" spans="5:21" x14ac:dyDescent="0.35">
      <c r="E558" s="135">
        <v>546</v>
      </c>
      <c r="F558" s="135">
        <v>2</v>
      </c>
      <c r="G558" s="141">
        <f t="shared" si="48"/>
        <v>47.627164489095527</v>
      </c>
      <c r="H558" s="155">
        <f t="shared" si="49"/>
        <v>200</v>
      </c>
      <c r="I558" s="142">
        <f t="shared" si="50"/>
        <v>14500000</v>
      </c>
      <c r="J558" s="142">
        <f>0</f>
        <v>0</v>
      </c>
      <c r="K558" s="142">
        <f t="shared" si="51"/>
        <v>273265.86647854222</v>
      </c>
      <c r="L558" s="142">
        <f t="shared" si="52"/>
        <v>14773265.866478542</v>
      </c>
      <c r="Q558" s="155"/>
      <c r="R558" s="142"/>
      <c r="S558" s="142"/>
      <c r="T558" s="142"/>
      <c r="U558" s="142"/>
    </row>
    <row r="559" spans="5:21" x14ac:dyDescent="0.35">
      <c r="E559" s="135">
        <v>547</v>
      </c>
      <c r="F559" s="135">
        <v>0</v>
      </c>
      <c r="G559" s="141">
        <f t="shared" si="48"/>
        <v>0</v>
      </c>
      <c r="H559" s="155">
        <f t="shared" si="49"/>
        <v>0</v>
      </c>
      <c r="I559" s="142">
        <f t="shared" si="50"/>
        <v>0</v>
      </c>
      <c r="J559" s="142">
        <f>0</f>
        <v>0</v>
      </c>
      <c r="K559" s="142">
        <f t="shared" si="51"/>
        <v>0</v>
      </c>
      <c r="L559" s="142">
        <f t="shared" si="52"/>
        <v>0</v>
      </c>
      <c r="Q559" s="155"/>
      <c r="R559" s="142"/>
      <c r="S559" s="142"/>
      <c r="T559" s="142"/>
      <c r="U559" s="142"/>
    </row>
    <row r="560" spans="5:21" x14ac:dyDescent="0.35">
      <c r="E560" s="135">
        <v>548</v>
      </c>
      <c r="F560" s="135">
        <v>0</v>
      </c>
      <c r="G560" s="141">
        <f t="shared" si="48"/>
        <v>0</v>
      </c>
      <c r="H560" s="155">
        <f t="shared" si="49"/>
        <v>0</v>
      </c>
      <c r="I560" s="142">
        <f t="shared" si="50"/>
        <v>0</v>
      </c>
      <c r="J560" s="142">
        <f>0</f>
        <v>0</v>
      </c>
      <c r="K560" s="142">
        <f t="shared" si="51"/>
        <v>0</v>
      </c>
      <c r="L560" s="142">
        <f t="shared" si="52"/>
        <v>0</v>
      </c>
      <c r="Q560" s="155"/>
      <c r="R560" s="142"/>
      <c r="S560" s="142"/>
      <c r="T560" s="142"/>
      <c r="U560" s="142"/>
    </row>
    <row r="561" spans="5:21" x14ac:dyDescent="0.35">
      <c r="E561" s="135">
        <v>549</v>
      </c>
      <c r="F561" s="135">
        <v>1</v>
      </c>
      <c r="G561" s="141">
        <f t="shared" si="48"/>
        <v>23.813582244547764</v>
      </c>
      <c r="H561" s="155">
        <f t="shared" si="49"/>
        <v>0</v>
      </c>
      <c r="I561" s="142">
        <f t="shared" si="50"/>
        <v>0</v>
      </c>
      <c r="J561" s="142">
        <f>0</f>
        <v>0</v>
      </c>
      <c r="K561" s="142">
        <f t="shared" si="51"/>
        <v>136632.93323927111</v>
      </c>
      <c r="L561" s="142">
        <f t="shared" si="52"/>
        <v>136632.93323927111</v>
      </c>
      <c r="T561" s="144"/>
      <c r="U561" s="144"/>
    </row>
    <row r="562" spans="5:21" x14ac:dyDescent="0.35">
      <c r="E562" s="135">
        <v>550</v>
      </c>
      <c r="F562" s="135">
        <v>0</v>
      </c>
      <c r="G562" s="141">
        <f t="shared" si="48"/>
        <v>0</v>
      </c>
      <c r="H562" s="155">
        <f t="shared" si="49"/>
        <v>0</v>
      </c>
      <c r="I562" s="142">
        <f t="shared" si="50"/>
        <v>0</v>
      </c>
      <c r="J562" s="142">
        <f>0</f>
        <v>0</v>
      </c>
      <c r="K562" s="142">
        <f t="shared" si="51"/>
        <v>0</v>
      </c>
      <c r="L562" s="142">
        <f t="shared" si="52"/>
        <v>0</v>
      </c>
      <c r="T562" s="144"/>
      <c r="U562" s="144"/>
    </row>
    <row r="563" spans="5:21" x14ac:dyDescent="0.35">
      <c r="E563" s="135">
        <v>551</v>
      </c>
      <c r="F563" s="135">
        <v>0</v>
      </c>
      <c r="G563" s="141">
        <f t="shared" si="48"/>
        <v>0</v>
      </c>
      <c r="H563" s="155">
        <f t="shared" si="49"/>
        <v>0</v>
      </c>
      <c r="I563" s="142">
        <f t="shared" si="50"/>
        <v>0</v>
      </c>
      <c r="J563" s="142">
        <f>0</f>
        <v>0</v>
      </c>
      <c r="K563" s="142">
        <f t="shared" si="51"/>
        <v>0</v>
      </c>
      <c r="L563" s="142">
        <f t="shared" si="52"/>
        <v>0</v>
      </c>
      <c r="T563" s="144"/>
      <c r="U563" s="144"/>
    </row>
    <row r="564" spans="5:21" x14ac:dyDescent="0.35">
      <c r="E564" s="135">
        <v>552</v>
      </c>
      <c r="F564" s="135">
        <v>0</v>
      </c>
      <c r="G564" s="141">
        <f t="shared" si="48"/>
        <v>0</v>
      </c>
      <c r="H564" s="155">
        <f t="shared" si="49"/>
        <v>0</v>
      </c>
      <c r="I564" s="142">
        <f t="shared" si="50"/>
        <v>0</v>
      </c>
      <c r="J564" s="142">
        <f>0</f>
        <v>0</v>
      </c>
      <c r="K564" s="142">
        <f t="shared" si="51"/>
        <v>0</v>
      </c>
      <c r="L564" s="142">
        <f t="shared" si="52"/>
        <v>0</v>
      </c>
      <c r="T564" s="144"/>
      <c r="U564" s="144"/>
    </row>
    <row r="565" spans="5:21" x14ac:dyDescent="0.35">
      <c r="E565" s="135">
        <v>553</v>
      </c>
      <c r="F565" s="135">
        <v>0</v>
      </c>
      <c r="G565" s="141">
        <f t="shared" si="48"/>
        <v>0</v>
      </c>
      <c r="H565" s="155">
        <f t="shared" si="49"/>
        <v>0</v>
      </c>
      <c r="I565" s="142">
        <f t="shared" si="50"/>
        <v>0</v>
      </c>
      <c r="J565" s="142">
        <f>0</f>
        <v>0</v>
      </c>
      <c r="K565" s="142">
        <f t="shared" si="51"/>
        <v>0</v>
      </c>
      <c r="L565" s="142">
        <f t="shared" si="52"/>
        <v>0</v>
      </c>
      <c r="T565" s="144"/>
      <c r="U565" s="144"/>
    </row>
    <row r="566" spans="5:21" x14ac:dyDescent="0.35">
      <c r="E566" s="135">
        <v>554</v>
      </c>
      <c r="F566" s="135">
        <v>0</v>
      </c>
      <c r="G566" s="141">
        <f t="shared" si="48"/>
        <v>0</v>
      </c>
      <c r="H566" s="155">
        <f t="shared" si="49"/>
        <v>0</v>
      </c>
      <c r="I566" s="142">
        <f t="shared" si="50"/>
        <v>0</v>
      </c>
      <c r="J566" s="142">
        <f>0</f>
        <v>0</v>
      </c>
      <c r="K566" s="142">
        <f t="shared" si="51"/>
        <v>0</v>
      </c>
      <c r="L566" s="142">
        <f t="shared" si="52"/>
        <v>0</v>
      </c>
      <c r="T566" s="144"/>
      <c r="U566" s="144"/>
    </row>
    <row r="567" spans="5:21" x14ac:dyDescent="0.35">
      <c r="E567" s="135">
        <v>555</v>
      </c>
      <c r="F567" s="135">
        <v>0</v>
      </c>
      <c r="G567" s="141">
        <f t="shared" si="48"/>
        <v>0</v>
      </c>
      <c r="H567" s="155">
        <f t="shared" si="49"/>
        <v>0</v>
      </c>
      <c r="I567" s="142">
        <f t="shared" si="50"/>
        <v>0</v>
      </c>
      <c r="J567" s="142">
        <f>0</f>
        <v>0</v>
      </c>
      <c r="K567" s="142">
        <f t="shared" si="51"/>
        <v>0</v>
      </c>
      <c r="L567" s="142">
        <f t="shared" si="52"/>
        <v>0</v>
      </c>
      <c r="T567" s="144"/>
      <c r="U567" s="144"/>
    </row>
    <row r="568" spans="5:21" x14ac:dyDescent="0.35">
      <c r="E568" s="135">
        <v>556</v>
      </c>
      <c r="F568" s="135">
        <v>2</v>
      </c>
      <c r="G568" s="141">
        <f t="shared" si="48"/>
        <v>47.627164489095527</v>
      </c>
      <c r="H568" s="155">
        <f t="shared" si="49"/>
        <v>200</v>
      </c>
      <c r="I568" s="142">
        <f t="shared" si="50"/>
        <v>14500000</v>
      </c>
      <c r="J568" s="142">
        <f>0</f>
        <v>0</v>
      </c>
      <c r="K568" s="142">
        <f t="shared" si="51"/>
        <v>273265.86647854222</v>
      </c>
      <c r="L568" s="142">
        <f t="shared" si="52"/>
        <v>14773265.866478542</v>
      </c>
      <c r="T568" s="144"/>
      <c r="U568" s="144"/>
    </row>
    <row r="569" spans="5:21" x14ac:dyDescent="0.35">
      <c r="E569" s="135">
        <v>557</v>
      </c>
      <c r="F569" s="135">
        <v>0</v>
      </c>
      <c r="G569" s="141">
        <f t="shared" si="48"/>
        <v>0</v>
      </c>
      <c r="H569" s="155">
        <f t="shared" si="49"/>
        <v>0</v>
      </c>
      <c r="I569" s="142">
        <f t="shared" si="50"/>
        <v>0</v>
      </c>
      <c r="J569" s="142">
        <f>0</f>
        <v>0</v>
      </c>
      <c r="K569" s="142">
        <f t="shared" si="51"/>
        <v>0</v>
      </c>
      <c r="L569" s="142">
        <f t="shared" si="52"/>
        <v>0</v>
      </c>
      <c r="T569" s="144"/>
      <c r="U569" s="144"/>
    </row>
    <row r="570" spans="5:21" x14ac:dyDescent="0.35">
      <c r="E570" s="135">
        <v>558</v>
      </c>
      <c r="F570" s="135">
        <v>1</v>
      </c>
      <c r="G570" s="141">
        <f t="shared" si="48"/>
        <v>23.813582244547764</v>
      </c>
      <c r="H570" s="155">
        <f t="shared" si="49"/>
        <v>0</v>
      </c>
      <c r="I570" s="142">
        <f t="shared" si="50"/>
        <v>0</v>
      </c>
      <c r="J570" s="142">
        <f>0</f>
        <v>0</v>
      </c>
      <c r="K570" s="142">
        <f t="shared" si="51"/>
        <v>136632.93323927111</v>
      </c>
      <c r="L570" s="142">
        <f t="shared" si="52"/>
        <v>136632.93323927111</v>
      </c>
      <c r="T570" s="144"/>
      <c r="U570" s="144"/>
    </row>
    <row r="571" spans="5:21" x14ac:dyDescent="0.35">
      <c r="E571" s="135">
        <v>559</v>
      </c>
      <c r="F571" s="135">
        <v>1</v>
      </c>
      <c r="G571" s="141">
        <f t="shared" si="48"/>
        <v>23.813582244547764</v>
      </c>
      <c r="H571" s="155">
        <f t="shared" si="49"/>
        <v>0</v>
      </c>
      <c r="I571" s="142">
        <f t="shared" si="50"/>
        <v>0</v>
      </c>
      <c r="J571" s="142">
        <f>0</f>
        <v>0</v>
      </c>
      <c r="K571" s="142">
        <f t="shared" si="51"/>
        <v>136632.93323927111</v>
      </c>
      <c r="L571" s="142">
        <f t="shared" si="52"/>
        <v>136632.93323927111</v>
      </c>
      <c r="T571" s="144"/>
      <c r="U571" s="144"/>
    </row>
    <row r="572" spans="5:21" x14ac:dyDescent="0.35">
      <c r="E572" s="135">
        <v>560</v>
      </c>
      <c r="F572" s="135">
        <v>0</v>
      </c>
      <c r="G572" s="141">
        <f t="shared" si="48"/>
        <v>0</v>
      </c>
      <c r="H572" s="155">
        <f t="shared" si="49"/>
        <v>0</v>
      </c>
      <c r="I572" s="142">
        <f t="shared" si="50"/>
        <v>0</v>
      </c>
      <c r="J572" s="142">
        <f>0</f>
        <v>0</v>
      </c>
      <c r="K572" s="142">
        <f t="shared" si="51"/>
        <v>0</v>
      </c>
      <c r="L572" s="142">
        <f t="shared" si="52"/>
        <v>0</v>
      </c>
      <c r="T572" s="144"/>
      <c r="U572" s="144"/>
    </row>
    <row r="573" spans="5:21" x14ac:dyDescent="0.35">
      <c r="E573" s="135">
        <v>561</v>
      </c>
      <c r="F573" s="135">
        <v>0</v>
      </c>
      <c r="G573" s="141">
        <f t="shared" si="48"/>
        <v>0</v>
      </c>
      <c r="H573" s="155">
        <f t="shared" si="49"/>
        <v>0</v>
      </c>
      <c r="I573" s="142">
        <f t="shared" si="50"/>
        <v>0</v>
      </c>
      <c r="J573" s="142">
        <f>0</f>
        <v>0</v>
      </c>
      <c r="K573" s="142">
        <f t="shared" si="51"/>
        <v>0</v>
      </c>
      <c r="L573" s="142">
        <f t="shared" si="52"/>
        <v>0</v>
      </c>
      <c r="T573" s="144"/>
      <c r="U573" s="144"/>
    </row>
    <row r="574" spans="5:21" x14ac:dyDescent="0.35">
      <c r="E574" s="135">
        <v>562</v>
      </c>
      <c r="F574" s="135">
        <v>0</v>
      </c>
      <c r="G574" s="141">
        <f t="shared" si="48"/>
        <v>0</v>
      </c>
      <c r="H574" s="155">
        <f t="shared" si="49"/>
        <v>0</v>
      </c>
      <c r="I574" s="142">
        <f t="shared" si="50"/>
        <v>0</v>
      </c>
      <c r="J574" s="142">
        <f>0</f>
        <v>0</v>
      </c>
      <c r="K574" s="142">
        <f t="shared" si="51"/>
        <v>0</v>
      </c>
      <c r="L574" s="142">
        <f t="shared" si="52"/>
        <v>0</v>
      </c>
      <c r="T574" s="144"/>
      <c r="U574" s="144"/>
    </row>
    <row r="575" spans="5:21" x14ac:dyDescent="0.35">
      <c r="E575" s="135">
        <v>563</v>
      </c>
      <c r="F575" s="135">
        <v>0</v>
      </c>
      <c r="G575" s="141">
        <f t="shared" si="48"/>
        <v>0</v>
      </c>
      <c r="H575" s="155">
        <f t="shared" si="49"/>
        <v>0</v>
      </c>
      <c r="I575" s="142">
        <f t="shared" si="50"/>
        <v>0</v>
      </c>
      <c r="J575" s="142">
        <f>0</f>
        <v>0</v>
      </c>
      <c r="K575" s="142">
        <f t="shared" si="51"/>
        <v>0</v>
      </c>
      <c r="L575" s="142">
        <f t="shared" si="52"/>
        <v>0</v>
      </c>
      <c r="T575" s="144"/>
      <c r="U575" s="144"/>
    </row>
    <row r="576" spans="5:21" x14ac:dyDescent="0.35">
      <c r="E576" s="135">
        <v>564</v>
      </c>
      <c r="F576" s="135">
        <v>0</v>
      </c>
      <c r="G576" s="141">
        <f t="shared" si="48"/>
        <v>0</v>
      </c>
      <c r="H576" s="155">
        <f t="shared" si="49"/>
        <v>0</v>
      </c>
      <c r="I576" s="142">
        <f t="shared" si="50"/>
        <v>0</v>
      </c>
      <c r="J576" s="142">
        <f>0</f>
        <v>0</v>
      </c>
      <c r="K576" s="142">
        <f t="shared" si="51"/>
        <v>0</v>
      </c>
      <c r="L576" s="142">
        <f t="shared" si="52"/>
        <v>0</v>
      </c>
      <c r="T576" s="144"/>
      <c r="U576" s="144"/>
    </row>
    <row r="577" spans="5:21" x14ac:dyDescent="0.35">
      <c r="E577" s="135">
        <v>565</v>
      </c>
      <c r="F577" s="135">
        <v>0</v>
      </c>
      <c r="G577" s="141">
        <f t="shared" si="48"/>
        <v>0</v>
      </c>
      <c r="H577" s="155">
        <f t="shared" si="49"/>
        <v>0</v>
      </c>
      <c r="I577" s="142">
        <f t="shared" si="50"/>
        <v>0</v>
      </c>
      <c r="J577" s="142">
        <f>0</f>
        <v>0</v>
      </c>
      <c r="K577" s="142">
        <f t="shared" si="51"/>
        <v>0</v>
      </c>
      <c r="L577" s="142">
        <f t="shared" si="52"/>
        <v>0</v>
      </c>
      <c r="T577" s="144"/>
      <c r="U577" s="144"/>
    </row>
    <row r="578" spans="5:21" x14ac:dyDescent="0.35">
      <c r="E578" s="135">
        <v>566</v>
      </c>
      <c r="F578" s="135">
        <v>1</v>
      </c>
      <c r="G578" s="141">
        <f t="shared" si="48"/>
        <v>23.813582244547764</v>
      </c>
      <c r="H578" s="155">
        <f t="shared" si="49"/>
        <v>0</v>
      </c>
      <c r="I578" s="142">
        <f t="shared" si="50"/>
        <v>0</v>
      </c>
      <c r="J578" s="142">
        <f>0</f>
        <v>0</v>
      </c>
      <c r="K578" s="142">
        <f t="shared" si="51"/>
        <v>136632.93323927111</v>
      </c>
      <c r="L578" s="142">
        <f t="shared" si="52"/>
        <v>136632.93323927111</v>
      </c>
      <c r="T578" s="144"/>
      <c r="U578" s="144"/>
    </row>
    <row r="579" spans="5:21" x14ac:dyDescent="0.35">
      <c r="E579" s="135">
        <v>567</v>
      </c>
      <c r="F579" s="135">
        <v>1</v>
      </c>
      <c r="G579" s="141">
        <f t="shared" si="48"/>
        <v>23.813582244547764</v>
      </c>
      <c r="H579" s="155">
        <f t="shared" si="49"/>
        <v>0</v>
      </c>
      <c r="I579" s="142">
        <f t="shared" si="50"/>
        <v>0</v>
      </c>
      <c r="J579" s="142">
        <f>0</f>
        <v>0</v>
      </c>
      <c r="K579" s="142">
        <f t="shared" si="51"/>
        <v>136632.93323927111</v>
      </c>
      <c r="L579" s="142">
        <f t="shared" si="52"/>
        <v>136632.93323927111</v>
      </c>
      <c r="T579" s="144"/>
      <c r="U579" s="144"/>
    </row>
    <row r="580" spans="5:21" x14ac:dyDescent="0.35">
      <c r="E580" s="135">
        <v>568</v>
      </c>
      <c r="F580" s="135">
        <v>1</v>
      </c>
      <c r="G580" s="141">
        <f t="shared" si="48"/>
        <v>23.813582244547764</v>
      </c>
      <c r="H580" s="155">
        <f t="shared" si="49"/>
        <v>0</v>
      </c>
      <c r="I580" s="142">
        <f t="shared" si="50"/>
        <v>0</v>
      </c>
      <c r="J580" s="142">
        <f>0</f>
        <v>0</v>
      </c>
      <c r="K580" s="142">
        <f t="shared" si="51"/>
        <v>136632.93323927111</v>
      </c>
      <c r="L580" s="142">
        <f t="shared" si="52"/>
        <v>136632.93323927111</v>
      </c>
      <c r="T580" s="144"/>
      <c r="U580" s="144"/>
    </row>
    <row r="581" spans="5:21" x14ac:dyDescent="0.35">
      <c r="E581" s="135">
        <v>569</v>
      </c>
      <c r="F581" s="135">
        <v>0</v>
      </c>
      <c r="G581" s="141">
        <f t="shared" si="48"/>
        <v>0</v>
      </c>
      <c r="H581" s="155">
        <f t="shared" si="49"/>
        <v>0</v>
      </c>
      <c r="I581" s="142">
        <f t="shared" si="50"/>
        <v>0</v>
      </c>
      <c r="J581" s="142">
        <f>0</f>
        <v>0</v>
      </c>
      <c r="K581" s="142">
        <f t="shared" si="51"/>
        <v>0</v>
      </c>
      <c r="L581" s="142">
        <f t="shared" si="52"/>
        <v>0</v>
      </c>
      <c r="T581" s="144"/>
      <c r="U581" s="144"/>
    </row>
    <row r="582" spans="5:21" x14ac:dyDescent="0.35">
      <c r="E582" s="135">
        <v>570</v>
      </c>
      <c r="F582" s="135">
        <v>0</v>
      </c>
      <c r="G582" s="141">
        <f t="shared" si="48"/>
        <v>0</v>
      </c>
      <c r="H582" s="155">
        <f t="shared" si="49"/>
        <v>0</v>
      </c>
      <c r="I582" s="142">
        <f t="shared" si="50"/>
        <v>0</v>
      </c>
      <c r="J582" s="142">
        <f>0</f>
        <v>0</v>
      </c>
      <c r="K582" s="142">
        <f t="shared" si="51"/>
        <v>0</v>
      </c>
      <c r="L582" s="142">
        <f t="shared" si="52"/>
        <v>0</v>
      </c>
      <c r="T582" s="144"/>
      <c r="U582" s="144"/>
    </row>
    <row r="583" spans="5:21" x14ac:dyDescent="0.35">
      <c r="E583" s="135">
        <v>571</v>
      </c>
      <c r="F583" s="135">
        <v>0</v>
      </c>
      <c r="G583" s="141">
        <f t="shared" si="48"/>
        <v>0</v>
      </c>
      <c r="H583" s="155">
        <f t="shared" si="49"/>
        <v>0</v>
      </c>
      <c r="I583" s="142">
        <f t="shared" si="50"/>
        <v>0</v>
      </c>
      <c r="J583" s="142">
        <f>0</f>
        <v>0</v>
      </c>
      <c r="K583" s="142">
        <f t="shared" si="51"/>
        <v>0</v>
      </c>
      <c r="L583" s="142">
        <f t="shared" si="52"/>
        <v>0</v>
      </c>
      <c r="T583" s="144"/>
      <c r="U583" s="144"/>
    </row>
    <row r="584" spans="5:21" x14ac:dyDescent="0.35">
      <c r="E584" s="135">
        <v>572</v>
      </c>
      <c r="F584" s="135">
        <v>0</v>
      </c>
      <c r="G584" s="141">
        <f t="shared" si="48"/>
        <v>0</v>
      </c>
      <c r="H584" s="155">
        <f t="shared" si="49"/>
        <v>0</v>
      </c>
      <c r="I584" s="142">
        <f t="shared" si="50"/>
        <v>0</v>
      </c>
      <c r="J584" s="142">
        <f>0</f>
        <v>0</v>
      </c>
      <c r="K584" s="142">
        <f t="shared" si="51"/>
        <v>0</v>
      </c>
      <c r="L584" s="142">
        <f t="shared" si="52"/>
        <v>0</v>
      </c>
      <c r="T584" s="144"/>
      <c r="U584" s="144"/>
    </row>
    <row r="585" spans="5:21" x14ac:dyDescent="0.35">
      <c r="E585" s="135">
        <v>573</v>
      </c>
      <c r="F585" s="135">
        <v>0</v>
      </c>
      <c r="G585" s="141">
        <f t="shared" si="48"/>
        <v>0</v>
      </c>
      <c r="H585" s="155">
        <f t="shared" si="49"/>
        <v>0</v>
      </c>
      <c r="I585" s="142">
        <f t="shared" si="50"/>
        <v>0</v>
      </c>
      <c r="J585" s="142">
        <f>0</f>
        <v>0</v>
      </c>
      <c r="K585" s="142">
        <f t="shared" si="51"/>
        <v>0</v>
      </c>
      <c r="L585" s="142">
        <f t="shared" si="52"/>
        <v>0</v>
      </c>
      <c r="T585" s="144"/>
      <c r="U585" s="144"/>
    </row>
    <row r="586" spans="5:21" x14ac:dyDescent="0.35">
      <c r="E586" s="135">
        <v>574</v>
      </c>
      <c r="F586" s="135">
        <v>1</v>
      </c>
      <c r="G586" s="141">
        <f t="shared" si="48"/>
        <v>23.813582244547764</v>
      </c>
      <c r="H586" s="155">
        <f t="shared" si="49"/>
        <v>0</v>
      </c>
      <c r="I586" s="142">
        <f t="shared" si="50"/>
        <v>0</v>
      </c>
      <c r="J586" s="142">
        <f>0</f>
        <v>0</v>
      </c>
      <c r="K586" s="142">
        <f t="shared" si="51"/>
        <v>136632.93323927111</v>
      </c>
      <c r="L586" s="142">
        <f t="shared" si="52"/>
        <v>136632.93323927111</v>
      </c>
      <c r="T586" s="144"/>
      <c r="U586" s="144"/>
    </row>
    <row r="587" spans="5:21" x14ac:dyDescent="0.35">
      <c r="E587" s="135">
        <v>575</v>
      </c>
      <c r="F587" s="135">
        <v>0</v>
      </c>
      <c r="G587" s="141">
        <f t="shared" si="48"/>
        <v>0</v>
      </c>
      <c r="H587" s="155">
        <f t="shared" si="49"/>
        <v>0</v>
      </c>
      <c r="I587" s="142">
        <f t="shared" si="50"/>
        <v>0</v>
      </c>
      <c r="J587" s="142">
        <f>0</f>
        <v>0</v>
      </c>
      <c r="K587" s="142">
        <f t="shared" si="51"/>
        <v>0</v>
      </c>
      <c r="L587" s="142">
        <f t="shared" si="52"/>
        <v>0</v>
      </c>
      <c r="T587" s="144"/>
      <c r="U587" s="144"/>
    </row>
    <row r="588" spans="5:21" x14ac:dyDescent="0.35">
      <c r="E588" s="135">
        <v>576</v>
      </c>
      <c r="F588" s="135">
        <v>1</v>
      </c>
      <c r="G588" s="141">
        <f t="shared" si="48"/>
        <v>23.813582244547764</v>
      </c>
      <c r="H588" s="155">
        <f t="shared" si="49"/>
        <v>0</v>
      </c>
      <c r="I588" s="142">
        <f t="shared" si="50"/>
        <v>0</v>
      </c>
      <c r="J588" s="142">
        <f>0</f>
        <v>0</v>
      </c>
      <c r="K588" s="142">
        <f t="shared" si="51"/>
        <v>136632.93323927111</v>
      </c>
      <c r="L588" s="142">
        <f t="shared" si="52"/>
        <v>136632.93323927111</v>
      </c>
      <c r="T588" s="144"/>
      <c r="U588" s="144"/>
    </row>
    <row r="589" spans="5:21" x14ac:dyDescent="0.35">
      <c r="E589" s="135">
        <v>577</v>
      </c>
      <c r="F589" s="135">
        <v>0</v>
      </c>
      <c r="G589" s="141">
        <f t="shared" ref="G589:G652" si="53">F589*$C$9</f>
        <v>0</v>
      </c>
      <c r="H589" s="155">
        <f t="shared" ref="H589:H652" si="54">IF(F589 &gt; 1,$C$13*20000,0)</f>
        <v>0</v>
      </c>
      <c r="I589" s="142">
        <f t="shared" ref="I589:I652" si="55">IF(F589 &gt; 1,$C$4,0)</f>
        <v>0</v>
      </c>
      <c r="J589" s="142">
        <f>0</f>
        <v>0</v>
      </c>
      <c r="K589" s="142">
        <f t="shared" ref="K589:K652" si="56">F589*$C$5</f>
        <v>0</v>
      </c>
      <c r="L589" s="142">
        <f t="shared" ref="L589:L652" si="57">J589+I589+K589</f>
        <v>0</v>
      </c>
      <c r="T589" s="144"/>
      <c r="U589" s="144"/>
    </row>
    <row r="590" spans="5:21" x14ac:dyDescent="0.35">
      <c r="E590" s="135">
        <v>578</v>
      </c>
      <c r="F590" s="135">
        <v>0</v>
      </c>
      <c r="G590" s="141">
        <f t="shared" si="53"/>
        <v>0</v>
      </c>
      <c r="H590" s="155">
        <f t="shared" si="54"/>
        <v>0</v>
      </c>
      <c r="I590" s="142">
        <f t="shared" si="55"/>
        <v>0</v>
      </c>
      <c r="J590" s="142">
        <f>0</f>
        <v>0</v>
      </c>
      <c r="K590" s="142">
        <f t="shared" si="56"/>
        <v>0</v>
      </c>
      <c r="L590" s="142">
        <f t="shared" si="57"/>
        <v>0</v>
      </c>
      <c r="T590" s="144"/>
      <c r="U590" s="144"/>
    </row>
    <row r="591" spans="5:21" x14ac:dyDescent="0.35">
      <c r="E591" s="135">
        <v>579</v>
      </c>
      <c r="F591" s="135">
        <v>0</v>
      </c>
      <c r="G591" s="141">
        <f t="shared" si="53"/>
        <v>0</v>
      </c>
      <c r="H591" s="155">
        <f t="shared" si="54"/>
        <v>0</v>
      </c>
      <c r="I591" s="142">
        <f t="shared" si="55"/>
        <v>0</v>
      </c>
      <c r="J591" s="142">
        <f>0</f>
        <v>0</v>
      </c>
      <c r="K591" s="142">
        <f t="shared" si="56"/>
        <v>0</v>
      </c>
      <c r="L591" s="142">
        <f t="shared" si="57"/>
        <v>0</v>
      </c>
      <c r="T591" s="144"/>
      <c r="U591" s="144"/>
    </row>
    <row r="592" spans="5:21" x14ac:dyDescent="0.35">
      <c r="E592" s="135">
        <v>580</v>
      </c>
      <c r="F592" s="135">
        <v>1</v>
      </c>
      <c r="G592" s="141">
        <f t="shared" si="53"/>
        <v>23.813582244547764</v>
      </c>
      <c r="H592" s="155">
        <f t="shared" si="54"/>
        <v>0</v>
      </c>
      <c r="I592" s="142">
        <f t="shared" si="55"/>
        <v>0</v>
      </c>
      <c r="J592" s="142">
        <f>0</f>
        <v>0</v>
      </c>
      <c r="K592" s="142">
        <f t="shared" si="56"/>
        <v>136632.93323927111</v>
      </c>
      <c r="L592" s="142">
        <f t="shared" si="57"/>
        <v>136632.93323927111</v>
      </c>
      <c r="T592" s="144"/>
      <c r="U592" s="144"/>
    </row>
    <row r="593" spans="5:21" x14ac:dyDescent="0.35">
      <c r="E593" s="135">
        <v>581</v>
      </c>
      <c r="F593" s="135">
        <v>0</v>
      </c>
      <c r="G593" s="141">
        <f t="shared" si="53"/>
        <v>0</v>
      </c>
      <c r="H593" s="155">
        <f t="shared" si="54"/>
        <v>0</v>
      </c>
      <c r="I593" s="142">
        <f t="shared" si="55"/>
        <v>0</v>
      </c>
      <c r="J593" s="142">
        <f>0</f>
        <v>0</v>
      </c>
      <c r="K593" s="142">
        <f t="shared" si="56"/>
        <v>0</v>
      </c>
      <c r="L593" s="142">
        <f t="shared" si="57"/>
        <v>0</v>
      </c>
      <c r="T593" s="144"/>
      <c r="U593" s="144"/>
    </row>
    <row r="594" spans="5:21" x14ac:dyDescent="0.35">
      <c r="E594" s="135">
        <v>582</v>
      </c>
      <c r="F594" s="135">
        <v>0</v>
      </c>
      <c r="G594" s="141">
        <f t="shared" si="53"/>
        <v>0</v>
      </c>
      <c r="H594" s="155">
        <f t="shared" si="54"/>
        <v>0</v>
      </c>
      <c r="I594" s="142">
        <f t="shared" si="55"/>
        <v>0</v>
      </c>
      <c r="J594" s="142">
        <f>0</f>
        <v>0</v>
      </c>
      <c r="K594" s="142">
        <f t="shared" si="56"/>
        <v>0</v>
      </c>
      <c r="L594" s="142">
        <f t="shared" si="57"/>
        <v>0</v>
      </c>
      <c r="T594" s="144"/>
      <c r="U594" s="144"/>
    </row>
    <row r="595" spans="5:21" x14ac:dyDescent="0.35">
      <c r="E595" s="135">
        <v>583</v>
      </c>
      <c r="F595" s="135">
        <v>2</v>
      </c>
      <c r="G595" s="141">
        <f t="shared" si="53"/>
        <v>47.627164489095527</v>
      </c>
      <c r="H595" s="155">
        <f t="shared" si="54"/>
        <v>200</v>
      </c>
      <c r="I595" s="142">
        <f t="shared" si="55"/>
        <v>14500000</v>
      </c>
      <c r="J595" s="142">
        <f>0</f>
        <v>0</v>
      </c>
      <c r="K595" s="142">
        <f t="shared" si="56"/>
        <v>273265.86647854222</v>
      </c>
      <c r="L595" s="142">
        <f t="shared" si="57"/>
        <v>14773265.866478542</v>
      </c>
      <c r="T595" s="144"/>
      <c r="U595" s="144"/>
    </row>
    <row r="596" spans="5:21" x14ac:dyDescent="0.35">
      <c r="E596" s="135">
        <v>584</v>
      </c>
      <c r="F596" s="135">
        <v>0</v>
      </c>
      <c r="G596" s="141">
        <f t="shared" si="53"/>
        <v>0</v>
      </c>
      <c r="H596" s="155">
        <f t="shared" si="54"/>
        <v>0</v>
      </c>
      <c r="I596" s="142">
        <f t="shared" si="55"/>
        <v>0</v>
      </c>
      <c r="J596" s="142">
        <f>0</f>
        <v>0</v>
      </c>
      <c r="K596" s="142">
        <f t="shared" si="56"/>
        <v>0</v>
      </c>
      <c r="L596" s="142">
        <f t="shared" si="57"/>
        <v>0</v>
      </c>
      <c r="T596" s="144"/>
      <c r="U596" s="144"/>
    </row>
    <row r="597" spans="5:21" x14ac:dyDescent="0.35">
      <c r="E597" s="135">
        <v>585</v>
      </c>
      <c r="F597" s="135">
        <v>2</v>
      </c>
      <c r="G597" s="141">
        <f t="shared" si="53"/>
        <v>47.627164489095527</v>
      </c>
      <c r="H597" s="155">
        <f t="shared" si="54"/>
        <v>200</v>
      </c>
      <c r="I597" s="142">
        <f t="shared" si="55"/>
        <v>14500000</v>
      </c>
      <c r="J597" s="142">
        <f>0</f>
        <v>0</v>
      </c>
      <c r="K597" s="142">
        <f t="shared" si="56"/>
        <v>273265.86647854222</v>
      </c>
      <c r="L597" s="142">
        <f t="shared" si="57"/>
        <v>14773265.866478542</v>
      </c>
      <c r="T597" s="144"/>
      <c r="U597" s="144"/>
    </row>
    <row r="598" spans="5:21" x14ac:dyDescent="0.35">
      <c r="E598" s="135">
        <v>586</v>
      </c>
      <c r="F598" s="135">
        <v>0</v>
      </c>
      <c r="G598" s="141">
        <f t="shared" si="53"/>
        <v>0</v>
      </c>
      <c r="H598" s="155">
        <f t="shared" si="54"/>
        <v>0</v>
      </c>
      <c r="I598" s="142">
        <f t="shared" si="55"/>
        <v>0</v>
      </c>
      <c r="J598" s="142">
        <f>0</f>
        <v>0</v>
      </c>
      <c r="K598" s="142">
        <f t="shared" si="56"/>
        <v>0</v>
      </c>
      <c r="L598" s="142">
        <f t="shared" si="57"/>
        <v>0</v>
      </c>
      <c r="T598" s="144"/>
      <c r="U598" s="144"/>
    </row>
    <row r="599" spans="5:21" x14ac:dyDescent="0.35">
      <c r="E599" s="135">
        <v>587</v>
      </c>
      <c r="F599" s="135">
        <v>0</v>
      </c>
      <c r="G599" s="141">
        <f t="shared" si="53"/>
        <v>0</v>
      </c>
      <c r="H599" s="155">
        <f t="shared" si="54"/>
        <v>0</v>
      </c>
      <c r="I599" s="142">
        <f t="shared" si="55"/>
        <v>0</v>
      </c>
      <c r="J599" s="142">
        <f>0</f>
        <v>0</v>
      </c>
      <c r="K599" s="142">
        <f t="shared" si="56"/>
        <v>0</v>
      </c>
      <c r="L599" s="142">
        <f t="shared" si="57"/>
        <v>0</v>
      </c>
      <c r="T599" s="144"/>
      <c r="U599" s="144"/>
    </row>
    <row r="600" spans="5:21" x14ac:dyDescent="0.35">
      <c r="E600" s="135">
        <v>588</v>
      </c>
      <c r="F600" s="135">
        <v>0</v>
      </c>
      <c r="G600" s="141">
        <f t="shared" si="53"/>
        <v>0</v>
      </c>
      <c r="H600" s="155">
        <f t="shared" si="54"/>
        <v>0</v>
      </c>
      <c r="I600" s="142">
        <f t="shared" si="55"/>
        <v>0</v>
      </c>
      <c r="J600" s="142">
        <f>0</f>
        <v>0</v>
      </c>
      <c r="K600" s="142">
        <f t="shared" si="56"/>
        <v>0</v>
      </c>
      <c r="L600" s="142">
        <f t="shared" si="57"/>
        <v>0</v>
      </c>
      <c r="T600" s="144"/>
      <c r="U600" s="144"/>
    </row>
    <row r="601" spans="5:21" x14ac:dyDescent="0.35">
      <c r="E601" s="135">
        <v>589</v>
      </c>
      <c r="F601" s="135">
        <v>0</v>
      </c>
      <c r="G601" s="141">
        <f t="shared" si="53"/>
        <v>0</v>
      </c>
      <c r="H601" s="155">
        <f t="shared" si="54"/>
        <v>0</v>
      </c>
      <c r="I601" s="142">
        <f t="shared" si="55"/>
        <v>0</v>
      </c>
      <c r="J601" s="142">
        <f>0</f>
        <v>0</v>
      </c>
      <c r="K601" s="142">
        <f t="shared" si="56"/>
        <v>0</v>
      </c>
      <c r="L601" s="142">
        <f t="shared" si="57"/>
        <v>0</v>
      </c>
      <c r="T601" s="144"/>
      <c r="U601" s="144"/>
    </row>
    <row r="602" spans="5:21" x14ac:dyDescent="0.35">
      <c r="E602" s="135">
        <v>590</v>
      </c>
      <c r="F602" s="135">
        <v>0</v>
      </c>
      <c r="G602" s="141">
        <f t="shared" si="53"/>
        <v>0</v>
      </c>
      <c r="H602" s="155">
        <f t="shared" si="54"/>
        <v>0</v>
      </c>
      <c r="I602" s="142">
        <f t="shared" si="55"/>
        <v>0</v>
      </c>
      <c r="J602" s="142">
        <f>0</f>
        <v>0</v>
      </c>
      <c r="K602" s="142">
        <f t="shared" si="56"/>
        <v>0</v>
      </c>
      <c r="L602" s="142">
        <f t="shared" si="57"/>
        <v>0</v>
      </c>
      <c r="T602" s="144"/>
      <c r="U602" s="144"/>
    </row>
    <row r="603" spans="5:21" x14ac:dyDescent="0.35">
      <c r="E603" s="135">
        <v>591</v>
      </c>
      <c r="F603" s="135">
        <v>0</v>
      </c>
      <c r="G603" s="141">
        <f t="shared" si="53"/>
        <v>0</v>
      </c>
      <c r="H603" s="155">
        <f t="shared" si="54"/>
        <v>0</v>
      </c>
      <c r="I603" s="142">
        <f t="shared" si="55"/>
        <v>0</v>
      </c>
      <c r="J603" s="142">
        <f>0</f>
        <v>0</v>
      </c>
      <c r="K603" s="142">
        <f t="shared" si="56"/>
        <v>0</v>
      </c>
      <c r="L603" s="142">
        <f t="shared" si="57"/>
        <v>0</v>
      </c>
      <c r="T603" s="144"/>
      <c r="U603" s="144"/>
    </row>
    <row r="604" spans="5:21" x14ac:dyDescent="0.35">
      <c r="E604" s="135">
        <v>592</v>
      </c>
      <c r="F604" s="135">
        <v>0</v>
      </c>
      <c r="G604" s="141">
        <f t="shared" si="53"/>
        <v>0</v>
      </c>
      <c r="H604" s="155">
        <f t="shared" si="54"/>
        <v>0</v>
      </c>
      <c r="I604" s="142">
        <f t="shared" si="55"/>
        <v>0</v>
      </c>
      <c r="J604" s="142">
        <f>0</f>
        <v>0</v>
      </c>
      <c r="K604" s="142">
        <f t="shared" si="56"/>
        <v>0</v>
      </c>
      <c r="L604" s="142">
        <f t="shared" si="57"/>
        <v>0</v>
      </c>
      <c r="T604" s="144"/>
      <c r="U604" s="144"/>
    </row>
    <row r="605" spans="5:21" x14ac:dyDescent="0.35">
      <c r="E605" s="135">
        <v>593</v>
      </c>
      <c r="F605" s="135">
        <v>0</v>
      </c>
      <c r="G605" s="141">
        <f t="shared" si="53"/>
        <v>0</v>
      </c>
      <c r="H605" s="155">
        <f t="shared" si="54"/>
        <v>0</v>
      </c>
      <c r="I605" s="142">
        <f t="shared" si="55"/>
        <v>0</v>
      </c>
      <c r="J605" s="142">
        <f>0</f>
        <v>0</v>
      </c>
      <c r="K605" s="142">
        <f t="shared" si="56"/>
        <v>0</v>
      </c>
      <c r="L605" s="142">
        <f t="shared" si="57"/>
        <v>0</v>
      </c>
      <c r="T605" s="144"/>
      <c r="U605" s="144"/>
    </row>
    <row r="606" spans="5:21" x14ac:dyDescent="0.35">
      <c r="E606" s="135">
        <v>594</v>
      </c>
      <c r="F606" s="135">
        <v>0</v>
      </c>
      <c r="G606" s="141">
        <f t="shared" si="53"/>
        <v>0</v>
      </c>
      <c r="H606" s="155">
        <f t="shared" si="54"/>
        <v>0</v>
      </c>
      <c r="I606" s="142">
        <f t="shared" si="55"/>
        <v>0</v>
      </c>
      <c r="J606" s="142">
        <f>0</f>
        <v>0</v>
      </c>
      <c r="K606" s="142">
        <f t="shared" si="56"/>
        <v>0</v>
      </c>
      <c r="L606" s="142">
        <f t="shared" si="57"/>
        <v>0</v>
      </c>
      <c r="T606" s="144"/>
      <c r="U606" s="144"/>
    </row>
    <row r="607" spans="5:21" x14ac:dyDescent="0.35">
      <c r="E607" s="135">
        <v>595</v>
      </c>
      <c r="F607" s="135">
        <v>2</v>
      </c>
      <c r="G607" s="141">
        <f t="shared" si="53"/>
        <v>47.627164489095527</v>
      </c>
      <c r="H607" s="155">
        <f t="shared" si="54"/>
        <v>200</v>
      </c>
      <c r="I607" s="142">
        <f t="shared" si="55"/>
        <v>14500000</v>
      </c>
      <c r="J607" s="142">
        <f>0</f>
        <v>0</v>
      </c>
      <c r="K607" s="142">
        <f t="shared" si="56"/>
        <v>273265.86647854222</v>
      </c>
      <c r="L607" s="142">
        <f t="shared" si="57"/>
        <v>14773265.866478542</v>
      </c>
      <c r="T607" s="144"/>
      <c r="U607" s="144"/>
    </row>
    <row r="608" spans="5:21" x14ac:dyDescent="0.35">
      <c r="E608" s="135">
        <v>596</v>
      </c>
      <c r="F608" s="135">
        <v>0</v>
      </c>
      <c r="G608" s="141">
        <f t="shared" si="53"/>
        <v>0</v>
      </c>
      <c r="H608" s="155">
        <f t="shared" si="54"/>
        <v>0</v>
      </c>
      <c r="I608" s="142">
        <f t="shared" si="55"/>
        <v>0</v>
      </c>
      <c r="J608" s="142">
        <f>0</f>
        <v>0</v>
      </c>
      <c r="K608" s="142">
        <f t="shared" si="56"/>
        <v>0</v>
      </c>
      <c r="L608" s="142">
        <f t="shared" si="57"/>
        <v>0</v>
      </c>
      <c r="T608" s="144"/>
      <c r="U608" s="144"/>
    </row>
    <row r="609" spans="5:21" x14ac:dyDescent="0.35">
      <c r="E609" s="135">
        <v>597</v>
      </c>
      <c r="F609" s="135">
        <v>0</v>
      </c>
      <c r="G609" s="141">
        <f t="shared" si="53"/>
        <v>0</v>
      </c>
      <c r="H609" s="155">
        <f t="shared" si="54"/>
        <v>0</v>
      </c>
      <c r="I609" s="142">
        <f t="shared" si="55"/>
        <v>0</v>
      </c>
      <c r="J609" s="142">
        <f>0</f>
        <v>0</v>
      </c>
      <c r="K609" s="142">
        <f t="shared" si="56"/>
        <v>0</v>
      </c>
      <c r="L609" s="142">
        <f t="shared" si="57"/>
        <v>0</v>
      </c>
      <c r="T609" s="144"/>
      <c r="U609" s="144"/>
    </row>
    <row r="610" spans="5:21" x14ac:dyDescent="0.35">
      <c r="E610" s="135">
        <v>598</v>
      </c>
      <c r="F610" s="135">
        <v>0</v>
      </c>
      <c r="G610" s="141">
        <f t="shared" si="53"/>
        <v>0</v>
      </c>
      <c r="H610" s="155">
        <f t="shared" si="54"/>
        <v>0</v>
      </c>
      <c r="I610" s="142">
        <f t="shared" si="55"/>
        <v>0</v>
      </c>
      <c r="J610" s="142">
        <f>0</f>
        <v>0</v>
      </c>
      <c r="K610" s="142">
        <f t="shared" si="56"/>
        <v>0</v>
      </c>
      <c r="L610" s="142">
        <f t="shared" si="57"/>
        <v>0</v>
      </c>
      <c r="T610" s="144"/>
      <c r="U610" s="144"/>
    </row>
    <row r="611" spans="5:21" x14ac:dyDescent="0.35">
      <c r="E611" s="135">
        <v>599</v>
      </c>
      <c r="F611" s="135">
        <v>0</v>
      </c>
      <c r="G611" s="141">
        <f t="shared" si="53"/>
        <v>0</v>
      </c>
      <c r="H611" s="155">
        <f t="shared" si="54"/>
        <v>0</v>
      </c>
      <c r="I611" s="142">
        <f t="shared" si="55"/>
        <v>0</v>
      </c>
      <c r="J611" s="142">
        <f>0</f>
        <v>0</v>
      </c>
      <c r="K611" s="142">
        <f t="shared" si="56"/>
        <v>0</v>
      </c>
      <c r="L611" s="142">
        <f t="shared" si="57"/>
        <v>0</v>
      </c>
      <c r="T611" s="144"/>
      <c r="U611" s="144"/>
    </row>
    <row r="612" spans="5:21" x14ac:dyDescent="0.35">
      <c r="E612" s="135">
        <v>600</v>
      </c>
      <c r="F612" s="135">
        <v>0</v>
      </c>
      <c r="G612" s="141">
        <f t="shared" si="53"/>
        <v>0</v>
      </c>
      <c r="H612" s="155">
        <f t="shared" si="54"/>
        <v>0</v>
      </c>
      <c r="I612" s="142">
        <f t="shared" si="55"/>
        <v>0</v>
      </c>
      <c r="J612" s="142">
        <f>0</f>
        <v>0</v>
      </c>
      <c r="K612" s="142">
        <f t="shared" si="56"/>
        <v>0</v>
      </c>
      <c r="L612" s="142">
        <f t="shared" si="57"/>
        <v>0</v>
      </c>
      <c r="T612" s="144"/>
      <c r="U612" s="144"/>
    </row>
    <row r="613" spans="5:21" x14ac:dyDescent="0.35">
      <c r="E613" s="135">
        <v>601</v>
      </c>
      <c r="F613" s="135">
        <v>1</v>
      </c>
      <c r="G613" s="141">
        <f t="shared" si="53"/>
        <v>23.813582244547764</v>
      </c>
      <c r="H613" s="155">
        <f t="shared" si="54"/>
        <v>0</v>
      </c>
      <c r="I613" s="142">
        <f t="shared" si="55"/>
        <v>0</v>
      </c>
      <c r="J613" s="142">
        <f>0</f>
        <v>0</v>
      </c>
      <c r="K613" s="142">
        <f t="shared" si="56"/>
        <v>136632.93323927111</v>
      </c>
      <c r="L613" s="142">
        <f t="shared" si="57"/>
        <v>136632.93323927111</v>
      </c>
      <c r="T613" s="144"/>
      <c r="U613" s="144"/>
    </row>
    <row r="614" spans="5:21" x14ac:dyDescent="0.35">
      <c r="E614" s="135">
        <v>602</v>
      </c>
      <c r="F614" s="135">
        <v>1</v>
      </c>
      <c r="G614" s="141">
        <f t="shared" si="53"/>
        <v>23.813582244547764</v>
      </c>
      <c r="H614" s="155">
        <f t="shared" si="54"/>
        <v>0</v>
      </c>
      <c r="I614" s="142">
        <f t="shared" si="55"/>
        <v>0</v>
      </c>
      <c r="J614" s="142">
        <f>0</f>
        <v>0</v>
      </c>
      <c r="K614" s="142">
        <f t="shared" si="56"/>
        <v>136632.93323927111</v>
      </c>
      <c r="L614" s="142">
        <f t="shared" si="57"/>
        <v>136632.93323927111</v>
      </c>
      <c r="T614" s="144"/>
      <c r="U614" s="144"/>
    </row>
    <row r="615" spans="5:21" x14ac:dyDescent="0.35">
      <c r="E615" s="135">
        <v>603</v>
      </c>
      <c r="F615" s="135">
        <v>0</v>
      </c>
      <c r="G615" s="141">
        <f t="shared" si="53"/>
        <v>0</v>
      </c>
      <c r="H615" s="155">
        <f t="shared" si="54"/>
        <v>0</v>
      </c>
      <c r="I615" s="142">
        <f t="shared" si="55"/>
        <v>0</v>
      </c>
      <c r="J615" s="142">
        <f>0</f>
        <v>0</v>
      </c>
      <c r="K615" s="142">
        <f t="shared" si="56"/>
        <v>0</v>
      </c>
      <c r="L615" s="142">
        <f t="shared" si="57"/>
        <v>0</v>
      </c>
      <c r="T615" s="144"/>
      <c r="U615" s="144"/>
    </row>
    <row r="616" spans="5:21" x14ac:dyDescent="0.35">
      <c r="E616" s="135">
        <v>604</v>
      </c>
      <c r="F616" s="135">
        <v>0</v>
      </c>
      <c r="G616" s="141">
        <f t="shared" si="53"/>
        <v>0</v>
      </c>
      <c r="H616" s="155">
        <f t="shared" si="54"/>
        <v>0</v>
      </c>
      <c r="I616" s="142">
        <f t="shared" si="55"/>
        <v>0</v>
      </c>
      <c r="J616" s="142">
        <f>0</f>
        <v>0</v>
      </c>
      <c r="K616" s="142">
        <f t="shared" si="56"/>
        <v>0</v>
      </c>
      <c r="L616" s="142">
        <f t="shared" si="57"/>
        <v>0</v>
      </c>
      <c r="T616" s="144"/>
      <c r="U616" s="144"/>
    </row>
    <row r="617" spans="5:21" x14ac:dyDescent="0.35">
      <c r="E617" s="135">
        <v>605</v>
      </c>
      <c r="F617" s="135">
        <v>0</v>
      </c>
      <c r="G617" s="141">
        <f t="shared" si="53"/>
        <v>0</v>
      </c>
      <c r="H617" s="155">
        <f t="shared" si="54"/>
        <v>0</v>
      </c>
      <c r="I617" s="142">
        <f t="shared" si="55"/>
        <v>0</v>
      </c>
      <c r="J617" s="142">
        <f>0</f>
        <v>0</v>
      </c>
      <c r="K617" s="142">
        <f t="shared" si="56"/>
        <v>0</v>
      </c>
      <c r="L617" s="142">
        <f t="shared" si="57"/>
        <v>0</v>
      </c>
      <c r="T617" s="144"/>
      <c r="U617" s="144"/>
    </row>
    <row r="618" spans="5:21" x14ac:dyDescent="0.35">
      <c r="E618" s="135">
        <v>606</v>
      </c>
      <c r="F618" s="135">
        <v>0</v>
      </c>
      <c r="G618" s="141">
        <f t="shared" si="53"/>
        <v>0</v>
      </c>
      <c r="H618" s="155">
        <f t="shared" si="54"/>
        <v>0</v>
      </c>
      <c r="I618" s="142">
        <f t="shared" si="55"/>
        <v>0</v>
      </c>
      <c r="J618" s="142">
        <f>0</f>
        <v>0</v>
      </c>
      <c r="K618" s="142">
        <f t="shared" si="56"/>
        <v>0</v>
      </c>
      <c r="L618" s="142">
        <f t="shared" si="57"/>
        <v>0</v>
      </c>
      <c r="T618" s="144"/>
      <c r="U618" s="144"/>
    </row>
    <row r="619" spans="5:21" x14ac:dyDescent="0.35">
      <c r="E619" s="135">
        <v>607</v>
      </c>
      <c r="F619" s="135">
        <v>0</v>
      </c>
      <c r="G619" s="141">
        <f t="shared" si="53"/>
        <v>0</v>
      </c>
      <c r="H619" s="155">
        <f t="shared" si="54"/>
        <v>0</v>
      </c>
      <c r="I619" s="142">
        <f t="shared" si="55"/>
        <v>0</v>
      </c>
      <c r="J619" s="142">
        <f>0</f>
        <v>0</v>
      </c>
      <c r="K619" s="142">
        <f t="shared" si="56"/>
        <v>0</v>
      </c>
      <c r="L619" s="142">
        <f t="shared" si="57"/>
        <v>0</v>
      </c>
      <c r="T619" s="144"/>
      <c r="U619" s="144"/>
    </row>
    <row r="620" spans="5:21" x14ac:dyDescent="0.35">
      <c r="E620" s="135">
        <v>608</v>
      </c>
      <c r="F620" s="135">
        <v>0</v>
      </c>
      <c r="G620" s="141">
        <f t="shared" si="53"/>
        <v>0</v>
      </c>
      <c r="H620" s="155">
        <f t="shared" si="54"/>
        <v>0</v>
      </c>
      <c r="I620" s="142">
        <f t="shared" si="55"/>
        <v>0</v>
      </c>
      <c r="J620" s="142">
        <f>0</f>
        <v>0</v>
      </c>
      <c r="K620" s="142">
        <f t="shared" si="56"/>
        <v>0</v>
      </c>
      <c r="L620" s="142">
        <f t="shared" si="57"/>
        <v>0</v>
      </c>
      <c r="T620" s="144"/>
      <c r="U620" s="144"/>
    </row>
    <row r="621" spans="5:21" x14ac:dyDescent="0.35">
      <c r="E621" s="135">
        <v>609</v>
      </c>
      <c r="F621" s="135">
        <v>2</v>
      </c>
      <c r="G621" s="141">
        <f t="shared" si="53"/>
        <v>47.627164489095527</v>
      </c>
      <c r="H621" s="155">
        <f t="shared" si="54"/>
        <v>200</v>
      </c>
      <c r="I621" s="142">
        <f t="shared" si="55"/>
        <v>14500000</v>
      </c>
      <c r="J621" s="142">
        <f>0</f>
        <v>0</v>
      </c>
      <c r="K621" s="142">
        <f t="shared" si="56"/>
        <v>273265.86647854222</v>
      </c>
      <c r="L621" s="142">
        <f t="shared" si="57"/>
        <v>14773265.866478542</v>
      </c>
      <c r="T621" s="144"/>
      <c r="U621" s="144"/>
    </row>
    <row r="622" spans="5:21" x14ac:dyDescent="0.35">
      <c r="E622" s="135">
        <v>610</v>
      </c>
      <c r="F622" s="135">
        <v>0</v>
      </c>
      <c r="G622" s="141">
        <f t="shared" si="53"/>
        <v>0</v>
      </c>
      <c r="H622" s="155">
        <f t="shared" si="54"/>
        <v>0</v>
      </c>
      <c r="I622" s="142">
        <f t="shared" si="55"/>
        <v>0</v>
      </c>
      <c r="J622" s="142">
        <f>0</f>
        <v>0</v>
      </c>
      <c r="K622" s="142">
        <f t="shared" si="56"/>
        <v>0</v>
      </c>
      <c r="L622" s="142">
        <f t="shared" si="57"/>
        <v>0</v>
      </c>
      <c r="T622" s="144"/>
      <c r="U622" s="144"/>
    </row>
    <row r="623" spans="5:21" x14ac:dyDescent="0.35">
      <c r="E623" s="135">
        <v>611</v>
      </c>
      <c r="F623" s="135">
        <v>0</v>
      </c>
      <c r="G623" s="141">
        <f t="shared" si="53"/>
        <v>0</v>
      </c>
      <c r="H623" s="155">
        <f t="shared" si="54"/>
        <v>0</v>
      </c>
      <c r="I623" s="142">
        <f t="shared" si="55"/>
        <v>0</v>
      </c>
      <c r="J623" s="142">
        <f>0</f>
        <v>0</v>
      </c>
      <c r="K623" s="142">
        <f t="shared" si="56"/>
        <v>0</v>
      </c>
      <c r="L623" s="142">
        <f t="shared" si="57"/>
        <v>0</v>
      </c>
      <c r="T623" s="144"/>
      <c r="U623" s="144"/>
    </row>
    <row r="624" spans="5:21" x14ac:dyDescent="0.35">
      <c r="E624" s="135">
        <v>612</v>
      </c>
      <c r="F624" s="135">
        <v>0</v>
      </c>
      <c r="G624" s="141">
        <f t="shared" si="53"/>
        <v>0</v>
      </c>
      <c r="H624" s="155">
        <f t="shared" si="54"/>
        <v>0</v>
      </c>
      <c r="I624" s="142">
        <f t="shared" si="55"/>
        <v>0</v>
      </c>
      <c r="J624" s="142">
        <f>0</f>
        <v>0</v>
      </c>
      <c r="K624" s="142">
        <f t="shared" si="56"/>
        <v>0</v>
      </c>
      <c r="L624" s="142">
        <f t="shared" si="57"/>
        <v>0</v>
      </c>
      <c r="T624" s="144"/>
      <c r="U624" s="144"/>
    </row>
    <row r="625" spans="5:21" x14ac:dyDescent="0.35">
      <c r="E625" s="135">
        <v>613</v>
      </c>
      <c r="F625" s="135">
        <v>0</v>
      </c>
      <c r="G625" s="141">
        <f t="shared" si="53"/>
        <v>0</v>
      </c>
      <c r="H625" s="155">
        <f t="shared" si="54"/>
        <v>0</v>
      </c>
      <c r="I625" s="142">
        <f t="shared" si="55"/>
        <v>0</v>
      </c>
      <c r="J625" s="142">
        <f>0</f>
        <v>0</v>
      </c>
      <c r="K625" s="142">
        <f t="shared" si="56"/>
        <v>0</v>
      </c>
      <c r="L625" s="142">
        <f t="shared" si="57"/>
        <v>0</v>
      </c>
      <c r="T625" s="144"/>
      <c r="U625" s="144"/>
    </row>
    <row r="626" spans="5:21" x14ac:dyDescent="0.35">
      <c r="E626" s="135">
        <v>614</v>
      </c>
      <c r="F626" s="135">
        <v>2</v>
      </c>
      <c r="G626" s="141">
        <f t="shared" si="53"/>
        <v>47.627164489095527</v>
      </c>
      <c r="H626" s="155">
        <f t="shared" si="54"/>
        <v>200</v>
      </c>
      <c r="I626" s="142">
        <f t="shared" si="55"/>
        <v>14500000</v>
      </c>
      <c r="J626" s="142">
        <f>0</f>
        <v>0</v>
      </c>
      <c r="K626" s="142">
        <f t="shared" si="56"/>
        <v>273265.86647854222</v>
      </c>
      <c r="L626" s="142">
        <f t="shared" si="57"/>
        <v>14773265.866478542</v>
      </c>
      <c r="T626" s="144"/>
      <c r="U626" s="144"/>
    </row>
    <row r="627" spans="5:21" x14ac:dyDescent="0.35">
      <c r="E627" s="135">
        <v>615</v>
      </c>
      <c r="F627" s="135">
        <v>0</v>
      </c>
      <c r="G627" s="141">
        <f t="shared" si="53"/>
        <v>0</v>
      </c>
      <c r="H627" s="155">
        <f t="shared" si="54"/>
        <v>0</v>
      </c>
      <c r="I627" s="142">
        <f t="shared" si="55"/>
        <v>0</v>
      </c>
      <c r="J627" s="142">
        <f>0</f>
        <v>0</v>
      </c>
      <c r="K627" s="142">
        <f t="shared" si="56"/>
        <v>0</v>
      </c>
      <c r="L627" s="142">
        <f t="shared" si="57"/>
        <v>0</v>
      </c>
      <c r="T627" s="144"/>
      <c r="U627" s="144"/>
    </row>
    <row r="628" spans="5:21" x14ac:dyDescent="0.35">
      <c r="E628" s="135">
        <v>616</v>
      </c>
      <c r="F628" s="135">
        <v>0</v>
      </c>
      <c r="G628" s="141">
        <f t="shared" si="53"/>
        <v>0</v>
      </c>
      <c r="H628" s="155">
        <f t="shared" si="54"/>
        <v>0</v>
      </c>
      <c r="I628" s="142">
        <f t="shared" si="55"/>
        <v>0</v>
      </c>
      <c r="J628" s="142">
        <f>0</f>
        <v>0</v>
      </c>
      <c r="K628" s="142">
        <f t="shared" si="56"/>
        <v>0</v>
      </c>
      <c r="L628" s="142">
        <f t="shared" si="57"/>
        <v>0</v>
      </c>
      <c r="T628" s="144"/>
      <c r="U628" s="144"/>
    </row>
    <row r="629" spans="5:21" x14ac:dyDescent="0.35">
      <c r="E629" s="135">
        <v>617</v>
      </c>
      <c r="F629" s="135">
        <v>0</v>
      </c>
      <c r="G629" s="141">
        <f t="shared" si="53"/>
        <v>0</v>
      </c>
      <c r="H629" s="155">
        <f t="shared" si="54"/>
        <v>0</v>
      </c>
      <c r="I629" s="142">
        <f t="shared" si="55"/>
        <v>0</v>
      </c>
      <c r="J629" s="142">
        <f>0</f>
        <v>0</v>
      </c>
      <c r="K629" s="142">
        <f t="shared" si="56"/>
        <v>0</v>
      </c>
      <c r="L629" s="142">
        <f t="shared" si="57"/>
        <v>0</v>
      </c>
      <c r="T629" s="144"/>
      <c r="U629" s="144"/>
    </row>
    <row r="630" spans="5:21" x14ac:dyDescent="0.35">
      <c r="E630" s="135">
        <v>618</v>
      </c>
      <c r="F630" s="135">
        <v>0</v>
      </c>
      <c r="G630" s="141">
        <f t="shared" si="53"/>
        <v>0</v>
      </c>
      <c r="H630" s="155">
        <f t="shared" si="54"/>
        <v>0</v>
      </c>
      <c r="I630" s="142">
        <f t="shared" si="55"/>
        <v>0</v>
      </c>
      <c r="J630" s="142">
        <f>0</f>
        <v>0</v>
      </c>
      <c r="K630" s="142">
        <f t="shared" si="56"/>
        <v>0</v>
      </c>
      <c r="L630" s="142">
        <f t="shared" si="57"/>
        <v>0</v>
      </c>
      <c r="T630" s="144"/>
      <c r="U630" s="144"/>
    </row>
    <row r="631" spans="5:21" x14ac:dyDescent="0.35">
      <c r="E631" s="135">
        <v>619</v>
      </c>
      <c r="F631" s="135">
        <v>0</v>
      </c>
      <c r="G631" s="141">
        <f t="shared" si="53"/>
        <v>0</v>
      </c>
      <c r="H631" s="155">
        <f t="shared" si="54"/>
        <v>0</v>
      </c>
      <c r="I631" s="142">
        <f t="shared" si="55"/>
        <v>0</v>
      </c>
      <c r="J631" s="142">
        <f>0</f>
        <v>0</v>
      </c>
      <c r="K631" s="142">
        <f t="shared" si="56"/>
        <v>0</v>
      </c>
      <c r="L631" s="142">
        <f t="shared" si="57"/>
        <v>0</v>
      </c>
      <c r="T631" s="144"/>
      <c r="U631" s="144"/>
    </row>
    <row r="632" spans="5:21" x14ac:dyDescent="0.35">
      <c r="E632" s="135">
        <v>620</v>
      </c>
      <c r="F632" s="135">
        <v>2</v>
      </c>
      <c r="G632" s="141">
        <f t="shared" si="53"/>
        <v>47.627164489095527</v>
      </c>
      <c r="H632" s="155">
        <f t="shared" si="54"/>
        <v>200</v>
      </c>
      <c r="I632" s="142">
        <f t="shared" si="55"/>
        <v>14500000</v>
      </c>
      <c r="J632" s="142">
        <f>0</f>
        <v>0</v>
      </c>
      <c r="K632" s="142">
        <f t="shared" si="56"/>
        <v>273265.86647854222</v>
      </c>
      <c r="L632" s="142">
        <f t="shared" si="57"/>
        <v>14773265.866478542</v>
      </c>
      <c r="T632" s="144"/>
      <c r="U632" s="144"/>
    </row>
    <row r="633" spans="5:21" x14ac:dyDescent="0.35">
      <c r="E633" s="135">
        <v>621</v>
      </c>
      <c r="F633" s="135">
        <v>1</v>
      </c>
      <c r="G633" s="141">
        <f t="shared" si="53"/>
        <v>23.813582244547764</v>
      </c>
      <c r="H633" s="155">
        <f t="shared" si="54"/>
        <v>0</v>
      </c>
      <c r="I633" s="142">
        <f t="shared" si="55"/>
        <v>0</v>
      </c>
      <c r="J633" s="142">
        <f>0</f>
        <v>0</v>
      </c>
      <c r="K633" s="142">
        <f t="shared" si="56"/>
        <v>136632.93323927111</v>
      </c>
      <c r="L633" s="142">
        <f t="shared" si="57"/>
        <v>136632.93323927111</v>
      </c>
      <c r="T633" s="144"/>
      <c r="U633" s="144"/>
    </row>
    <row r="634" spans="5:21" x14ac:dyDescent="0.35">
      <c r="E634" s="135">
        <v>622</v>
      </c>
      <c r="F634" s="135">
        <v>0</v>
      </c>
      <c r="G634" s="141">
        <f t="shared" si="53"/>
        <v>0</v>
      </c>
      <c r="H634" s="155">
        <f t="shared" si="54"/>
        <v>0</v>
      </c>
      <c r="I634" s="142">
        <f t="shared" si="55"/>
        <v>0</v>
      </c>
      <c r="J634" s="142">
        <f>0</f>
        <v>0</v>
      </c>
      <c r="K634" s="142">
        <f t="shared" si="56"/>
        <v>0</v>
      </c>
      <c r="L634" s="142">
        <f t="shared" si="57"/>
        <v>0</v>
      </c>
      <c r="T634" s="144"/>
      <c r="U634" s="144"/>
    </row>
    <row r="635" spans="5:21" x14ac:dyDescent="0.35">
      <c r="E635" s="135">
        <v>623</v>
      </c>
      <c r="F635" s="135">
        <v>2</v>
      </c>
      <c r="G635" s="141">
        <f t="shared" si="53"/>
        <v>47.627164489095527</v>
      </c>
      <c r="H635" s="155">
        <f t="shared" si="54"/>
        <v>200</v>
      </c>
      <c r="I635" s="142">
        <f t="shared" si="55"/>
        <v>14500000</v>
      </c>
      <c r="J635" s="142">
        <f>0</f>
        <v>0</v>
      </c>
      <c r="K635" s="142">
        <f t="shared" si="56"/>
        <v>273265.86647854222</v>
      </c>
      <c r="L635" s="142">
        <f t="shared" si="57"/>
        <v>14773265.866478542</v>
      </c>
      <c r="T635" s="144"/>
      <c r="U635" s="144"/>
    </row>
    <row r="636" spans="5:21" x14ac:dyDescent="0.35">
      <c r="E636" s="135">
        <v>624</v>
      </c>
      <c r="F636" s="135">
        <v>1</v>
      </c>
      <c r="G636" s="141">
        <f t="shared" si="53"/>
        <v>23.813582244547764</v>
      </c>
      <c r="H636" s="155">
        <f t="shared" si="54"/>
        <v>0</v>
      </c>
      <c r="I636" s="142">
        <f t="shared" si="55"/>
        <v>0</v>
      </c>
      <c r="J636" s="142">
        <f>0</f>
        <v>0</v>
      </c>
      <c r="K636" s="142">
        <f t="shared" si="56"/>
        <v>136632.93323927111</v>
      </c>
      <c r="L636" s="142">
        <f t="shared" si="57"/>
        <v>136632.93323927111</v>
      </c>
      <c r="T636" s="144"/>
      <c r="U636" s="144"/>
    </row>
    <row r="637" spans="5:21" x14ac:dyDescent="0.35">
      <c r="E637" s="135">
        <v>625</v>
      </c>
      <c r="F637" s="135">
        <v>0</v>
      </c>
      <c r="G637" s="141">
        <f t="shared" si="53"/>
        <v>0</v>
      </c>
      <c r="H637" s="155">
        <f t="shared" si="54"/>
        <v>0</v>
      </c>
      <c r="I637" s="142">
        <f t="shared" si="55"/>
        <v>0</v>
      </c>
      <c r="J637" s="142">
        <f>0</f>
        <v>0</v>
      </c>
      <c r="K637" s="142">
        <f t="shared" si="56"/>
        <v>0</v>
      </c>
      <c r="L637" s="142">
        <f t="shared" si="57"/>
        <v>0</v>
      </c>
      <c r="T637" s="144"/>
      <c r="U637" s="144"/>
    </row>
    <row r="638" spans="5:21" x14ac:dyDescent="0.35">
      <c r="E638" s="135">
        <v>626</v>
      </c>
      <c r="F638" s="135">
        <v>0</v>
      </c>
      <c r="G638" s="141">
        <f t="shared" si="53"/>
        <v>0</v>
      </c>
      <c r="H638" s="155">
        <f t="shared" si="54"/>
        <v>0</v>
      </c>
      <c r="I638" s="142">
        <f t="shared" si="55"/>
        <v>0</v>
      </c>
      <c r="J638" s="142">
        <f>0</f>
        <v>0</v>
      </c>
      <c r="K638" s="142">
        <f t="shared" si="56"/>
        <v>0</v>
      </c>
      <c r="L638" s="142">
        <f t="shared" si="57"/>
        <v>0</v>
      </c>
      <c r="T638" s="144"/>
      <c r="U638" s="144"/>
    </row>
    <row r="639" spans="5:21" x14ac:dyDescent="0.35">
      <c r="E639" s="135">
        <v>627</v>
      </c>
      <c r="F639" s="135">
        <v>0</v>
      </c>
      <c r="G639" s="141">
        <f t="shared" si="53"/>
        <v>0</v>
      </c>
      <c r="H639" s="155">
        <f t="shared" si="54"/>
        <v>0</v>
      </c>
      <c r="I639" s="142">
        <f t="shared" si="55"/>
        <v>0</v>
      </c>
      <c r="J639" s="142">
        <f>0</f>
        <v>0</v>
      </c>
      <c r="K639" s="142">
        <f t="shared" si="56"/>
        <v>0</v>
      </c>
      <c r="L639" s="142">
        <f t="shared" si="57"/>
        <v>0</v>
      </c>
      <c r="T639" s="144"/>
      <c r="U639" s="144"/>
    </row>
    <row r="640" spans="5:21" x14ac:dyDescent="0.35">
      <c r="E640" s="135">
        <v>628</v>
      </c>
      <c r="F640" s="135">
        <v>0</v>
      </c>
      <c r="G640" s="141">
        <f t="shared" si="53"/>
        <v>0</v>
      </c>
      <c r="H640" s="155">
        <f t="shared" si="54"/>
        <v>0</v>
      </c>
      <c r="I640" s="142">
        <f t="shared" si="55"/>
        <v>0</v>
      </c>
      <c r="J640" s="142">
        <f>0</f>
        <v>0</v>
      </c>
      <c r="K640" s="142">
        <f t="shared" si="56"/>
        <v>0</v>
      </c>
      <c r="L640" s="142">
        <f t="shared" si="57"/>
        <v>0</v>
      </c>
      <c r="T640" s="144"/>
      <c r="U640" s="144"/>
    </row>
    <row r="641" spans="5:21" x14ac:dyDescent="0.35">
      <c r="E641" s="135">
        <v>629</v>
      </c>
      <c r="F641" s="135">
        <v>0</v>
      </c>
      <c r="G641" s="141">
        <f t="shared" si="53"/>
        <v>0</v>
      </c>
      <c r="H641" s="155">
        <f t="shared" si="54"/>
        <v>0</v>
      </c>
      <c r="I641" s="142">
        <f t="shared" si="55"/>
        <v>0</v>
      </c>
      <c r="J641" s="142">
        <f>0</f>
        <v>0</v>
      </c>
      <c r="K641" s="142">
        <f t="shared" si="56"/>
        <v>0</v>
      </c>
      <c r="L641" s="142">
        <f t="shared" si="57"/>
        <v>0</v>
      </c>
      <c r="T641" s="144"/>
      <c r="U641" s="144"/>
    </row>
    <row r="642" spans="5:21" x14ac:dyDescent="0.35">
      <c r="E642" s="135">
        <v>630</v>
      </c>
      <c r="F642" s="135">
        <v>0</v>
      </c>
      <c r="G642" s="141">
        <f t="shared" si="53"/>
        <v>0</v>
      </c>
      <c r="H642" s="155">
        <f t="shared" si="54"/>
        <v>0</v>
      </c>
      <c r="I642" s="142">
        <f t="shared" si="55"/>
        <v>0</v>
      </c>
      <c r="J642" s="142">
        <f>0</f>
        <v>0</v>
      </c>
      <c r="K642" s="142">
        <f t="shared" si="56"/>
        <v>0</v>
      </c>
      <c r="L642" s="142">
        <f t="shared" si="57"/>
        <v>0</v>
      </c>
      <c r="T642" s="144"/>
      <c r="U642" s="144"/>
    </row>
    <row r="643" spans="5:21" x14ac:dyDescent="0.35">
      <c r="E643" s="135">
        <v>631</v>
      </c>
      <c r="F643" s="135">
        <v>0</v>
      </c>
      <c r="G643" s="141">
        <f t="shared" si="53"/>
        <v>0</v>
      </c>
      <c r="H643" s="155">
        <f t="shared" si="54"/>
        <v>0</v>
      </c>
      <c r="I643" s="142">
        <f t="shared" si="55"/>
        <v>0</v>
      </c>
      <c r="J643" s="142">
        <f>0</f>
        <v>0</v>
      </c>
      <c r="K643" s="142">
        <f t="shared" si="56"/>
        <v>0</v>
      </c>
      <c r="L643" s="142">
        <f t="shared" si="57"/>
        <v>0</v>
      </c>
      <c r="T643" s="144"/>
      <c r="U643" s="144"/>
    </row>
    <row r="644" spans="5:21" x14ac:dyDescent="0.35">
      <c r="E644" s="135">
        <v>632</v>
      </c>
      <c r="F644" s="135">
        <v>0</v>
      </c>
      <c r="G644" s="141">
        <f t="shared" si="53"/>
        <v>0</v>
      </c>
      <c r="H644" s="155">
        <f t="shared" si="54"/>
        <v>0</v>
      </c>
      <c r="I644" s="142">
        <f t="shared" si="55"/>
        <v>0</v>
      </c>
      <c r="J644" s="142">
        <f>0</f>
        <v>0</v>
      </c>
      <c r="K644" s="142">
        <f t="shared" si="56"/>
        <v>0</v>
      </c>
      <c r="L644" s="142">
        <f t="shared" si="57"/>
        <v>0</v>
      </c>
      <c r="T644" s="144"/>
      <c r="U644" s="144"/>
    </row>
    <row r="645" spans="5:21" x14ac:dyDescent="0.35">
      <c r="E645" s="135">
        <v>633</v>
      </c>
      <c r="F645" s="135">
        <v>0</v>
      </c>
      <c r="G645" s="141">
        <f t="shared" si="53"/>
        <v>0</v>
      </c>
      <c r="H645" s="155">
        <f t="shared" si="54"/>
        <v>0</v>
      </c>
      <c r="I645" s="142">
        <f t="shared" si="55"/>
        <v>0</v>
      </c>
      <c r="J645" s="142">
        <f>0</f>
        <v>0</v>
      </c>
      <c r="K645" s="142">
        <f t="shared" si="56"/>
        <v>0</v>
      </c>
      <c r="L645" s="142">
        <f t="shared" si="57"/>
        <v>0</v>
      </c>
      <c r="T645" s="144"/>
      <c r="U645" s="144"/>
    </row>
    <row r="646" spans="5:21" x14ac:dyDescent="0.35">
      <c r="E646" s="135">
        <v>634</v>
      </c>
      <c r="F646" s="135">
        <v>0</v>
      </c>
      <c r="G646" s="141">
        <f t="shared" si="53"/>
        <v>0</v>
      </c>
      <c r="H646" s="155">
        <f t="shared" si="54"/>
        <v>0</v>
      </c>
      <c r="I646" s="142">
        <f t="shared" si="55"/>
        <v>0</v>
      </c>
      <c r="J646" s="142">
        <f>0</f>
        <v>0</v>
      </c>
      <c r="K646" s="142">
        <f t="shared" si="56"/>
        <v>0</v>
      </c>
      <c r="L646" s="142">
        <f t="shared" si="57"/>
        <v>0</v>
      </c>
      <c r="T646" s="144"/>
      <c r="U646" s="144"/>
    </row>
    <row r="647" spans="5:21" x14ac:dyDescent="0.35">
      <c r="E647" s="135">
        <v>635</v>
      </c>
      <c r="F647" s="135">
        <v>0</v>
      </c>
      <c r="G647" s="141">
        <f t="shared" si="53"/>
        <v>0</v>
      </c>
      <c r="H647" s="155">
        <f t="shared" si="54"/>
        <v>0</v>
      </c>
      <c r="I647" s="142">
        <f t="shared" si="55"/>
        <v>0</v>
      </c>
      <c r="J647" s="142">
        <f>0</f>
        <v>0</v>
      </c>
      <c r="K647" s="142">
        <f t="shared" si="56"/>
        <v>0</v>
      </c>
      <c r="L647" s="142">
        <f t="shared" si="57"/>
        <v>0</v>
      </c>
      <c r="T647" s="144"/>
      <c r="U647" s="144"/>
    </row>
    <row r="648" spans="5:21" x14ac:dyDescent="0.35">
      <c r="E648" s="135">
        <v>636</v>
      </c>
      <c r="F648" s="135">
        <v>0</v>
      </c>
      <c r="G648" s="141">
        <f t="shared" si="53"/>
        <v>0</v>
      </c>
      <c r="H648" s="155">
        <f t="shared" si="54"/>
        <v>0</v>
      </c>
      <c r="I648" s="142">
        <f t="shared" si="55"/>
        <v>0</v>
      </c>
      <c r="J648" s="142">
        <f>0</f>
        <v>0</v>
      </c>
      <c r="K648" s="142">
        <f t="shared" si="56"/>
        <v>0</v>
      </c>
      <c r="L648" s="142">
        <f t="shared" si="57"/>
        <v>0</v>
      </c>
      <c r="T648" s="144"/>
      <c r="U648" s="144"/>
    </row>
    <row r="649" spans="5:21" x14ac:dyDescent="0.35">
      <c r="E649" s="135">
        <v>637</v>
      </c>
      <c r="F649" s="135">
        <v>1</v>
      </c>
      <c r="G649" s="141">
        <f t="shared" si="53"/>
        <v>23.813582244547764</v>
      </c>
      <c r="H649" s="155">
        <f t="shared" si="54"/>
        <v>0</v>
      </c>
      <c r="I649" s="142">
        <f t="shared" si="55"/>
        <v>0</v>
      </c>
      <c r="J649" s="142">
        <f>0</f>
        <v>0</v>
      </c>
      <c r="K649" s="142">
        <f t="shared" si="56"/>
        <v>136632.93323927111</v>
      </c>
      <c r="L649" s="142">
        <f t="shared" si="57"/>
        <v>136632.93323927111</v>
      </c>
      <c r="T649" s="144"/>
      <c r="U649" s="144"/>
    </row>
    <row r="650" spans="5:21" x14ac:dyDescent="0.35">
      <c r="E650" s="135">
        <v>638</v>
      </c>
      <c r="F650" s="135">
        <v>0</v>
      </c>
      <c r="G650" s="141">
        <f t="shared" si="53"/>
        <v>0</v>
      </c>
      <c r="H650" s="155">
        <f t="shared" si="54"/>
        <v>0</v>
      </c>
      <c r="I650" s="142">
        <f t="shared" si="55"/>
        <v>0</v>
      </c>
      <c r="J650" s="142">
        <f>0</f>
        <v>0</v>
      </c>
      <c r="K650" s="142">
        <f t="shared" si="56"/>
        <v>0</v>
      </c>
      <c r="L650" s="142">
        <f t="shared" si="57"/>
        <v>0</v>
      </c>
      <c r="T650" s="144"/>
      <c r="U650" s="144"/>
    </row>
    <row r="651" spans="5:21" x14ac:dyDescent="0.35">
      <c r="E651" s="135">
        <v>639</v>
      </c>
      <c r="F651" s="135">
        <v>0</v>
      </c>
      <c r="G651" s="141">
        <f t="shared" si="53"/>
        <v>0</v>
      </c>
      <c r="H651" s="155">
        <f t="shared" si="54"/>
        <v>0</v>
      </c>
      <c r="I651" s="142">
        <f t="shared" si="55"/>
        <v>0</v>
      </c>
      <c r="J651" s="142">
        <f>0</f>
        <v>0</v>
      </c>
      <c r="K651" s="142">
        <f t="shared" si="56"/>
        <v>0</v>
      </c>
      <c r="L651" s="142">
        <f t="shared" si="57"/>
        <v>0</v>
      </c>
      <c r="T651" s="144"/>
      <c r="U651" s="144"/>
    </row>
    <row r="652" spans="5:21" x14ac:dyDescent="0.35">
      <c r="E652" s="135">
        <v>640</v>
      </c>
      <c r="F652" s="135">
        <v>0</v>
      </c>
      <c r="G652" s="141">
        <f t="shared" si="53"/>
        <v>0</v>
      </c>
      <c r="H652" s="155">
        <f t="shared" si="54"/>
        <v>0</v>
      </c>
      <c r="I652" s="142">
        <f t="shared" si="55"/>
        <v>0</v>
      </c>
      <c r="J652" s="142">
        <f>0</f>
        <v>0</v>
      </c>
      <c r="K652" s="142">
        <f t="shared" si="56"/>
        <v>0</v>
      </c>
      <c r="L652" s="142">
        <f t="shared" si="57"/>
        <v>0</v>
      </c>
      <c r="T652" s="144"/>
      <c r="U652" s="144"/>
    </row>
    <row r="653" spans="5:21" x14ac:dyDescent="0.35">
      <c r="E653" s="135">
        <v>641</v>
      </c>
      <c r="F653" s="135">
        <v>1</v>
      </c>
      <c r="G653" s="141">
        <f t="shared" ref="G653:G716" si="58">F653*$C$9</f>
        <v>23.813582244547764</v>
      </c>
      <c r="H653" s="155">
        <f t="shared" ref="H653:H716" si="59">IF(F653 &gt; 1,$C$13*20000,0)</f>
        <v>0</v>
      </c>
      <c r="I653" s="142">
        <f t="shared" ref="I653:I716" si="60">IF(F653 &gt; 1,$C$4,0)</f>
        <v>0</v>
      </c>
      <c r="J653" s="142">
        <f>0</f>
        <v>0</v>
      </c>
      <c r="K653" s="142">
        <f t="shared" ref="K653:K716" si="61">F653*$C$5</f>
        <v>136632.93323927111</v>
      </c>
      <c r="L653" s="142">
        <f t="shared" ref="L653:L716" si="62">J653+I653+K653</f>
        <v>136632.93323927111</v>
      </c>
      <c r="T653" s="144"/>
      <c r="U653" s="144"/>
    </row>
    <row r="654" spans="5:21" x14ac:dyDescent="0.35">
      <c r="E654" s="135">
        <v>642</v>
      </c>
      <c r="F654" s="135">
        <v>4</v>
      </c>
      <c r="G654" s="141">
        <f t="shared" si="58"/>
        <v>95.254328978191054</v>
      </c>
      <c r="H654" s="155">
        <f t="shared" si="59"/>
        <v>200</v>
      </c>
      <c r="I654" s="142">
        <f t="shared" si="60"/>
        <v>14500000</v>
      </c>
      <c r="J654" s="142">
        <f>0</f>
        <v>0</v>
      </c>
      <c r="K654" s="142">
        <f t="shared" si="61"/>
        <v>546531.73295708443</v>
      </c>
      <c r="L654" s="142">
        <f t="shared" si="62"/>
        <v>15046531.732957084</v>
      </c>
      <c r="T654" s="144"/>
      <c r="U654" s="144"/>
    </row>
    <row r="655" spans="5:21" x14ac:dyDescent="0.35">
      <c r="E655" s="135">
        <v>643</v>
      </c>
      <c r="F655" s="135">
        <v>4</v>
      </c>
      <c r="G655" s="141">
        <f t="shared" si="58"/>
        <v>95.254328978191054</v>
      </c>
      <c r="H655" s="155">
        <f t="shared" si="59"/>
        <v>200</v>
      </c>
      <c r="I655" s="142">
        <f t="shared" si="60"/>
        <v>14500000</v>
      </c>
      <c r="J655" s="142">
        <f>0</f>
        <v>0</v>
      </c>
      <c r="K655" s="142">
        <f t="shared" si="61"/>
        <v>546531.73295708443</v>
      </c>
      <c r="L655" s="142">
        <f t="shared" si="62"/>
        <v>15046531.732957084</v>
      </c>
      <c r="T655" s="144"/>
      <c r="U655" s="144"/>
    </row>
    <row r="656" spans="5:21" x14ac:dyDescent="0.35">
      <c r="E656" s="135">
        <v>644</v>
      </c>
      <c r="F656" s="135">
        <v>0</v>
      </c>
      <c r="G656" s="141">
        <f t="shared" si="58"/>
        <v>0</v>
      </c>
      <c r="H656" s="155">
        <f t="shared" si="59"/>
        <v>0</v>
      </c>
      <c r="I656" s="142">
        <f t="shared" si="60"/>
        <v>0</v>
      </c>
      <c r="J656" s="142">
        <f>0</f>
        <v>0</v>
      </c>
      <c r="K656" s="142">
        <f t="shared" si="61"/>
        <v>0</v>
      </c>
      <c r="L656" s="142">
        <f t="shared" si="62"/>
        <v>0</v>
      </c>
      <c r="T656" s="144"/>
      <c r="U656" s="144"/>
    </row>
    <row r="657" spans="5:21" x14ac:dyDescent="0.35">
      <c r="E657" s="135">
        <v>645</v>
      </c>
      <c r="F657" s="135">
        <v>0</v>
      </c>
      <c r="G657" s="141">
        <f t="shared" si="58"/>
        <v>0</v>
      </c>
      <c r="H657" s="155">
        <f t="shared" si="59"/>
        <v>0</v>
      </c>
      <c r="I657" s="142">
        <f t="shared" si="60"/>
        <v>0</v>
      </c>
      <c r="J657" s="142">
        <f>0</f>
        <v>0</v>
      </c>
      <c r="K657" s="142">
        <f t="shared" si="61"/>
        <v>0</v>
      </c>
      <c r="L657" s="142">
        <f t="shared" si="62"/>
        <v>0</v>
      </c>
      <c r="T657" s="144"/>
      <c r="U657" s="144"/>
    </row>
    <row r="658" spans="5:21" x14ac:dyDescent="0.35">
      <c r="E658" s="135">
        <v>646</v>
      </c>
      <c r="F658" s="135">
        <v>0</v>
      </c>
      <c r="G658" s="141">
        <f t="shared" si="58"/>
        <v>0</v>
      </c>
      <c r="H658" s="155">
        <f t="shared" si="59"/>
        <v>0</v>
      </c>
      <c r="I658" s="142">
        <f t="shared" si="60"/>
        <v>0</v>
      </c>
      <c r="J658" s="142">
        <f>0</f>
        <v>0</v>
      </c>
      <c r="K658" s="142">
        <f t="shared" si="61"/>
        <v>0</v>
      </c>
      <c r="L658" s="142">
        <f t="shared" si="62"/>
        <v>0</v>
      </c>
      <c r="T658" s="144"/>
      <c r="U658" s="144"/>
    </row>
    <row r="659" spans="5:21" x14ac:dyDescent="0.35">
      <c r="E659" s="135">
        <v>647</v>
      </c>
      <c r="F659" s="135">
        <v>0</v>
      </c>
      <c r="G659" s="141">
        <f t="shared" si="58"/>
        <v>0</v>
      </c>
      <c r="H659" s="155">
        <f t="shared" si="59"/>
        <v>0</v>
      </c>
      <c r="I659" s="142">
        <f t="shared" si="60"/>
        <v>0</v>
      </c>
      <c r="J659" s="142">
        <f>0</f>
        <v>0</v>
      </c>
      <c r="K659" s="142">
        <f t="shared" si="61"/>
        <v>0</v>
      </c>
      <c r="L659" s="142">
        <f t="shared" si="62"/>
        <v>0</v>
      </c>
      <c r="T659" s="144"/>
      <c r="U659" s="144"/>
    </row>
    <row r="660" spans="5:21" x14ac:dyDescent="0.35">
      <c r="E660" s="135">
        <v>648</v>
      </c>
      <c r="F660" s="135">
        <v>0</v>
      </c>
      <c r="G660" s="141">
        <f t="shared" si="58"/>
        <v>0</v>
      </c>
      <c r="H660" s="155">
        <f t="shared" si="59"/>
        <v>0</v>
      </c>
      <c r="I660" s="142">
        <f t="shared" si="60"/>
        <v>0</v>
      </c>
      <c r="J660" s="142">
        <f>0</f>
        <v>0</v>
      </c>
      <c r="K660" s="142">
        <f t="shared" si="61"/>
        <v>0</v>
      </c>
      <c r="L660" s="142">
        <f t="shared" si="62"/>
        <v>0</v>
      </c>
      <c r="T660" s="144"/>
      <c r="U660" s="144"/>
    </row>
    <row r="661" spans="5:21" x14ac:dyDescent="0.35">
      <c r="E661" s="135">
        <v>649</v>
      </c>
      <c r="F661" s="135">
        <v>0</v>
      </c>
      <c r="G661" s="141">
        <f t="shared" si="58"/>
        <v>0</v>
      </c>
      <c r="H661" s="155">
        <f t="shared" si="59"/>
        <v>0</v>
      </c>
      <c r="I661" s="142">
        <f t="shared" si="60"/>
        <v>0</v>
      </c>
      <c r="J661" s="142">
        <f>0</f>
        <v>0</v>
      </c>
      <c r="K661" s="142">
        <f t="shared" si="61"/>
        <v>0</v>
      </c>
      <c r="L661" s="142">
        <f t="shared" si="62"/>
        <v>0</v>
      </c>
      <c r="T661" s="144"/>
      <c r="U661" s="144"/>
    </row>
    <row r="662" spans="5:21" x14ac:dyDescent="0.35">
      <c r="E662" s="135">
        <v>650</v>
      </c>
      <c r="F662" s="135">
        <v>0</v>
      </c>
      <c r="G662" s="141">
        <f t="shared" si="58"/>
        <v>0</v>
      </c>
      <c r="H662" s="155">
        <f t="shared" si="59"/>
        <v>0</v>
      </c>
      <c r="I662" s="142">
        <f t="shared" si="60"/>
        <v>0</v>
      </c>
      <c r="J662" s="142">
        <f>0</f>
        <v>0</v>
      </c>
      <c r="K662" s="142">
        <f t="shared" si="61"/>
        <v>0</v>
      </c>
      <c r="L662" s="142">
        <f t="shared" si="62"/>
        <v>0</v>
      </c>
      <c r="T662" s="144"/>
      <c r="U662" s="144"/>
    </row>
    <row r="663" spans="5:21" x14ac:dyDescent="0.35">
      <c r="E663" s="135">
        <v>651</v>
      </c>
      <c r="F663" s="135">
        <v>0</v>
      </c>
      <c r="G663" s="141">
        <f t="shared" si="58"/>
        <v>0</v>
      </c>
      <c r="H663" s="155">
        <f t="shared" si="59"/>
        <v>0</v>
      </c>
      <c r="I663" s="142">
        <f t="shared" si="60"/>
        <v>0</v>
      </c>
      <c r="J663" s="142">
        <f>0</f>
        <v>0</v>
      </c>
      <c r="K663" s="142">
        <f t="shared" si="61"/>
        <v>0</v>
      </c>
      <c r="L663" s="142">
        <f t="shared" si="62"/>
        <v>0</v>
      </c>
      <c r="T663" s="144"/>
      <c r="U663" s="144"/>
    </row>
    <row r="664" spans="5:21" x14ac:dyDescent="0.35">
      <c r="E664" s="135">
        <v>652</v>
      </c>
      <c r="F664" s="135">
        <v>0</v>
      </c>
      <c r="G664" s="141">
        <f t="shared" si="58"/>
        <v>0</v>
      </c>
      <c r="H664" s="155">
        <f t="shared" si="59"/>
        <v>0</v>
      </c>
      <c r="I664" s="142">
        <f t="shared" si="60"/>
        <v>0</v>
      </c>
      <c r="J664" s="142">
        <f>0</f>
        <v>0</v>
      </c>
      <c r="K664" s="142">
        <f t="shared" si="61"/>
        <v>0</v>
      </c>
      <c r="L664" s="142">
        <f t="shared" si="62"/>
        <v>0</v>
      </c>
      <c r="T664" s="144"/>
      <c r="U664" s="144"/>
    </row>
    <row r="665" spans="5:21" x14ac:dyDescent="0.35">
      <c r="E665" s="135">
        <v>653</v>
      </c>
      <c r="F665" s="135">
        <v>0</v>
      </c>
      <c r="G665" s="141">
        <f t="shared" si="58"/>
        <v>0</v>
      </c>
      <c r="H665" s="155">
        <f t="shared" si="59"/>
        <v>0</v>
      </c>
      <c r="I665" s="142">
        <f t="shared" si="60"/>
        <v>0</v>
      </c>
      <c r="J665" s="142">
        <f>0</f>
        <v>0</v>
      </c>
      <c r="K665" s="142">
        <f t="shared" si="61"/>
        <v>0</v>
      </c>
      <c r="L665" s="142">
        <f t="shared" si="62"/>
        <v>0</v>
      </c>
      <c r="T665" s="144"/>
      <c r="U665" s="144"/>
    </row>
    <row r="666" spans="5:21" x14ac:dyDescent="0.35">
      <c r="E666" s="135">
        <v>654</v>
      </c>
      <c r="F666" s="135">
        <v>0</v>
      </c>
      <c r="G666" s="141">
        <f t="shared" si="58"/>
        <v>0</v>
      </c>
      <c r="H666" s="155">
        <f t="shared" si="59"/>
        <v>0</v>
      </c>
      <c r="I666" s="142">
        <f t="shared" si="60"/>
        <v>0</v>
      </c>
      <c r="J666" s="142">
        <f>0</f>
        <v>0</v>
      </c>
      <c r="K666" s="142">
        <f t="shared" si="61"/>
        <v>0</v>
      </c>
      <c r="L666" s="142">
        <f t="shared" si="62"/>
        <v>0</v>
      </c>
      <c r="T666" s="144"/>
      <c r="U666" s="144"/>
    </row>
    <row r="667" spans="5:21" x14ac:dyDescent="0.35">
      <c r="E667" s="135">
        <v>655</v>
      </c>
      <c r="F667" s="135">
        <v>1</v>
      </c>
      <c r="G667" s="141">
        <f t="shared" si="58"/>
        <v>23.813582244547764</v>
      </c>
      <c r="H667" s="155">
        <f t="shared" si="59"/>
        <v>0</v>
      </c>
      <c r="I667" s="142">
        <f t="shared" si="60"/>
        <v>0</v>
      </c>
      <c r="J667" s="142">
        <f>0</f>
        <v>0</v>
      </c>
      <c r="K667" s="142">
        <f t="shared" si="61"/>
        <v>136632.93323927111</v>
      </c>
      <c r="L667" s="142">
        <f t="shared" si="62"/>
        <v>136632.93323927111</v>
      </c>
      <c r="T667" s="144"/>
      <c r="U667" s="144"/>
    </row>
    <row r="668" spans="5:21" x14ac:dyDescent="0.35">
      <c r="E668" s="135">
        <v>656</v>
      </c>
      <c r="F668" s="135">
        <v>0</v>
      </c>
      <c r="G668" s="141">
        <f t="shared" si="58"/>
        <v>0</v>
      </c>
      <c r="H668" s="155">
        <f t="shared" si="59"/>
        <v>0</v>
      </c>
      <c r="I668" s="142">
        <f t="shared" si="60"/>
        <v>0</v>
      </c>
      <c r="J668" s="142">
        <f>0</f>
        <v>0</v>
      </c>
      <c r="K668" s="142">
        <f t="shared" si="61"/>
        <v>0</v>
      </c>
      <c r="L668" s="142">
        <f t="shared" si="62"/>
        <v>0</v>
      </c>
      <c r="T668" s="144"/>
      <c r="U668" s="144"/>
    </row>
    <row r="669" spans="5:21" x14ac:dyDescent="0.35">
      <c r="E669" s="135">
        <v>657</v>
      </c>
      <c r="F669" s="135">
        <v>0</v>
      </c>
      <c r="G669" s="141">
        <f t="shared" si="58"/>
        <v>0</v>
      </c>
      <c r="H669" s="155">
        <f t="shared" si="59"/>
        <v>0</v>
      </c>
      <c r="I669" s="142">
        <f t="shared" si="60"/>
        <v>0</v>
      </c>
      <c r="J669" s="142">
        <f>0</f>
        <v>0</v>
      </c>
      <c r="K669" s="142">
        <f t="shared" si="61"/>
        <v>0</v>
      </c>
      <c r="L669" s="142">
        <f t="shared" si="62"/>
        <v>0</v>
      </c>
      <c r="T669" s="144"/>
      <c r="U669" s="144"/>
    </row>
    <row r="670" spans="5:21" x14ac:dyDescent="0.35">
      <c r="E670" s="135">
        <v>658</v>
      </c>
      <c r="F670" s="135">
        <v>1</v>
      </c>
      <c r="G670" s="141">
        <f t="shared" si="58"/>
        <v>23.813582244547764</v>
      </c>
      <c r="H670" s="155">
        <f t="shared" si="59"/>
        <v>0</v>
      </c>
      <c r="I670" s="142">
        <f t="shared" si="60"/>
        <v>0</v>
      </c>
      <c r="J670" s="142">
        <f>0</f>
        <v>0</v>
      </c>
      <c r="K670" s="142">
        <f t="shared" si="61"/>
        <v>136632.93323927111</v>
      </c>
      <c r="L670" s="142">
        <f t="shared" si="62"/>
        <v>136632.93323927111</v>
      </c>
      <c r="T670" s="144"/>
      <c r="U670" s="144"/>
    </row>
    <row r="671" spans="5:21" x14ac:dyDescent="0.35">
      <c r="E671" s="135">
        <v>659</v>
      </c>
      <c r="F671" s="135">
        <v>1</v>
      </c>
      <c r="G671" s="141">
        <f t="shared" si="58"/>
        <v>23.813582244547764</v>
      </c>
      <c r="H671" s="155">
        <f t="shared" si="59"/>
        <v>0</v>
      </c>
      <c r="I671" s="142">
        <f t="shared" si="60"/>
        <v>0</v>
      </c>
      <c r="J671" s="142">
        <f>0</f>
        <v>0</v>
      </c>
      <c r="K671" s="142">
        <f t="shared" si="61"/>
        <v>136632.93323927111</v>
      </c>
      <c r="L671" s="142">
        <f t="shared" si="62"/>
        <v>136632.93323927111</v>
      </c>
      <c r="T671" s="144"/>
      <c r="U671" s="144"/>
    </row>
    <row r="672" spans="5:21" x14ac:dyDescent="0.35">
      <c r="E672" s="135">
        <v>660</v>
      </c>
      <c r="F672" s="135">
        <v>0</v>
      </c>
      <c r="G672" s="141">
        <f t="shared" si="58"/>
        <v>0</v>
      </c>
      <c r="H672" s="155">
        <f t="shared" si="59"/>
        <v>0</v>
      </c>
      <c r="I672" s="142">
        <f t="shared" si="60"/>
        <v>0</v>
      </c>
      <c r="J672" s="142">
        <f>0</f>
        <v>0</v>
      </c>
      <c r="K672" s="142">
        <f t="shared" si="61"/>
        <v>0</v>
      </c>
      <c r="L672" s="142">
        <f t="shared" si="62"/>
        <v>0</v>
      </c>
      <c r="T672" s="144"/>
      <c r="U672" s="144"/>
    </row>
    <row r="673" spans="5:21" x14ac:dyDescent="0.35">
      <c r="E673" s="135">
        <v>661</v>
      </c>
      <c r="F673" s="135">
        <v>0</v>
      </c>
      <c r="G673" s="141">
        <f t="shared" si="58"/>
        <v>0</v>
      </c>
      <c r="H673" s="155">
        <f t="shared" si="59"/>
        <v>0</v>
      </c>
      <c r="I673" s="142">
        <f t="shared" si="60"/>
        <v>0</v>
      </c>
      <c r="J673" s="142">
        <f>0</f>
        <v>0</v>
      </c>
      <c r="K673" s="142">
        <f t="shared" si="61"/>
        <v>0</v>
      </c>
      <c r="L673" s="142">
        <f t="shared" si="62"/>
        <v>0</v>
      </c>
      <c r="T673" s="144"/>
      <c r="U673" s="144"/>
    </row>
    <row r="674" spans="5:21" x14ac:dyDescent="0.35">
      <c r="E674" s="135">
        <v>662</v>
      </c>
      <c r="F674" s="135">
        <v>0</v>
      </c>
      <c r="G674" s="141">
        <f t="shared" si="58"/>
        <v>0</v>
      </c>
      <c r="H674" s="155">
        <f t="shared" si="59"/>
        <v>0</v>
      </c>
      <c r="I674" s="142">
        <f t="shared" si="60"/>
        <v>0</v>
      </c>
      <c r="J674" s="142">
        <f>0</f>
        <v>0</v>
      </c>
      <c r="K674" s="142">
        <f t="shared" si="61"/>
        <v>0</v>
      </c>
      <c r="L674" s="142">
        <f t="shared" si="62"/>
        <v>0</v>
      </c>
      <c r="T674" s="144"/>
      <c r="U674" s="144"/>
    </row>
    <row r="675" spans="5:21" x14ac:dyDescent="0.35">
      <c r="E675" s="135">
        <v>663</v>
      </c>
      <c r="F675" s="135">
        <v>1</v>
      </c>
      <c r="G675" s="141">
        <f t="shared" si="58"/>
        <v>23.813582244547764</v>
      </c>
      <c r="H675" s="155">
        <f t="shared" si="59"/>
        <v>0</v>
      </c>
      <c r="I675" s="142">
        <f t="shared" si="60"/>
        <v>0</v>
      </c>
      <c r="J675" s="142">
        <f>0</f>
        <v>0</v>
      </c>
      <c r="K675" s="142">
        <f t="shared" si="61"/>
        <v>136632.93323927111</v>
      </c>
      <c r="L675" s="142">
        <f t="shared" si="62"/>
        <v>136632.93323927111</v>
      </c>
      <c r="T675" s="144"/>
      <c r="U675" s="144"/>
    </row>
    <row r="676" spans="5:21" x14ac:dyDescent="0.35">
      <c r="E676" s="135">
        <v>664</v>
      </c>
      <c r="F676" s="135">
        <v>0</v>
      </c>
      <c r="G676" s="141">
        <f t="shared" si="58"/>
        <v>0</v>
      </c>
      <c r="H676" s="155">
        <f t="shared" si="59"/>
        <v>0</v>
      </c>
      <c r="I676" s="142">
        <f t="shared" si="60"/>
        <v>0</v>
      </c>
      <c r="J676" s="142">
        <f>0</f>
        <v>0</v>
      </c>
      <c r="K676" s="142">
        <f t="shared" si="61"/>
        <v>0</v>
      </c>
      <c r="L676" s="142">
        <f t="shared" si="62"/>
        <v>0</v>
      </c>
      <c r="T676" s="144"/>
      <c r="U676" s="144"/>
    </row>
    <row r="677" spans="5:21" x14ac:dyDescent="0.35">
      <c r="E677" s="135">
        <v>665</v>
      </c>
      <c r="F677" s="135">
        <v>1</v>
      </c>
      <c r="G677" s="141">
        <f t="shared" si="58"/>
        <v>23.813582244547764</v>
      </c>
      <c r="H677" s="155">
        <f t="shared" si="59"/>
        <v>0</v>
      </c>
      <c r="I677" s="142">
        <f t="shared" si="60"/>
        <v>0</v>
      </c>
      <c r="J677" s="142">
        <f>0</f>
        <v>0</v>
      </c>
      <c r="K677" s="142">
        <f t="shared" si="61"/>
        <v>136632.93323927111</v>
      </c>
      <c r="L677" s="142">
        <f t="shared" si="62"/>
        <v>136632.93323927111</v>
      </c>
      <c r="T677" s="144"/>
      <c r="U677" s="144"/>
    </row>
    <row r="678" spans="5:21" x14ac:dyDescent="0.35">
      <c r="E678" s="135">
        <v>666</v>
      </c>
      <c r="F678" s="135">
        <v>1</v>
      </c>
      <c r="G678" s="141">
        <f t="shared" si="58"/>
        <v>23.813582244547764</v>
      </c>
      <c r="H678" s="155">
        <f t="shared" si="59"/>
        <v>0</v>
      </c>
      <c r="I678" s="142">
        <f t="shared" si="60"/>
        <v>0</v>
      </c>
      <c r="J678" s="142">
        <f>0</f>
        <v>0</v>
      </c>
      <c r="K678" s="142">
        <f t="shared" si="61"/>
        <v>136632.93323927111</v>
      </c>
      <c r="L678" s="142">
        <f t="shared" si="62"/>
        <v>136632.93323927111</v>
      </c>
      <c r="T678" s="144"/>
      <c r="U678" s="144"/>
    </row>
    <row r="679" spans="5:21" x14ac:dyDescent="0.35">
      <c r="E679" s="135">
        <v>667</v>
      </c>
      <c r="F679" s="135">
        <v>1</v>
      </c>
      <c r="G679" s="141">
        <f t="shared" si="58"/>
        <v>23.813582244547764</v>
      </c>
      <c r="H679" s="155">
        <f t="shared" si="59"/>
        <v>0</v>
      </c>
      <c r="I679" s="142">
        <f t="shared" si="60"/>
        <v>0</v>
      </c>
      <c r="J679" s="142">
        <f>0</f>
        <v>0</v>
      </c>
      <c r="K679" s="142">
        <f t="shared" si="61"/>
        <v>136632.93323927111</v>
      </c>
      <c r="L679" s="142">
        <f t="shared" si="62"/>
        <v>136632.93323927111</v>
      </c>
      <c r="T679" s="144"/>
      <c r="U679" s="144"/>
    </row>
    <row r="680" spans="5:21" x14ac:dyDescent="0.35">
      <c r="E680" s="135">
        <v>668</v>
      </c>
      <c r="F680" s="135">
        <v>2</v>
      </c>
      <c r="G680" s="141">
        <f t="shared" si="58"/>
        <v>47.627164489095527</v>
      </c>
      <c r="H680" s="155">
        <f t="shared" si="59"/>
        <v>200</v>
      </c>
      <c r="I680" s="142">
        <f t="shared" si="60"/>
        <v>14500000</v>
      </c>
      <c r="J680" s="142">
        <f>0</f>
        <v>0</v>
      </c>
      <c r="K680" s="142">
        <f t="shared" si="61"/>
        <v>273265.86647854222</v>
      </c>
      <c r="L680" s="142">
        <f t="shared" si="62"/>
        <v>14773265.866478542</v>
      </c>
      <c r="T680" s="144"/>
      <c r="U680" s="144"/>
    </row>
    <row r="681" spans="5:21" x14ac:dyDescent="0.35">
      <c r="E681" s="135">
        <v>669</v>
      </c>
      <c r="F681" s="135">
        <v>0</v>
      </c>
      <c r="G681" s="141">
        <f t="shared" si="58"/>
        <v>0</v>
      </c>
      <c r="H681" s="155">
        <f t="shared" si="59"/>
        <v>0</v>
      </c>
      <c r="I681" s="142">
        <f t="shared" si="60"/>
        <v>0</v>
      </c>
      <c r="J681" s="142">
        <f>0</f>
        <v>0</v>
      </c>
      <c r="K681" s="142">
        <f t="shared" si="61"/>
        <v>0</v>
      </c>
      <c r="L681" s="142">
        <f t="shared" si="62"/>
        <v>0</v>
      </c>
      <c r="T681" s="144"/>
      <c r="U681" s="144"/>
    </row>
    <row r="682" spans="5:21" x14ac:dyDescent="0.35">
      <c r="E682" s="135">
        <v>670</v>
      </c>
      <c r="F682" s="135">
        <v>6</v>
      </c>
      <c r="G682" s="141">
        <f t="shared" si="58"/>
        <v>142.88149346728659</v>
      </c>
      <c r="H682" s="155">
        <f t="shared" si="59"/>
        <v>200</v>
      </c>
      <c r="I682" s="142">
        <f t="shared" si="60"/>
        <v>14500000</v>
      </c>
      <c r="J682" s="142">
        <f>0</f>
        <v>0</v>
      </c>
      <c r="K682" s="142">
        <f t="shared" si="61"/>
        <v>819797.59943562665</v>
      </c>
      <c r="L682" s="142">
        <f t="shared" si="62"/>
        <v>15319797.599435627</v>
      </c>
      <c r="T682" s="144"/>
      <c r="U682" s="144"/>
    </row>
    <row r="683" spans="5:21" x14ac:dyDescent="0.35">
      <c r="E683" s="135">
        <v>671</v>
      </c>
      <c r="F683" s="135">
        <v>0</v>
      </c>
      <c r="G683" s="141">
        <f t="shared" si="58"/>
        <v>0</v>
      </c>
      <c r="H683" s="155">
        <f t="shared" si="59"/>
        <v>0</v>
      </c>
      <c r="I683" s="142">
        <f t="shared" si="60"/>
        <v>0</v>
      </c>
      <c r="J683" s="142">
        <f>0</f>
        <v>0</v>
      </c>
      <c r="K683" s="142">
        <f t="shared" si="61"/>
        <v>0</v>
      </c>
      <c r="L683" s="142">
        <f t="shared" si="62"/>
        <v>0</v>
      </c>
      <c r="T683" s="144"/>
      <c r="U683" s="144"/>
    </row>
    <row r="684" spans="5:21" x14ac:dyDescent="0.35">
      <c r="E684" s="135">
        <v>672</v>
      </c>
      <c r="F684" s="135">
        <v>0</v>
      </c>
      <c r="G684" s="141">
        <f t="shared" si="58"/>
        <v>0</v>
      </c>
      <c r="H684" s="155">
        <f t="shared" si="59"/>
        <v>0</v>
      </c>
      <c r="I684" s="142">
        <f t="shared" si="60"/>
        <v>0</v>
      </c>
      <c r="J684" s="142">
        <f>0</f>
        <v>0</v>
      </c>
      <c r="K684" s="142">
        <f t="shared" si="61"/>
        <v>0</v>
      </c>
      <c r="L684" s="142">
        <f t="shared" si="62"/>
        <v>0</v>
      </c>
      <c r="T684" s="144"/>
      <c r="U684" s="144"/>
    </row>
    <row r="685" spans="5:21" x14ac:dyDescent="0.35">
      <c r="E685" s="135">
        <v>673</v>
      </c>
      <c r="F685" s="135">
        <v>2</v>
      </c>
      <c r="G685" s="141">
        <f t="shared" si="58"/>
        <v>47.627164489095527</v>
      </c>
      <c r="H685" s="155">
        <f t="shared" si="59"/>
        <v>200</v>
      </c>
      <c r="I685" s="142">
        <f t="shared" si="60"/>
        <v>14500000</v>
      </c>
      <c r="J685" s="142">
        <f>0</f>
        <v>0</v>
      </c>
      <c r="K685" s="142">
        <f t="shared" si="61"/>
        <v>273265.86647854222</v>
      </c>
      <c r="L685" s="142">
        <f t="shared" si="62"/>
        <v>14773265.866478542</v>
      </c>
      <c r="T685" s="144"/>
      <c r="U685" s="144"/>
    </row>
    <row r="686" spans="5:21" x14ac:dyDescent="0.35">
      <c r="E686" s="135">
        <v>674</v>
      </c>
      <c r="F686" s="135">
        <v>0</v>
      </c>
      <c r="G686" s="141">
        <f t="shared" si="58"/>
        <v>0</v>
      </c>
      <c r="H686" s="155">
        <f t="shared" si="59"/>
        <v>0</v>
      </c>
      <c r="I686" s="142">
        <f t="shared" si="60"/>
        <v>0</v>
      </c>
      <c r="J686" s="142">
        <f>0</f>
        <v>0</v>
      </c>
      <c r="K686" s="142">
        <f t="shared" si="61"/>
        <v>0</v>
      </c>
      <c r="L686" s="142">
        <f t="shared" si="62"/>
        <v>0</v>
      </c>
      <c r="T686" s="144"/>
      <c r="U686" s="144"/>
    </row>
    <row r="687" spans="5:21" x14ac:dyDescent="0.35">
      <c r="E687" s="135">
        <v>675</v>
      </c>
      <c r="F687" s="135">
        <v>3</v>
      </c>
      <c r="G687" s="141">
        <f t="shared" si="58"/>
        <v>71.440746733643294</v>
      </c>
      <c r="H687" s="155">
        <f t="shared" si="59"/>
        <v>200</v>
      </c>
      <c r="I687" s="142">
        <f t="shared" si="60"/>
        <v>14500000</v>
      </c>
      <c r="J687" s="142">
        <f>0</f>
        <v>0</v>
      </c>
      <c r="K687" s="142">
        <f t="shared" si="61"/>
        <v>409898.79971781332</v>
      </c>
      <c r="L687" s="142">
        <f t="shared" si="62"/>
        <v>14909898.799717814</v>
      </c>
      <c r="T687" s="144"/>
      <c r="U687" s="144"/>
    </row>
    <row r="688" spans="5:21" x14ac:dyDescent="0.35">
      <c r="E688" s="135">
        <v>676</v>
      </c>
      <c r="F688" s="135">
        <v>0</v>
      </c>
      <c r="G688" s="141">
        <f t="shared" si="58"/>
        <v>0</v>
      </c>
      <c r="H688" s="155">
        <f t="shared" si="59"/>
        <v>0</v>
      </c>
      <c r="I688" s="142">
        <f t="shared" si="60"/>
        <v>0</v>
      </c>
      <c r="J688" s="142">
        <f>0</f>
        <v>0</v>
      </c>
      <c r="K688" s="142">
        <f t="shared" si="61"/>
        <v>0</v>
      </c>
      <c r="L688" s="142">
        <f t="shared" si="62"/>
        <v>0</v>
      </c>
      <c r="T688" s="144"/>
      <c r="U688" s="144"/>
    </row>
    <row r="689" spans="5:21" x14ac:dyDescent="0.35">
      <c r="E689" s="135">
        <v>677</v>
      </c>
      <c r="F689" s="135">
        <v>1</v>
      </c>
      <c r="G689" s="141">
        <f t="shared" si="58"/>
        <v>23.813582244547764</v>
      </c>
      <c r="H689" s="155">
        <f t="shared" si="59"/>
        <v>0</v>
      </c>
      <c r="I689" s="142">
        <f t="shared" si="60"/>
        <v>0</v>
      </c>
      <c r="J689" s="142">
        <f>0</f>
        <v>0</v>
      </c>
      <c r="K689" s="142">
        <f t="shared" si="61"/>
        <v>136632.93323927111</v>
      </c>
      <c r="L689" s="142">
        <f t="shared" si="62"/>
        <v>136632.93323927111</v>
      </c>
      <c r="T689" s="144"/>
      <c r="U689" s="144"/>
    </row>
    <row r="690" spans="5:21" x14ac:dyDescent="0.35">
      <c r="E690" s="135">
        <v>678</v>
      </c>
      <c r="F690" s="135">
        <v>1</v>
      </c>
      <c r="G690" s="141">
        <f t="shared" si="58"/>
        <v>23.813582244547764</v>
      </c>
      <c r="H690" s="155">
        <f t="shared" si="59"/>
        <v>0</v>
      </c>
      <c r="I690" s="142">
        <f t="shared" si="60"/>
        <v>0</v>
      </c>
      <c r="J690" s="142">
        <f>0</f>
        <v>0</v>
      </c>
      <c r="K690" s="142">
        <f t="shared" si="61"/>
        <v>136632.93323927111</v>
      </c>
      <c r="L690" s="142">
        <f t="shared" si="62"/>
        <v>136632.93323927111</v>
      </c>
      <c r="T690" s="144"/>
      <c r="U690" s="144"/>
    </row>
    <row r="691" spans="5:21" x14ac:dyDescent="0.35">
      <c r="E691" s="135">
        <v>679</v>
      </c>
      <c r="F691" s="135">
        <v>0</v>
      </c>
      <c r="G691" s="141">
        <f t="shared" si="58"/>
        <v>0</v>
      </c>
      <c r="H691" s="155">
        <f t="shared" si="59"/>
        <v>0</v>
      </c>
      <c r="I691" s="142">
        <f t="shared" si="60"/>
        <v>0</v>
      </c>
      <c r="J691" s="142">
        <f>0</f>
        <v>0</v>
      </c>
      <c r="K691" s="142">
        <f t="shared" si="61"/>
        <v>0</v>
      </c>
      <c r="L691" s="142">
        <f t="shared" si="62"/>
        <v>0</v>
      </c>
      <c r="T691" s="144"/>
      <c r="U691" s="144"/>
    </row>
    <row r="692" spans="5:21" x14ac:dyDescent="0.35">
      <c r="E692" s="135">
        <v>680</v>
      </c>
      <c r="F692" s="135">
        <v>1</v>
      </c>
      <c r="G692" s="141">
        <f t="shared" si="58"/>
        <v>23.813582244547764</v>
      </c>
      <c r="H692" s="155">
        <f t="shared" si="59"/>
        <v>0</v>
      </c>
      <c r="I692" s="142">
        <f t="shared" si="60"/>
        <v>0</v>
      </c>
      <c r="J692" s="142">
        <f>0</f>
        <v>0</v>
      </c>
      <c r="K692" s="142">
        <f t="shared" si="61"/>
        <v>136632.93323927111</v>
      </c>
      <c r="L692" s="142">
        <f t="shared" si="62"/>
        <v>136632.93323927111</v>
      </c>
      <c r="T692" s="144"/>
      <c r="U692" s="144"/>
    </row>
    <row r="693" spans="5:21" x14ac:dyDescent="0.35">
      <c r="E693" s="135">
        <v>681</v>
      </c>
      <c r="F693" s="135">
        <v>0</v>
      </c>
      <c r="G693" s="141">
        <f t="shared" si="58"/>
        <v>0</v>
      </c>
      <c r="H693" s="155">
        <f t="shared" si="59"/>
        <v>0</v>
      </c>
      <c r="I693" s="142">
        <f t="shared" si="60"/>
        <v>0</v>
      </c>
      <c r="J693" s="142">
        <f>0</f>
        <v>0</v>
      </c>
      <c r="K693" s="142">
        <f t="shared" si="61"/>
        <v>0</v>
      </c>
      <c r="L693" s="142">
        <f t="shared" si="62"/>
        <v>0</v>
      </c>
      <c r="T693" s="144"/>
      <c r="U693" s="144"/>
    </row>
    <row r="694" spans="5:21" x14ac:dyDescent="0.35">
      <c r="E694" s="135">
        <v>682</v>
      </c>
      <c r="F694" s="135">
        <v>3</v>
      </c>
      <c r="G694" s="141">
        <f t="shared" si="58"/>
        <v>71.440746733643294</v>
      </c>
      <c r="H694" s="155">
        <f t="shared" si="59"/>
        <v>200</v>
      </c>
      <c r="I694" s="142">
        <f t="shared" si="60"/>
        <v>14500000</v>
      </c>
      <c r="J694" s="142">
        <f>0</f>
        <v>0</v>
      </c>
      <c r="K694" s="142">
        <f t="shared" si="61"/>
        <v>409898.79971781332</v>
      </c>
      <c r="L694" s="142">
        <f t="shared" si="62"/>
        <v>14909898.799717814</v>
      </c>
      <c r="T694" s="144"/>
      <c r="U694" s="144"/>
    </row>
    <row r="695" spans="5:21" x14ac:dyDescent="0.35">
      <c r="E695" s="135">
        <v>683</v>
      </c>
      <c r="F695" s="135">
        <v>0</v>
      </c>
      <c r="G695" s="141">
        <f t="shared" si="58"/>
        <v>0</v>
      </c>
      <c r="H695" s="155">
        <f t="shared" si="59"/>
        <v>0</v>
      </c>
      <c r="I695" s="142">
        <f t="shared" si="60"/>
        <v>0</v>
      </c>
      <c r="J695" s="142">
        <f>0</f>
        <v>0</v>
      </c>
      <c r="K695" s="142">
        <f t="shared" si="61"/>
        <v>0</v>
      </c>
      <c r="L695" s="142">
        <f t="shared" si="62"/>
        <v>0</v>
      </c>
      <c r="T695" s="144"/>
      <c r="U695" s="144"/>
    </row>
    <row r="696" spans="5:21" x14ac:dyDescent="0.35">
      <c r="E696" s="135">
        <v>684</v>
      </c>
      <c r="F696" s="135">
        <v>0</v>
      </c>
      <c r="G696" s="141">
        <f t="shared" si="58"/>
        <v>0</v>
      </c>
      <c r="H696" s="155">
        <f t="shared" si="59"/>
        <v>0</v>
      </c>
      <c r="I696" s="142">
        <f t="shared" si="60"/>
        <v>0</v>
      </c>
      <c r="J696" s="142">
        <f>0</f>
        <v>0</v>
      </c>
      <c r="K696" s="142">
        <f t="shared" si="61"/>
        <v>0</v>
      </c>
      <c r="L696" s="142">
        <f t="shared" si="62"/>
        <v>0</v>
      </c>
      <c r="T696" s="144"/>
      <c r="U696" s="144"/>
    </row>
    <row r="697" spans="5:21" x14ac:dyDescent="0.35">
      <c r="E697" s="135">
        <v>685</v>
      </c>
      <c r="F697" s="135">
        <v>0</v>
      </c>
      <c r="G697" s="141">
        <f t="shared" si="58"/>
        <v>0</v>
      </c>
      <c r="H697" s="155">
        <f t="shared" si="59"/>
        <v>0</v>
      </c>
      <c r="I697" s="142">
        <f t="shared" si="60"/>
        <v>0</v>
      </c>
      <c r="J697" s="142">
        <f>0</f>
        <v>0</v>
      </c>
      <c r="K697" s="142">
        <f t="shared" si="61"/>
        <v>0</v>
      </c>
      <c r="L697" s="142">
        <f t="shared" si="62"/>
        <v>0</v>
      </c>
      <c r="T697" s="144"/>
      <c r="U697" s="144"/>
    </row>
    <row r="698" spans="5:21" x14ac:dyDescent="0.35">
      <c r="E698" s="135">
        <v>686</v>
      </c>
      <c r="F698" s="135">
        <v>0</v>
      </c>
      <c r="G698" s="141">
        <f t="shared" si="58"/>
        <v>0</v>
      </c>
      <c r="H698" s="155">
        <f t="shared" si="59"/>
        <v>0</v>
      </c>
      <c r="I698" s="142">
        <f t="shared" si="60"/>
        <v>0</v>
      </c>
      <c r="J698" s="142">
        <f>0</f>
        <v>0</v>
      </c>
      <c r="K698" s="142">
        <f t="shared" si="61"/>
        <v>0</v>
      </c>
      <c r="L698" s="142">
        <f t="shared" si="62"/>
        <v>0</v>
      </c>
      <c r="T698" s="144"/>
      <c r="U698" s="144"/>
    </row>
    <row r="699" spans="5:21" x14ac:dyDescent="0.35">
      <c r="E699" s="135">
        <v>687</v>
      </c>
      <c r="F699" s="135">
        <v>0</v>
      </c>
      <c r="G699" s="141">
        <f t="shared" si="58"/>
        <v>0</v>
      </c>
      <c r="H699" s="155">
        <f t="shared" si="59"/>
        <v>0</v>
      </c>
      <c r="I699" s="142">
        <f t="shared" si="60"/>
        <v>0</v>
      </c>
      <c r="J699" s="142">
        <f>0</f>
        <v>0</v>
      </c>
      <c r="K699" s="142">
        <f t="shared" si="61"/>
        <v>0</v>
      </c>
      <c r="L699" s="142">
        <f t="shared" si="62"/>
        <v>0</v>
      </c>
      <c r="T699" s="144"/>
      <c r="U699" s="144"/>
    </row>
    <row r="700" spans="5:21" x14ac:dyDescent="0.35">
      <c r="E700" s="135">
        <v>688</v>
      </c>
      <c r="F700" s="135">
        <v>1</v>
      </c>
      <c r="G700" s="141">
        <f t="shared" si="58"/>
        <v>23.813582244547764</v>
      </c>
      <c r="H700" s="155">
        <f t="shared" si="59"/>
        <v>0</v>
      </c>
      <c r="I700" s="142">
        <f t="shared" si="60"/>
        <v>0</v>
      </c>
      <c r="J700" s="142">
        <f>0</f>
        <v>0</v>
      </c>
      <c r="K700" s="142">
        <f t="shared" si="61"/>
        <v>136632.93323927111</v>
      </c>
      <c r="L700" s="142">
        <f t="shared" si="62"/>
        <v>136632.93323927111</v>
      </c>
      <c r="T700" s="144"/>
      <c r="U700" s="144"/>
    </row>
    <row r="701" spans="5:21" x14ac:dyDescent="0.35">
      <c r="E701" s="135">
        <v>689</v>
      </c>
      <c r="F701" s="135">
        <v>0</v>
      </c>
      <c r="G701" s="141">
        <f t="shared" si="58"/>
        <v>0</v>
      </c>
      <c r="H701" s="155">
        <f t="shared" si="59"/>
        <v>0</v>
      </c>
      <c r="I701" s="142">
        <f t="shared" si="60"/>
        <v>0</v>
      </c>
      <c r="J701" s="142">
        <f>0</f>
        <v>0</v>
      </c>
      <c r="K701" s="142">
        <f t="shared" si="61"/>
        <v>0</v>
      </c>
      <c r="L701" s="142">
        <f t="shared" si="62"/>
        <v>0</v>
      </c>
      <c r="T701" s="144"/>
      <c r="U701" s="144"/>
    </row>
    <row r="702" spans="5:21" x14ac:dyDescent="0.35">
      <c r="E702" s="135">
        <v>690</v>
      </c>
      <c r="F702" s="135">
        <v>0</v>
      </c>
      <c r="G702" s="141">
        <f t="shared" si="58"/>
        <v>0</v>
      </c>
      <c r="H702" s="155">
        <f t="shared" si="59"/>
        <v>0</v>
      </c>
      <c r="I702" s="142">
        <f t="shared" si="60"/>
        <v>0</v>
      </c>
      <c r="J702" s="142">
        <f>0</f>
        <v>0</v>
      </c>
      <c r="K702" s="142">
        <f t="shared" si="61"/>
        <v>0</v>
      </c>
      <c r="L702" s="142">
        <f t="shared" si="62"/>
        <v>0</v>
      </c>
      <c r="T702" s="144"/>
      <c r="U702" s="144"/>
    </row>
    <row r="703" spans="5:21" x14ac:dyDescent="0.35">
      <c r="E703" s="135">
        <v>691</v>
      </c>
      <c r="F703" s="135">
        <v>1</v>
      </c>
      <c r="G703" s="141">
        <f t="shared" si="58"/>
        <v>23.813582244547764</v>
      </c>
      <c r="H703" s="155">
        <f t="shared" si="59"/>
        <v>0</v>
      </c>
      <c r="I703" s="142">
        <f t="shared" si="60"/>
        <v>0</v>
      </c>
      <c r="J703" s="142">
        <f>0</f>
        <v>0</v>
      </c>
      <c r="K703" s="142">
        <f t="shared" si="61"/>
        <v>136632.93323927111</v>
      </c>
      <c r="L703" s="142">
        <f t="shared" si="62"/>
        <v>136632.93323927111</v>
      </c>
      <c r="T703" s="144"/>
      <c r="U703" s="144"/>
    </row>
    <row r="704" spans="5:21" x14ac:dyDescent="0.35">
      <c r="E704" s="135">
        <v>692</v>
      </c>
      <c r="F704" s="135">
        <v>0</v>
      </c>
      <c r="G704" s="141">
        <f t="shared" si="58"/>
        <v>0</v>
      </c>
      <c r="H704" s="155">
        <f t="shared" si="59"/>
        <v>0</v>
      </c>
      <c r="I704" s="142">
        <f t="shared" si="60"/>
        <v>0</v>
      </c>
      <c r="J704" s="142">
        <f>0</f>
        <v>0</v>
      </c>
      <c r="K704" s="142">
        <f t="shared" si="61"/>
        <v>0</v>
      </c>
      <c r="L704" s="142">
        <f t="shared" si="62"/>
        <v>0</v>
      </c>
      <c r="T704" s="144"/>
      <c r="U704" s="144"/>
    </row>
    <row r="705" spans="5:21" x14ac:dyDescent="0.35">
      <c r="E705" s="135">
        <v>693</v>
      </c>
      <c r="F705" s="135">
        <v>1</v>
      </c>
      <c r="G705" s="141">
        <f t="shared" si="58"/>
        <v>23.813582244547764</v>
      </c>
      <c r="H705" s="155">
        <f t="shared" si="59"/>
        <v>0</v>
      </c>
      <c r="I705" s="142">
        <f t="shared" si="60"/>
        <v>0</v>
      </c>
      <c r="J705" s="142">
        <f>0</f>
        <v>0</v>
      </c>
      <c r="K705" s="142">
        <f t="shared" si="61"/>
        <v>136632.93323927111</v>
      </c>
      <c r="L705" s="142">
        <f t="shared" si="62"/>
        <v>136632.93323927111</v>
      </c>
      <c r="T705" s="144"/>
      <c r="U705" s="144"/>
    </row>
    <row r="706" spans="5:21" x14ac:dyDescent="0.35">
      <c r="E706" s="135">
        <v>694</v>
      </c>
      <c r="F706" s="135">
        <v>0</v>
      </c>
      <c r="G706" s="141">
        <f t="shared" si="58"/>
        <v>0</v>
      </c>
      <c r="H706" s="155">
        <f t="shared" si="59"/>
        <v>0</v>
      </c>
      <c r="I706" s="142">
        <f t="shared" si="60"/>
        <v>0</v>
      </c>
      <c r="J706" s="142">
        <f>0</f>
        <v>0</v>
      </c>
      <c r="K706" s="142">
        <f t="shared" si="61"/>
        <v>0</v>
      </c>
      <c r="L706" s="142">
        <f t="shared" si="62"/>
        <v>0</v>
      </c>
      <c r="T706" s="144"/>
      <c r="U706" s="144"/>
    </row>
    <row r="707" spans="5:21" x14ac:dyDescent="0.35">
      <c r="E707" s="135">
        <v>695</v>
      </c>
      <c r="F707" s="135">
        <v>0</v>
      </c>
      <c r="G707" s="141">
        <f t="shared" si="58"/>
        <v>0</v>
      </c>
      <c r="H707" s="155">
        <f t="shared" si="59"/>
        <v>0</v>
      </c>
      <c r="I707" s="142">
        <f t="shared" si="60"/>
        <v>0</v>
      </c>
      <c r="J707" s="142">
        <f>0</f>
        <v>0</v>
      </c>
      <c r="K707" s="142">
        <f t="shared" si="61"/>
        <v>0</v>
      </c>
      <c r="L707" s="142">
        <f t="shared" si="62"/>
        <v>0</v>
      </c>
      <c r="T707" s="144"/>
      <c r="U707" s="144"/>
    </row>
    <row r="708" spans="5:21" x14ac:dyDescent="0.35">
      <c r="E708" s="135">
        <v>696</v>
      </c>
      <c r="F708" s="135">
        <v>1</v>
      </c>
      <c r="G708" s="141">
        <f t="shared" si="58"/>
        <v>23.813582244547764</v>
      </c>
      <c r="H708" s="155">
        <f t="shared" si="59"/>
        <v>0</v>
      </c>
      <c r="I708" s="142">
        <f t="shared" si="60"/>
        <v>0</v>
      </c>
      <c r="J708" s="142">
        <f>0</f>
        <v>0</v>
      </c>
      <c r="K708" s="142">
        <f t="shared" si="61"/>
        <v>136632.93323927111</v>
      </c>
      <c r="L708" s="142">
        <f t="shared" si="62"/>
        <v>136632.93323927111</v>
      </c>
      <c r="T708" s="144"/>
      <c r="U708" s="144"/>
    </row>
    <row r="709" spans="5:21" x14ac:dyDescent="0.35">
      <c r="E709" s="135">
        <v>697</v>
      </c>
      <c r="F709" s="135">
        <v>0</v>
      </c>
      <c r="G709" s="141">
        <f t="shared" si="58"/>
        <v>0</v>
      </c>
      <c r="H709" s="155">
        <f t="shared" si="59"/>
        <v>0</v>
      </c>
      <c r="I709" s="142">
        <f t="shared" si="60"/>
        <v>0</v>
      </c>
      <c r="J709" s="142">
        <f>0</f>
        <v>0</v>
      </c>
      <c r="K709" s="142">
        <f t="shared" si="61"/>
        <v>0</v>
      </c>
      <c r="L709" s="142">
        <f t="shared" si="62"/>
        <v>0</v>
      </c>
      <c r="T709" s="144"/>
      <c r="U709" s="144"/>
    </row>
    <row r="710" spans="5:21" x14ac:dyDescent="0.35">
      <c r="E710" s="135">
        <v>698</v>
      </c>
      <c r="F710" s="135">
        <v>0</v>
      </c>
      <c r="G710" s="141">
        <f t="shared" si="58"/>
        <v>0</v>
      </c>
      <c r="H710" s="155">
        <f t="shared" si="59"/>
        <v>0</v>
      </c>
      <c r="I710" s="142">
        <f t="shared" si="60"/>
        <v>0</v>
      </c>
      <c r="J710" s="142">
        <f>0</f>
        <v>0</v>
      </c>
      <c r="K710" s="142">
        <f t="shared" si="61"/>
        <v>0</v>
      </c>
      <c r="L710" s="142">
        <f t="shared" si="62"/>
        <v>0</v>
      </c>
      <c r="T710" s="144"/>
      <c r="U710" s="144"/>
    </row>
    <row r="711" spans="5:21" x14ac:dyDescent="0.35">
      <c r="E711" s="135">
        <v>699</v>
      </c>
      <c r="F711" s="135">
        <v>0</v>
      </c>
      <c r="G711" s="141">
        <f t="shared" si="58"/>
        <v>0</v>
      </c>
      <c r="H711" s="155">
        <f t="shared" si="59"/>
        <v>0</v>
      </c>
      <c r="I711" s="142">
        <f t="shared" si="60"/>
        <v>0</v>
      </c>
      <c r="J711" s="142">
        <f>0</f>
        <v>0</v>
      </c>
      <c r="K711" s="142">
        <f t="shared" si="61"/>
        <v>0</v>
      </c>
      <c r="L711" s="142">
        <f t="shared" si="62"/>
        <v>0</v>
      </c>
      <c r="T711" s="144"/>
      <c r="U711" s="144"/>
    </row>
    <row r="712" spans="5:21" x14ac:dyDescent="0.35">
      <c r="E712" s="135">
        <v>700</v>
      </c>
      <c r="F712" s="135">
        <v>1</v>
      </c>
      <c r="G712" s="141">
        <f t="shared" si="58"/>
        <v>23.813582244547764</v>
      </c>
      <c r="H712" s="155">
        <f t="shared" si="59"/>
        <v>0</v>
      </c>
      <c r="I712" s="142">
        <f t="shared" si="60"/>
        <v>0</v>
      </c>
      <c r="J712" s="142">
        <f>0</f>
        <v>0</v>
      </c>
      <c r="K712" s="142">
        <f t="shared" si="61"/>
        <v>136632.93323927111</v>
      </c>
      <c r="L712" s="142">
        <f t="shared" si="62"/>
        <v>136632.93323927111</v>
      </c>
      <c r="T712" s="144"/>
      <c r="U712" s="144"/>
    </row>
    <row r="713" spans="5:21" x14ac:dyDescent="0.35">
      <c r="E713" s="135">
        <v>701</v>
      </c>
      <c r="F713" s="135">
        <v>1</v>
      </c>
      <c r="G713" s="141">
        <f t="shared" si="58"/>
        <v>23.813582244547764</v>
      </c>
      <c r="H713" s="155">
        <f t="shared" si="59"/>
        <v>0</v>
      </c>
      <c r="I713" s="142">
        <f t="shared" si="60"/>
        <v>0</v>
      </c>
      <c r="J713" s="142">
        <f>0</f>
        <v>0</v>
      </c>
      <c r="K713" s="142">
        <f t="shared" si="61"/>
        <v>136632.93323927111</v>
      </c>
      <c r="L713" s="142">
        <f t="shared" si="62"/>
        <v>136632.93323927111</v>
      </c>
      <c r="T713" s="144"/>
      <c r="U713" s="144"/>
    </row>
    <row r="714" spans="5:21" x14ac:dyDescent="0.35">
      <c r="E714" s="135">
        <v>702</v>
      </c>
      <c r="F714" s="135">
        <v>0</v>
      </c>
      <c r="G714" s="141">
        <f t="shared" si="58"/>
        <v>0</v>
      </c>
      <c r="H714" s="155">
        <f t="shared" si="59"/>
        <v>0</v>
      </c>
      <c r="I714" s="142">
        <f t="shared" si="60"/>
        <v>0</v>
      </c>
      <c r="J714" s="142">
        <f>0</f>
        <v>0</v>
      </c>
      <c r="K714" s="142">
        <f t="shared" si="61"/>
        <v>0</v>
      </c>
      <c r="L714" s="142">
        <f t="shared" si="62"/>
        <v>0</v>
      </c>
      <c r="T714" s="144"/>
      <c r="U714" s="144"/>
    </row>
    <row r="715" spans="5:21" x14ac:dyDescent="0.35">
      <c r="E715" s="135">
        <v>703</v>
      </c>
      <c r="F715" s="135">
        <v>0</v>
      </c>
      <c r="G715" s="141">
        <f t="shared" si="58"/>
        <v>0</v>
      </c>
      <c r="H715" s="155">
        <f t="shared" si="59"/>
        <v>0</v>
      </c>
      <c r="I715" s="142">
        <f t="shared" si="60"/>
        <v>0</v>
      </c>
      <c r="J715" s="142">
        <f>0</f>
        <v>0</v>
      </c>
      <c r="K715" s="142">
        <f t="shared" si="61"/>
        <v>0</v>
      </c>
      <c r="L715" s="142">
        <f t="shared" si="62"/>
        <v>0</v>
      </c>
      <c r="T715" s="144"/>
      <c r="U715" s="144"/>
    </row>
    <row r="716" spans="5:21" x14ac:dyDescent="0.35">
      <c r="E716" s="135">
        <v>704</v>
      </c>
      <c r="F716" s="135">
        <v>1</v>
      </c>
      <c r="G716" s="141">
        <f t="shared" si="58"/>
        <v>23.813582244547764</v>
      </c>
      <c r="H716" s="155">
        <f t="shared" si="59"/>
        <v>0</v>
      </c>
      <c r="I716" s="142">
        <f t="shared" si="60"/>
        <v>0</v>
      </c>
      <c r="J716" s="142">
        <f>0</f>
        <v>0</v>
      </c>
      <c r="K716" s="142">
        <f t="shared" si="61"/>
        <v>136632.93323927111</v>
      </c>
      <c r="L716" s="142">
        <f t="shared" si="62"/>
        <v>136632.93323927111</v>
      </c>
      <c r="T716" s="144"/>
      <c r="U716" s="144"/>
    </row>
    <row r="717" spans="5:21" x14ac:dyDescent="0.35">
      <c r="E717" s="135">
        <v>705</v>
      </c>
      <c r="F717" s="135">
        <v>2</v>
      </c>
      <c r="G717" s="141">
        <f t="shared" ref="G717:G780" si="63">F717*$C$9</f>
        <v>47.627164489095527</v>
      </c>
      <c r="H717" s="155">
        <f t="shared" ref="H717:H780" si="64">IF(F717 &gt; 1,$C$13*20000,0)</f>
        <v>200</v>
      </c>
      <c r="I717" s="142">
        <f t="shared" ref="I717:I780" si="65">IF(F717 &gt; 1,$C$4,0)</f>
        <v>14500000</v>
      </c>
      <c r="J717" s="142">
        <f>0</f>
        <v>0</v>
      </c>
      <c r="K717" s="142">
        <f t="shared" ref="K717:K780" si="66">F717*$C$5</f>
        <v>273265.86647854222</v>
      </c>
      <c r="L717" s="142">
        <f t="shared" ref="L717:L780" si="67">J717+I717+K717</f>
        <v>14773265.866478542</v>
      </c>
      <c r="T717" s="144"/>
      <c r="U717" s="144"/>
    </row>
    <row r="718" spans="5:21" x14ac:dyDescent="0.35">
      <c r="E718" s="135">
        <v>706</v>
      </c>
      <c r="F718" s="135">
        <v>0</v>
      </c>
      <c r="G718" s="141">
        <f t="shared" si="63"/>
        <v>0</v>
      </c>
      <c r="H718" s="155">
        <f t="shared" si="64"/>
        <v>0</v>
      </c>
      <c r="I718" s="142">
        <f t="shared" si="65"/>
        <v>0</v>
      </c>
      <c r="J718" s="142">
        <f>0</f>
        <v>0</v>
      </c>
      <c r="K718" s="142">
        <f t="shared" si="66"/>
        <v>0</v>
      </c>
      <c r="L718" s="142">
        <f t="shared" si="67"/>
        <v>0</v>
      </c>
      <c r="T718" s="144"/>
      <c r="U718" s="144"/>
    </row>
    <row r="719" spans="5:21" x14ac:dyDescent="0.35">
      <c r="E719" s="135">
        <v>707</v>
      </c>
      <c r="F719" s="135">
        <v>0</v>
      </c>
      <c r="G719" s="141">
        <f t="shared" si="63"/>
        <v>0</v>
      </c>
      <c r="H719" s="155">
        <f t="shared" si="64"/>
        <v>0</v>
      </c>
      <c r="I719" s="142">
        <f t="shared" si="65"/>
        <v>0</v>
      </c>
      <c r="J719" s="142">
        <f>0</f>
        <v>0</v>
      </c>
      <c r="K719" s="142">
        <f t="shared" si="66"/>
        <v>0</v>
      </c>
      <c r="L719" s="142">
        <f t="shared" si="67"/>
        <v>0</v>
      </c>
      <c r="T719" s="144"/>
      <c r="U719" s="144"/>
    </row>
    <row r="720" spans="5:21" x14ac:dyDescent="0.35">
      <c r="E720" s="135">
        <v>708</v>
      </c>
      <c r="F720" s="135">
        <v>0</v>
      </c>
      <c r="G720" s="141">
        <f t="shared" si="63"/>
        <v>0</v>
      </c>
      <c r="H720" s="155">
        <f t="shared" si="64"/>
        <v>0</v>
      </c>
      <c r="I720" s="142">
        <f t="shared" si="65"/>
        <v>0</v>
      </c>
      <c r="J720" s="142">
        <f>0</f>
        <v>0</v>
      </c>
      <c r="K720" s="142">
        <f t="shared" si="66"/>
        <v>0</v>
      </c>
      <c r="L720" s="142">
        <f t="shared" si="67"/>
        <v>0</v>
      </c>
      <c r="T720" s="144"/>
      <c r="U720" s="144"/>
    </row>
    <row r="721" spans="5:21" x14ac:dyDescent="0.35">
      <c r="E721" s="135">
        <v>709</v>
      </c>
      <c r="F721" s="135">
        <v>0</v>
      </c>
      <c r="G721" s="141">
        <f t="shared" si="63"/>
        <v>0</v>
      </c>
      <c r="H721" s="155">
        <f t="shared" si="64"/>
        <v>0</v>
      </c>
      <c r="I721" s="142">
        <f t="shared" si="65"/>
        <v>0</v>
      </c>
      <c r="J721" s="142">
        <f>0</f>
        <v>0</v>
      </c>
      <c r="K721" s="142">
        <f t="shared" si="66"/>
        <v>0</v>
      </c>
      <c r="L721" s="142">
        <f t="shared" si="67"/>
        <v>0</v>
      </c>
      <c r="T721" s="144"/>
      <c r="U721" s="144"/>
    </row>
    <row r="722" spans="5:21" x14ac:dyDescent="0.35">
      <c r="E722" s="135">
        <v>710</v>
      </c>
      <c r="F722" s="135">
        <v>0</v>
      </c>
      <c r="G722" s="141">
        <f t="shared" si="63"/>
        <v>0</v>
      </c>
      <c r="H722" s="155">
        <f t="shared" si="64"/>
        <v>0</v>
      </c>
      <c r="I722" s="142">
        <f t="shared" si="65"/>
        <v>0</v>
      </c>
      <c r="J722" s="142">
        <f>0</f>
        <v>0</v>
      </c>
      <c r="K722" s="142">
        <f t="shared" si="66"/>
        <v>0</v>
      </c>
      <c r="L722" s="142">
        <f t="shared" si="67"/>
        <v>0</v>
      </c>
      <c r="T722" s="144"/>
      <c r="U722" s="144"/>
    </row>
    <row r="723" spans="5:21" x14ac:dyDescent="0.35">
      <c r="E723" s="135">
        <v>711</v>
      </c>
      <c r="F723" s="135">
        <v>0</v>
      </c>
      <c r="G723" s="141">
        <f t="shared" si="63"/>
        <v>0</v>
      </c>
      <c r="H723" s="155">
        <f t="shared" si="64"/>
        <v>0</v>
      </c>
      <c r="I723" s="142">
        <f t="shared" si="65"/>
        <v>0</v>
      </c>
      <c r="J723" s="142">
        <f>0</f>
        <v>0</v>
      </c>
      <c r="K723" s="142">
        <f t="shared" si="66"/>
        <v>0</v>
      </c>
      <c r="L723" s="142">
        <f t="shared" si="67"/>
        <v>0</v>
      </c>
      <c r="T723" s="144"/>
      <c r="U723" s="144"/>
    </row>
    <row r="724" spans="5:21" x14ac:dyDescent="0.35">
      <c r="E724" s="135">
        <v>712</v>
      </c>
      <c r="F724" s="135">
        <v>0</v>
      </c>
      <c r="G724" s="141">
        <f t="shared" si="63"/>
        <v>0</v>
      </c>
      <c r="H724" s="155">
        <f t="shared" si="64"/>
        <v>0</v>
      </c>
      <c r="I724" s="142">
        <f t="shared" si="65"/>
        <v>0</v>
      </c>
      <c r="J724" s="142">
        <f>0</f>
        <v>0</v>
      </c>
      <c r="K724" s="142">
        <f t="shared" si="66"/>
        <v>0</v>
      </c>
      <c r="L724" s="142">
        <f t="shared" si="67"/>
        <v>0</v>
      </c>
      <c r="T724" s="144"/>
      <c r="U724" s="144"/>
    </row>
    <row r="725" spans="5:21" x14ac:dyDescent="0.35">
      <c r="E725" s="135">
        <v>713</v>
      </c>
      <c r="F725" s="135">
        <v>0</v>
      </c>
      <c r="G725" s="141">
        <f t="shared" si="63"/>
        <v>0</v>
      </c>
      <c r="H725" s="155">
        <f t="shared" si="64"/>
        <v>0</v>
      </c>
      <c r="I725" s="142">
        <f t="shared" si="65"/>
        <v>0</v>
      </c>
      <c r="J725" s="142">
        <f>0</f>
        <v>0</v>
      </c>
      <c r="K725" s="142">
        <f t="shared" si="66"/>
        <v>0</v>
      </c>
      <c r="L725" s="142">
        <f t="shared" si="67"/>
        <v>0</v>
      </c>
      <c r="T725" s="144"/>
      <c r="U725" s="144"/>
    </row>
    <row r="726" spans="5:21" x14ac:dyDescent="0.35">
      <c r="E726" s="135">
        <v>714</v>
      </c>
      <c r="F726" s="135">
        <v>0</v>
      </c>
      <c r="G726" s="141">
        <f t="shared" si="63"/>
        <v>0</v>
      </c>
      <c r="H726" s="155">
        <f t="shared" si="64"/>
        <v>0</v>
      </c>
      <c r="I726" s="142">
        <f t="shared" si="65"/>
        <v>0</v>
      </c>
      <c r="J726" s="142">
        <f>0</f>
        <v>0</v>
      </c>
      <c r="K726" s="142">
        <f t="shared" si="66"/>
        <v>0</v>
      </c>
      <c r="L726" s="142">
        <f t="shared" si="67"/>
        <v>0</v>
      </c>
      <c r="T726" s="144"/>
      <c r="U726" s="144"/>
    </row>
    <row r="727" spans="5:21" x14ac:dyDescent="0.35">
      <c r="E727" s="135">
        <v>715</v>
      </c>
      <c r="F727" s="135">
        <v>1</v>
      </c>
      <c r="G727" s="141">
        <f t="shared" si="63"/>
        <v>23.813582244547764</v>
      </c>
      <c r="H727" s="155">
        <f t="shared" si="64"/>
        <v>0</v>
      </c>
      <c r="I727" s="142">
        <f t="shared" si="65"/>
        <v>0</v>
      </c>
      <c r="J727" s="142">
        <f>0</f>
        <v>0</v>
      </c>
      <c r="K727" s="142">
        <f t="shared" si="66"/>
        <v>136632.93323927111</v>
      </c>
      <c r="L727" s="142">
        <f t="shared" si="67"/>
        <v>136632.93323927111</v>
      </c>
      <c r="T727" s="144"/>
      <c r="U727" s="144"/>
    </row>
    <row r="728" spans="5:21" x14ac:dyDescent="0.35">
      <c r="E728" s="135">
        <v>716</v>
      </c>
      <c r="F728" s="135">
        <v>1</v>
      </c>
      <c r="G728" s="141">
        <f t="shared" si="63"/>
        <v>23.813582244547764</v>
      </c>
      <c r="H728" s="155">
        <f t="shared" si="64"/>
        <v>0</v>
      </c>
      <c r="I728" s="142">
        <f t="shared" si="65"/>
        <v>0</v>
      </c>
      <c r="J728" s="142">
        <f>0</f>
        <v>0</v>
      </c>
      <c r="K728" s="142">
        <f t="shared" si="66"/>
        <v>136632.93323927111</v>
      </c>
      <c r="L728" s="142">
        <f t="shared" si="67"/>
        <v>136632.93323927111</v>
      </c>
      <c r="T728" s="144"/>
      <c r="U728" s="144"/>
    </row>
    <row r="729" spans="5:21" x14ac:dyDescent="0.35">
      <c r="E729" s="135">
        <v>717</v>
      </c>
      <c r="F729" s="135">
        <v>0</v>
      </c>
      <c r="G729" s="141">
        <f t="shared" si="63"/>
        <v>0</v>
      </c>
      <c r="H729" s="155">
        <f t="shared" si="64"/>
        <v>0</v>
      </c>
      <c r="I729" s="142">
        <f t="shared" si="65"/>
        <v>0</v>
      </c>
      <c r="J729" s="142">
        <f>0</f>
        <v>0</v>
      </c>
      <c r="K729" s="142">
        <f t="shared" si="66"/>
        <v>0</v>
      </c>
      <c r="L729" s="142">
        <f t="shared" si="67"/>
        <v>0</v>
      </c>
      <c r="T729" s="144"/>
      <c r="U729" s="144"/>
    </row>
    <row r="730" spans="5:21" x14ac:dyDescent="0.35">
      <c r="E730" s="135">
        <v>718</v>
      </c>
      <c r="F730" s="135">
        <v>0</v>
      </c>
      <c r="G730" s="141">
        <f t="shared" si="63"/>
        <v>0</v>
      </c>
      <c r="H730" s="155">
        <f t="shared" si="64"/>
        <v>0</v>
      </c>
      <c r="I730" s="142">
        <f t="shared" si="65"/>
        <v>0</v>
      </c>
      <c r="J730" s="142">
        <f>0</f>
        <v>0</v>
      </c>
      <c r="K730" s="142">
        <f t="shared" si="66"/>
        <v>0</v>
      </c>
      <c r="L730" s="142">
        <f t="shared" si="67"/>
        <v>0</v>
      </c>
      <c r="T730" s="144"/>
      <c r="U730" s="144"/>
    </row>
    <row r="731" spans="5:21" x14ac:dyDescent="0.35">
      <c r="E731" s="135">
        <v>719</v>
      </c>
      <c r="F731" s="135">
        <v>1</v>
      </c>
      <c r="G731" s="141">
        <f t="shared" si="63"/>
        <v>23.813582244547764</v>
      </c>
      <c r="H731" s="155">
        <f t="shared" si="64"/>
        <v>0</v>
      </c>
      <c r="I731" s="142">
        <f t="shared" si="65"/>
        <v>0</v>
      </c>
      <c r="J731" s="142">
        <f>0</f>
        <v>0</v>
      </c>
      <c r="K731" s="142">
        <f t="shared" si="66"/>
        <v>136632.93323927111</v>
      </c>
      <c r="L731" s="142">
        <f t="shared" si="67"/>
        <v>136632.93323927111</v>
      </c>
      <c r="T731" s="144"/>
      <c r="U731" s="144"/>
    </row>
    <row r="732" spans="5:21" x14ac:dyDescent="0.35">
      <c r="E732" s="135">
        <v>720</v>
      </c>
      <c r="F732" s="135">
        <v>1</v>
      </c>
      <c r="G732" s="141">
        <f t="shared" si="63"/>
        <v>23.813582244547764</v>
      </c>
      <c r="H732" s="155">
        <f t="shared" si="64"/>
        <v>0</v>
      </c>
      <c r="I732" s="142">
        <f t="shared" si="65"/>
        <v>0</v>
      </c>
      <c r="J732" s="142">
        <f>0</f>
        <v>0</v>
      </c>
      <c r="K732" s="142">
        <f t="shared" si="66"/>
        <v>136632.93323927111</v>
      </c>
      <c r="L732" s="142">
        <f t="shared" si="67"/>
        <v>136632.93323927111</v>
      </c>
      <c r="T732" s="144"/>
      <c r="U732" s="144"/>
    </row>
    <row r="733" spans="5:21" x14ac:dyDescent="0.35">
      <c r="E733" s="135">
        <v>721</v>
      </c>
      <c r="F733" s="135">
        <v>2</v>
      </c>
      <c r="G733" s="141">
        <f t="shared" si="63"/>
        <v>47.627164489095527</v>
      </c>
      <c r="H733" s="155">
        <f t="shared" si="64"/>
        <v>200</v>
      </c>
      <c r="I733" s="142">
        <f t="shared" si="65"/>
        <v>14500000</v>
      </c>
      <c r="J733" s="142">
        <f>0</f>
        <v>0</v>
      </c>
      <c r="K733" s="142">
        <f t="shared" si="66"/>
        <v>273265.86647854222</v>
      </c>
      <c r="L733" s="142">
        <f t="shared" si="67"/>
        <v>14773265.866478542</v>
      </c>
      <c r="T733" s="144"/>
      <c r="U733" s="144"/>
    </row>
    <row r="734" spans="5:21" x14ac:dyDescent="0.35">
      <c r="E734" s="135">
        <v>722</v>
      </c>
      <c r="F734" s="135">
        <v>0</v>
      </c>
      <c r="G734" s="141">
        <f t="shared" si="63"/>
        <v>0</v>
      </c>
      <c r="H734" s="155">
        <f t="shared" si="64"/>
        <v>0</v>
      </c>
      <c r="I734" s="142">
        <f t="shared" si="65"/>
        <v>0</v>
      </c>
      <c r="J734" s="142">
        <f>0</f>
        <v>0</v>
      </c>
      <c r="K734" s="142">
        <f t="shared" si="66"/>
        <v>0</v>
      </c>
      <c r="L734" s="142">
        <f t="shared" si="67"/>
        <v>0</v>
      </c>
      <c r="T734" s="144"/>
      <c r="U734" s="144"/>
    </row>
    <row r="735" spans="5:21" x14ac:dyDescent="0.35">
      <c r="E735" s="135">
        <v>723</v>
      </c>
      <c r="F735" s="135">
        <v>1</v>
      </c>
      <c r="G735" s="141">
        <f t="shared" si="63"/>
        <v>23.813582244547764</v>
      </c>
      <c r="H735" s="155">
        <f t="shared" si="64"/>
        <v>0</v>
      </c>
      <c r="I735" s="142">
        <f t="shared" si="65"/>
        <v>0</v>
      </c>
      <c r="J735" s="142">
        <f>0</f>
        <v>0</v>
      </c>
      <c r="K735" s="142">
        <f t="shared" si="66"/>
        <v>136632.93323927111</v>
      </c>
      <c r="L735" s="142">
        <f t="shared" si="67"/>
        <v>136632.93323927111</v>
      </c>
      <c r="T735" s="144"/>
      <c r="U735" s="144"/>
    </row>
    <row r="736" spans="5:21" x14ac:dyDescent="0.35">
      <c r="E736" s="135">
        <v>724</v>
      </c>
      <c r="F736" s="135">
        <v>0</v>
      </c>
      <c r="G736" s="141">
        <f t="shared" si="63"/>
        <v>0</v>
      </c>
      <c r="H736" s="155">
        <f t="shared" si="64"/>
        <v>0</v>
      </c>
      <c r="I736" s="142">
        <f t="shared" si="65"/>
        <v>0</v>
      </c>
      <c r="J736" s="142">
        <f>0</f>
        <v>0</v>
      </c>
      <c r="K736" s="142">
        <f t="shared" si="66"/>
        <v>0</v>
      </c>
      <c r="L736" s="142">
        <f t="shared" si="67"/>
        <v>0</v>
      </c>
      <c r="T736" s="144"/>
      <c r="U736" s="144"/>
    </row>
    <row r="737" spans="5:21" x14ac:dyDescent="0.35">
      <c r="E737" s="135">
        <v>725</v>
      </c>
      <c r="F737" s="135">
        <v>0</v>
      </c>
      <c r="G737" s="141">
        <f t="shared" si="63"/>
        <v>0</v>
      </c>
      <c r="H737" s="155">
        <f t="shared" si="64"/>
        <v>0</v>
      </c>
      <c r="I737" s="142">
        <f t="shared" si="65"/>
        <v>0</v>
      </c>
      <c r="J737" s="142">
        <f>0</f>
        <v>0</v>
      </c>
      <c r="K737" s="142">
        <f t="shared" si="66"/>
        <v>0</v>
      </c>
      <c r="L737" s="142">
        <f t="shared" si="67"/>
        <v>0</v>
      </c>
      <c r="T737" s="144"/>
      <c r="U737" s="144"/>
    </row>
    <row r="738" spans="5:21" x14ac:dyDescent="0.35">
      <c r="E738" s="135">
        <v>726</v>
      </c>
      <c r="F738" s="135">
        <v>0</v>
      </c>
      <c r="G738" s="141">
        <f t="shared" si="63"/>
        <v>0</v>
      </c>
      <c r="H738" s="155">
        <f t="shared" si="64"/>
        <v>0</v>
      </c>
      <c r="I738" s="142">
        <f t="shared" si="65"/>
        <v>0</v>
      </c>
      <c r="J738" s="142">
        <f>0</f>
        <v>0</v>
      </c>
      <c r="K738" s="142">
        <f t="shared" si="66"/>
        <v>0</v>
      </c>
      <c r="L738" s="142">
        <f t="shared" si="67"/>
        <v>0</v>
      </c>
      <c r="T738" s="144"/>
      <c r="U738" s="144"/>
    </row>
    <row r="739" spans="5:21" x14ac:dyDescent="0.35">
      <c r="E739" s="135">
        <v>727</v>
      </c>
      <c r="F739" s="135">
        <v>0</v>
      </c>
      <c r="G739" s="141">
        <f t="shared" si="63"/>
        <v>0</v>
      </c>
      <c r="H739" s="155">
        <f t="shared" si="64"/>
        <v>0</v>
      </c>
      <c r="I739" s="142">
        <f t="shared" si="65"/>
        <v>0</v>
      </c>
      <c r="J739" s="142">
        <f>0</f>
        <v>0</v>
      </c>
      <c r="K739" s="142">
        <f t="shared" si="66"/>
        <v>0</v>
      </c>
      <c r="L739" s="142">
        <f t="shared" si="67"/>
        <v>0</v>
      </c>
      <c r="T739" s="144"/>
      <c r="U739" s="144"/>
    </row>
    <row r="740" spans="5:21" x14ac:dyDescent="0.35">
      <c r="E740" s="135">
        <v>728</v>
      </c>
      <c r="F740" s="135">
        <v>1</v>
      </c>
      <c r="G740" s="141">
        <f t="shared" si="63"/>
        <v>23.813582244547764</v>
      </c>
      <c r="H740" s="155">
        <f t="shared" si="64"/>
        <v>0</v>
      </c>
      <c r="I740" s="142">
        <f t="shared" si="65"/>
        <v>0</v>
      </c>
      <c r="J740" s="142">
        <f>0</f>
        <v>0</v>
      </c>
      <c r="K740" s="142">
        <f t="shared" si="66"/>
        <v>136632.93323927111</v>
      </c>
      <c r="L740" s="142">
        <f t="shared" si="67"/>
        <v>136632.93323927111</v>
      </c>
      <c r="T740" s="144"/>
      <c r="U740" s="144"/>
    </row>
    <row r="741" spans="5:21" x14ac:dyDescent="0.35">
      <c r="E741" s="135">
        <v>729</v>
      </c>
      <c r="F741" s="135">
        <v>0</v>
      </c>
      <c r="G741" s="141">
        <f t="shared" si="63"/>
        <v>0</v>
      </c>
      <c r="H741" s="155">
        <f t="shared" si="64"/>
        <v>0</v>
      </c>
      <c r="I741" s="142">
        <f t="shared" si="65"/>
        <v>0</v>
      </c>
      <c r="J741" s="142">
        <f>0</f>
        <v>0</v>
      </c>
      <c r="K741" s="142">
        <f t="shared" si="66"/>
        <v>0</v>
      </c>
      <c r="L741" s="142">
        <f t="shared" si="67"/>
        <v>0</v>
      </c>
      <c r="T741" s="144"/>
      <c r="U741" s="144"/>
    </row>
    <row r="742" spans="5:21" x14ac:dyDescent="0.35">
      <c r="E742" s="135">
        <v>730</v>
      </c>
      <c r="F742" s="135">
        <v>0</v>
      </c>
      <c r="G742" s="141">
        <f t="shared" si="63"/>
        <v>0</v>
      </c>
      <c r="H742" s="155">
        <f t="shared" si="64"/>
        <v>0</v>
      </c>
      <c r="I742" s="142">
        <f t="shared" si="65"/>
        <v>0</v>
      </c>
      <c r="J742" s="142">
        <f>0</f>
        <v>0</v>
      </c>
      <c r="K742" s="142">
        <f t="shared" si="66"/>
        <v>0</v>
      </c>
      <c r="L742" s="142">
        <f t="shared" si="67"/>
        <v>0</v>
      </c>
      <c r="T742" s="144"/>
      <c r="U742" s="144"/>
    </row>
    <row r="743" spans="5:21" x14ac:dyDescent="0.35">
      <c r="E743" s="135">
        <v>731</v>
      </c>
      <c r="F743" s="135">
        <v>0</v>
      </c>
      <c r="G743" s="141">
        <f t="shared" si="63"/>
        <v>0</v>
      </c>
      <c r="H743" s="155">
        <f t="shared" si="64"/>
        <v>0</v>
      </c>
      <c r="I743" s="142">
        <f t="shared" si="65"/>
        <v>0</v>
      </c>
      <c r="J743" s="142">
        <f>0</f>
        <v>0</v>
      </c>
      <c r="K743" s="142">
        <f t="shared" si="66"/>
        <v>0</v>
      </c>
      <c r="L743" s="142">
        <f t="shared" si="67"/>
        <v>0</v>
      </c>
      <c r="T743" s="144"/>
      <c r="U743" s="144"/>
    </row>
    <row r="744" spans="5:21" x14ac:dyDescent="0.35">
      <c r="E744" s="135">
        <v>732</v>
      </c>
      <c r="F744" s="135">
        <v>1</v>
      </c>
      <c r="G744" s="141">
        <f t="shared" si="63"/>
        <v>23.813582244547764</v>
      </c>
      <c r="H744" s="155">
        <f t="shared" si="64"/>
        <v>0</v>
      </c>
      <c r="I744" s="142">
        <f t="shared" si="65"/>
        <v>0</v>
      </c>
      <c r="J744" s="142">
        <f>0</f>
        <v>0</v>
      </c>
      <c r="K744" s="142">
        <f t="shared" si="66"/>
        <v>136632.93323927111</v>
      </c>
      <c r="L744" s="142">
        <f t="shared" si="67"/>
        <v>136632.93323927111</v>
      </c>
      <c r="T744" s="144"/>
      <c r="U744" s="144"/>
    </row>
    <row r="745" spans="5:21" x14ac:dyDescent="0.35">
      <c r="E745" s="135">
        <v>733</v>
      </c>
      <c r="F745" s="135">
        <v>0</v>
      </c>
      <c r="G745" s="141">
        <f t="shared" si="63"/>
        <v>0</v>
      </c>
      <c r="H745" s="155">
        <f t="shared" si="64"/>
        <v>0</v>
      </c>
      <c r="I745" s="142">
        <f t="shared" si="65"/>
        <v>0</v>
      </c>
      <c r="J745" s="142">
        <f>0</f>
        <v>0</v>
      </c>
      <c r="K745" s="142">
        <f t="shared" si="66"/>
        <v>0</v>
      </c>
      <c r="L745" s="142">
        <f t="shared" si="67"/>
        <v>0</v>
      </c>
      <c r="T745" s="144"/>
      <c r="U745" s="144"/>
    </row>
    <row r="746" spans="5:21" x14ac:dyDescent="0.35">
      <c r="E746" s="135">
        <v>734</v>
      </c>
      <c r="F746" s="135">
        <v>0</v>
      </c>
      <c r="G746" s="141">
        <f t="shared" si="63"/>
        <v>0</v>
      </c>
      <c r="H746" s="155">
        <f t="shared" si="64"/>
        <v>0</v>
      </c>
      <c r="I746" s="142">
        <f t="shared" si="65"/>
        <v>0</v>
      </c>
      <c r="J746" s="142">
        <f>0</f>
        <v>0</v>
      </c>
      <c r="K746" s="142">
        <f t="shared" si="66"/>
        <v>0</v>
      </c>
      <c r="L746" s="142">
        <f t="shared" si="67"/>
        <v>0</v>
      </c>
      <c r="T746" s="144"/>
      <c r="U746" s="144"/>
    </row>
    <row r="747" spans="5:21" x14ac:dyDescent="0.35">
      <c r="E747" s="135">
        <v>735</v>
      </c>
      <c r="F747" s="135">
        <v>0</v>
      </c>
      <c r="G747" s="141">
        <f t="shared" si="63"/>
        <v>0</v>
      </c>
      <c r="H747" s="155">
        <f t="shared" si="64"/>
        <v>0</v>
      </c>
      <c r="I747" s="142">
        <f t="shared" si="65"/>
        <v>0</v>
      </c>
      <c r="J747" s="142">
        <f>0</f>
        <v>0</v>
      </c>
      <c r="K747" s="142">
        <f t="shared" si="66"/>
        <v>0</v>
      </c>
      <c r="L747" s="142">
        <f t="shared" si="67"/>
        <v>0</v>
      </c>
      <c r="T747" s="144"/>
      <c r="U747" s="144"/>
    </row>
    <row r="748" spans="5:21" x14ac:dyDescent="0.35">
      <c r="E748" s="135">
        <v>736</v>
      </c>
      <c r="F748" s="135">
        <v>0</v>
      </c>
      <c r="G748" s="141">
        <f t="shared" si="63"/>
        <v>0</v>
      </c>
      <c r="H748" s="155">
        <f t="shared" si="64"/>
        <v>0</v>
      </c>
      <c r="I748" s="142">
        <f t="shared" si="65"/>
        <v>0</v>
      </c>
      <c r="J748" s="142">
        <f>0</f>
        <v>0</v>
      </c>
      <c r="K748" s="142">
        <f t="shared" si="66"/>
        <v>0</v>
      </c>
      <c r="L748" s="142">
        <f t="shared" si="67"/>
        <v>0</v>
      </c>
      <c r="T748" s="144"/>
      <c r="U748" s="144"/>
    </row>
    <row r="749" spans="5:21" x14ac:dyDescent="0.35">
      <c r="E749" s="135">
        <v>737</v>
      </c>
      <c r="F749" s="135">
        <v>1</v>
      </c>
      <c r="G749" s="141">
        <f t="shared" si="63"/>
        <v>23.813582244547764</v>
      </c>
      <c r="H749" s="155">
        <f t="shared" si="64"/>
        <v>0</v>
      </c>
      <c r="I749" s="142">
        <f t="shared" si="65"/>
        <v>0</v>
      </c>
      <c r="J749" s="142">
        <f>0</f>
        <v>0</v>
      </c>
      <c r="K749" s="142">
        <f t="shared" si="66"/>
        <v>136632.93323927111</v>
      </c>
      <c r="L749" s="142">
        <f t="shared" si="67"/>
        <v>136632.93323927111</v>
      </c>
      <c r="T749" s="144"/>
      <c r="U749" s="144"/>
    </row>
    <row r="750" spans="5:21" x14ac:dyDescent="0.35">
      <c r="E750" s="135">
        <v>738</v>
      </c>
      <c r="F750" s="135">
        <v>0</v>
      </c>
      <c r="G750" s="141">
        <f t="shared" si="63"/>
        <v>0</v>
      </c>
      <c r="H750" s="155">
        <f t="shared" si="64"/>
        <v>0</v>
      </c>
      <c r="I750" s="142">
        <f t="shared" si="65"/>
        <v>0</v>
      </c>
      <c r="J750" s="142">
        <f>0</f>
        <v>0</v>
      </c>
      <c r="K750" s="142">
        <f t="shared" si="66"/>
        <v>0</v>
      </c>
      <c r="L750" s="142">
        <f t="shared" si="67"/>
        <v>0</v>
      </c>
      <c r="T750" s="144"/>
      <c r="U750" s="144"/>
    </row>
    <row r="751" spans="5:21" x14ac:dyDescent="0.35">
      <c r="E751" s="135">
        <v>739</v>
      </c>
      <c r="F751" s="135">
        <v>0</v>
      </c>
      <c r="G751" s="141">
        <f t="shared" si="63"/>
        <v>0</v>
      </c>
      <c r="H751" s="155">
        <f t="shared" si="64"/>
        <v>0</v>
      </c>
      <c r="I751" s="142">
        <f t="shared" si="65"/>
        <v>0</v>
      </c>
      <c r="J751" s="142">
        <f>0</f>
        <v>0</v>
      </c>
      <c r="K751" s="142">
        <f t="shared" si="66"/>
        <v>0</v>
      </c>
      <c r="L751" s="142">
        <f t="shared" si="67"/>
        <v>0</v>
      </c>
      <c r="T751" s="144"/>
      <c r="U751" s="144"/>
    </row>
    <row r="752" spans="5:21" x14ac:dyDescent="0.35">
      <c r="E752" s="135">
        <v>740</v>
      </c>
      <c r="F752" s="135">
        <v>1</v>
      </c>
      <c r="G752" s="141">
        <f t="shared" si="63"/>
        <v>23.813582244547764</v>
      </c>
      <c r="H752" s="155">
        <f t="shared" si="64"/>
        <v>0</v>
      </c>
      <c r="I752" s="142">
        <f t="shared" si="65"/>
        <v>0</v>
      </c>
      <c r="J752" s="142">
        <f>0</f>
        <v>0</v>
      </c>
      <c r="K752" s="142">
        <f t="shared" si="66"/>
        <v>136632.93323927111</v>
      </c>
      <c r="L752" s="142">
        <f t="shared" si="67"/>
        <v>136632.93323927111</v>
      </c>
      <c r="T752" s="144"/>
      <c r="U752" s="144"/>
    </row>
    <row r="753" spans="5:21" x14ac:dyDescent="0.35">
      <c r="E753" s="135">
        <v>741</v>
      </c>
      <c r="F753" s="135">
        <v>1</v>
      </c>
      <c r="G753" s="141">
        <f t="shared" si="63"/>
        <v>23.813582244547764</v>
      </c>
      <c r="H753" s="155">
        <f t="shared" si="64"/>
        <v>0</v>
      </c>
      <c r="I753" s="142">
        <f t="shared" si="65"/>
        <v>0</v>
      </c>
      <c r="J753" s="142">
        <f>0</f>
        <v>0</v>
      </c>
      <c r="K753" s="142">
        <f t="shared" si="66"/>
        <v>136632.93323927111</v>
      </c>
      <c r="L753" s="142">
        <f t="shared" si="67"/>
        <v>136632.93323927111</v>
      </c>
      <c r="T753" s="144"/>
      <c r="U753" s="144"/>
    </row>
    <row r="754" spans="5:21" x14ac:dyDescent="0.35">
      <c r="E754" s="135">
        <v>742</v>
      </c>
      <c r="F754" s="135">
        <v>1</v>
      </c>
      <c r="G754" s="141">
        <f t="shared" si="63"/>
        <v>23.813582244547764</v>
      </c>
      <c r="H754" s="155">
        <f t="shared" si="64"/>
        <v>0</v>
      </c>
      <c r="I754" s="142">
        <f t="shared" si="65"/>
        <v>0</v>
      </c>
      <c r="J754" s="142">
        <f>0</f>
        <v>0</v>
      </c>
      <c r="K754" s="142">
        <f t="shared" si="66"/>
        <v>136632.93323927111</v>
      </c>
      <c r="L754" s="142">
        <f t="shared" si="67"/>
        <v>136632.93323927111</v>
      </c>
      <c r="T754" s="144"/>
      <c r="U754" s="144"/>
    </row>
    <row r="755" spans="5:21" x14ac:dyDescent="0.35">
      <c r="E755" s="135">
        <v>743</v>
      </c>
      <c r="F755" s="135">
        <v>0</v>
      </c>
      <c r="G755" s="141">
        <f t="shared" si="63"/>
        <v>0</v>
      </c>
      <c r="H755" s="155">
        <f t="shared" si="64"/>
        <v>0</v>
      </c>
      <c r="I755" s="142">
        <f t="shared" si="65"/>
        <v>0</v>
      </c>
      <c r="J755" s="142">
        <f>0</f>
        <v>0</v>
      </c>
      <c r="K755" s="142">
        <f t="shared" si="66"/>
        <v>0</v>
      </c>
      <c r="L755" s="142">
        <f t="shared" si="67"/>
        <v>0</v>
      </c>
      <c r="T755" s="144"/>
      <c r="U755" s="144"/>
    </row>
    <row r="756" spans="5:21" x14ac:dyDescent="0.35">
      <c r="E756" s="135">
        <v>744</v>
      </c>
      <c r="F756" s="135">
        <v>0</v>
      </c>
      <c r="G756" s="141">
        <f t="shared" si="63"/>
        <v>0</v>
      </c>
      <c r="H756" s="155">
        <f t="shared" si="64"/>
        <v>0</v>
      </c>
      <c r="I756" s="142">
        <f t="shared" si="65"/>
        <v>0</v>
      </c>
      <c r="J756" s="142">
        <f>0</f>
        <v>0</v>
      </c>
      <c r="K756" s="142">
        <f t="shared" si="66"/>
        <v>0</v>
      </c>
      <c r="L756" s="142">
        <f t="shared" si="67"/>
        <v>0</v>
      </c>
      <c r="T756" s="144"/>
      <c r="U756" s="144"/>
    </row>
    <row r="757" spans="5:21" x14ac:dyDescent="0.35">
      <c r="E757" s="135">
        <v>745</v>
      </c>
      <c r="F757" s="135">
        <v>0</v>
      </c>
      <c r="G757" s="141">
        <f t="shared" si="63"/>
        <v>0</v>
      </c>
      <c r="H757" s="155">
        <f t="shared" si="64"/>
        <v>0</v>
      </c>
      <c r="I757" s="142">
        <f t="shared" si="65"/>
        <v>0</v>
      </c>
      <c r="J757" s="142">
        <f>0</f>
        <v>0</v>
      </c>
      <c r="K757" s="142">
        <f t="shared" si="66"/>
        <v>0</v>
      </c>
      <c r="L757" s="142">
        <f t="shared" si="67"/>
        <v>0</v>
      </c>
      <c r="T757" s="144"/>
      <c r="U757" s="144"/>
    </row>
    <row r="758" spans="5:21" x14ac:dyDescent="0.35">
      <c r="E758" s="135">
        <v>746</v>
      </c>
      <c r="F758" s="135">
        <v>0</v>
      </c>
      <c r="G758" s="141">
        <f t="shared" si="63"/>
        <v>0</v>
      </c>
      <c r="H758" s="155">
        <f t="shared" si="64"/>
        <v>0</v>
      </c>
      <c r="I758" s="142">
        <f t="shared" si="65"/>
        <v>0</v>
      </c>
      <c r="J758" s="142">
        <f>0</f>
        <v>0</v>
      </c>
      <c r="K758" s="142">
        <f t="shared" si="66"/>
        <v>0</v>
      </c>
      <c r="L758" s="142">
        <f t="shared" si="67"/>
        <v>0</v>
      </c>
      <c r="T758" s="144"/>
      <c r="U758" s="144"/>
    </row>
    <row r="759" spans="5:21" x14ac:dyDescent="0.35">
      <c r="E759" s="135">
        <v>747</v>
      </c>
      <c r="F759" s="135">
        <v>0</v>
      </c>
      <c r="G759" s="141">
        <f t="shared" si="63"/>
        <v>0</v>
      </c>
      <c r="H759" s="155">
        <f t="shared" si="64"/>
        <v>0</v>
      </c>
      <c r="I759" s="142">
        <f t="shared" si="65"/>
        <v>0</v>
      </c>
      <c r="J759" s="142">
        <f>0</f>
        <v>0</v>
      </c>
      <c r="K759" s="142">
        <f t="shared" si="66"/>
        <v>0</v>
      </c>
      <c r="L759" s="142">
        <f t="shared" si="67"/>
        <v>0</v>
      </c>
      <c r="T759" s="144"/>
      <c r="U759" s="144"/>
    </row>
    <row r="760" spans="5:21" x14ac:dyDescent="0.35">
      <c r="E760" s="135">
        <v>748</v>
      </c>
      <c r="F760" s="135">
        <v>1</v>
      </c>
      <c r="G760" s="141">
        <f t="shared" si="63"/>
        <v>23.813582244547764</v>
      </c>
      <c r="H760" s="155">
        <f t="shared" si="64"/>
        <v>0</v>
      </c>
      <c r="I760" s="142">
        <f t="shared" si="65"/>
        <v>0</v>
      </c>
      <c r="J760" s="142">
        <f>0</f>
        <v>0</v>
      </c>
      <c r="K760" s="142">
        <f t="shared" si="66"/>
        <v>136632.93323927111</v>
      </c>
      <c r="L760" s="142">
        <f t="shared" si="67"/>
        <v>136632.93323927111</v>
      </c>
      <c r="T760" s="144"/>
      <c r="U760" s="144"/>
    </row>
    <row r="761" spans="5:21" x14ac:dyDescent="0.35">
      <c r="E761" s="135">
        <v>749</v>
      </c>
      <c r="F761" s="135">
        <v>1</v>
      </c>
      <c r="G761" s="141">
        <f t="shared" si="63"/>
        <v>23.813582244547764</v>
      </c>
      <c r="H761" s="155">
        <f t="shared" si="64"/>
        <v>0</v>
      </c>
      <c r="I761" s="142">
        <f t="shared" si="65"/>
        <v>0</v>
      </c>
      <c r="J761" s="142">
        <f>0</f>
        <v>0</v>
      </c>
      <c r="K761" s="142">
        <f t="shared" si="66"/>
        <v>136632.93323927111</v>
      </c>
      <c r="L761" s="142">
        <f t="shared" si="67"/>
        <v>136632.93323927111</v>
      </c>
      <c r="T761" s="144"/>
      <c r="U761" s="144"/>
    </row>
    <row r="762" spans="5:21" x14ac:dyDescent="0.35">
      <c r="E762" s="135">
        <v>750</v>
      </c>
      <c r="F762" s="135">
        <v>0</v>
      </c>
      <c r="G762" s="141">
        <f t="shared" si="63"/>
        <v>0</v>
      </c>
      <c r="H762" s="155">
        <f t="shared" si="64"/>
        <v>0</v>
      </c>
      <c r="I762" s="142">
        <f t="shared" si="65"/>
        <v>0</v>
      </c>
      <c r="J762" s="142">
        <f>0</f>
        <v>0</v>
      </c>
      <c r="K762" s="142">
        <f t="shared" si="66"/>
        <v>0</v>
      </c>
      <c r="L762" s="142">
        <f t="shared" si="67"/>
        <v>0</v>
      </c>
      <c r="T762" s="144"/>
      <c r="U762" s="144"/>
    </row>
    <row r="763" spans="5:21" x14ac:dyDescent="0.35">
      <c r="E763" s="135">
        <v>751</v>
      </c>
      <c r="F763" s="135">
        <v>0</v>
      </c>
      <c r="G763" s="141">
        <f t="shared" si="63"/>
        <v>0</v>
      </c>
      <c r="H763" s="155">
        <f t="shared" si="64"/>
        <v>0</v>
      </c>
      <c r="I763" s="142">
        <f t="shared" si="65"/>
        <v>0</v>
      </c>
      <c r="J763" s="142">
        <f>0</f>
        <v>0</v>
      </c>
      <c r="K763" s="142">
        <f t="shared" si="66"/>
        <v>0</v>
      </c>
      <c r="L763" s="142">
        <f t="shared" si="67"/>
        <v>0</v>
      </c>
      <c r="T763" s="144"/>
      <c r="U763" s="144"/>
    </row>
    <row r="764" spans="5:21" x14ac:dyDescent="0.35">
      <c r="E764" s="135">
        <v>752</v>
      </c>
      <c r="F764" s="135">
        <v>0</v>
      </c>
      <c r="G764" s="141">
        <f t="shared" si="63"/>
        <v>0</v>
      </c>
      <c r="H764" s="155">
        <f t="shared" si="64"/>
        <v>0</v>
      </c>
      <c r="I764" s="142">
        <f t="shared" si="65"/>
        <v>0</v>
      </c>
      <c r="J764" s="142">
        <f>0</f>
        <v>0</v>
      </c>
      <c r="K764" s="142">
        <f t="shared" si="66"/>
        <v>0</v>
      </c>
      <c r="L764" s="142">
        <f t="shared" si="67"/>
        <v>0</v>
      </c>
      <c r="T764" s="144"/>
      <c r="U764" s="144"/>
    </row>
    <row r="765" spans="5:21" x14ac:dyDescent="0.35">
      <c r="E765" s="135">
        <v>753</v>
      </c>
      <c r="F765" s="135">
        <v>0</v>
      </c>
      <c r="G765" s="141">
        <f t="shared" si="63"/>
        <v>0</v>
      </c>
      <c r="H765" s="155">
        <f t="shared" si="64"/>
        <v>0</v>
      </c>
      <c r="I765" s="142">
        <f t="shared" si="65"/>
        <v>0</v>
      </c>
      <c r="J765" s="142">
        <f>0</f>
        <v>0</v>
      </c>
      <c r="K765" s="142">
        <f t="shared" si="66"/>
        <v>0</v>
      </c>
      <c r="L765" s="142">
        <f t="shared" si="67"/>
        <v>0</v>
      </c>
      <c r="T765" s="144"/>
      <c r="U765" s="144"/>
    </row>
    <row r="766" spans="5:21" x14ac:dyDescent="0.35">
      <c r="E766" s="135">
        <v>754</v>
      </c>
      <c r="F766" s="135">
        <v>5</v>
      </c>
      <c r="G766" s="141">
        <f t="shared" si="63"/>
        <v>119.06791122273881</v>
      </c>
      <c r="H766" s="155">
        <f t="shared" si="64"/>
        <v>200</v>
      </c>
      <c r="I766" s="142">
        <f t="shared" si="65"/>
        <v>14500000</v>
      </c>
      <c r="J766" s="142">
        <f>0</f>
        <v>0</v>
      </c>
      <c r="K766" s="142">
        <f t="shared" si="66"/>
        <v>683164.6661963556</v>
      </c>
      <c r="L766" s="142">
        <f t="shared" si="67"/>
        <v>15183164.666196356</v>
      </c>
      <c r="T766" s="144"/>
      <c r="U766" s="144"/>
    </row>
    <row r="767" spans="5:21" x14ac:dyDescent="0.35">
      <c r="E767" s="135">
        <v>755</v>
      </c>
      <c r="F767" s="135">
        <v>0</v>
      </c>
      <c r="G767" s="141">
        <f t="shared" si="63"/>
        <v>0</v>
      </c>
      <c r="H767" s="155">
        <f t="shared" si="64"/>
        <v>0</v>
      </c>
      <c r="I767" s="142">
        <f t="shared" si="65"/>
        <v>0</v>
      </c>
      <c r="J767" s="142">
        <f>0</f>
        <v>0</v>
      </c>
      <c r="K767" s="142">
        <f t="shared" si="66"/>
        <v>0</v>
      </c>
      <c r="L767" s="142">
        <f t="shared" si="67"/>
        <v>0</v>
      </c>
      <c r="T767" s="144"/>
      <c r="U767" s="144"/>
    </row>
    <row r="768" spans="5:21" x14ac:dyDescent="0.35">
      <c r="E768" s="135">
        <v>756</v>
      </c>
      <c r="F768" s="135">
        <v>0</v>
      </c>
      <c r="G768" s="141">
        <f t="shared" si="63"/>
        <v>0</v>
      </c>
      <c r="H768" s="155">
        <f t="shared" si="64"/>
        <v>0</v>
      </c>
      <c r="I768" s="142">
        <f t="shared" si="65"/>
        <v>0</v>
      </c>
      <c r="J768" s="142">
        <f>0</f>
        <v>0</v>
      </c>
      <c r="K768" s="142">
        <f t="shared" si="66"/>
        <v>0</v>
      </c>
      <c r="L768" s="142">
        <f t="shared" si="67"/>
        <v>0</v>
      </c>
      <c r="T768" s="144"/>
      <c r="U768" s="144"/>
    </row>
    <row r="769" spans="5:21" x14ac:dyDescent="0.35">
      <c r="E769" s="135">
        <v>757</v>
      </c>
      <c r="F769" s="135">
        <v>0</v>
      </c>
      <c r="G769" s="141">
        <f t="shared" si="63"/>
        <v>0</v>
      </c>
      <c r="H769" s="155">
        <f t="shared" si="64"/>
        <v>0</v>
      </c>
      <c r="I769" s="142">
        <f t="shared" si="65"/>
        <v>0</v>
      </c>
      <c r="J769" s="142">
        <f>0</f>
        <v>0</v>
      </c>
      <c r="K769" s="142">
        <f t="shared" si="66"/>
        <v>0</v>
      </c>
      <c r="L769" s="142">
        <f t="shared" si="67"/>
        <v>0</v>
      </c>
      <c r="T769" s="144"/>
      <c r="U769" s="144"/>
    </row>
    <row r="770" spans="5:21" x14ac:dyDescent="0.35">
      <c r="E770" s="135">
        <v>758</v>
      </c>
      <c r="F770" s="135">
        <v>0</v>
      </c>
      <c r="G770" s="141">
        <f t="shared" si="63"/>
        <v>0</v>
      </c>
      <c r="H770" s="155">
        <f t="shared" si="64"/>
        <v>0</v>
      </c>
      <c r="I770" s="142">
        <f t="shared" si="65"/>
        <v>0</v>
      </c>
      <c r="J770" s="142">
        <f>0</f>
        <v>0</v>
      </c>
      <c r="K770" s="142">
        <f t="shared" si="66"/>
        <v>0</v>
      </c>
      <c r="L770" s="142">
        <f t="shared" si="67"/>
        <v>0</v>
      </c>
      <c r="T770" s="144"/>
      <c r="U770" s="144"/>
    </row>
    <row r="771" spans="5:21" x14ac:dyDescent="0.35">
      <c r="E771" s="135">
        <v>759</v>
      </c>
      <c r="F771" s="135">
        <v>0</v>
      </c>
      <c r="G771" s="141">
        <f t="shared" si="63"/>
        <v>0</v>
      </c>
      <c r="H771" s="155">
        <f t="shared" si="64"/>
        <v>0</v>
      </c>
      <c r="I771" s="142">
        <f t="shared" si="65"/>
        <v>0</v>
      </c>
      <c r="J771" s="142">
        <f>0</f>
        <v>0</v>
      </c>
      <c r="K771" s="142">
        <f t="shared" si="66"/>
        <v>0</v>
      </c>
      <c r="L771" s="142">
        <f t="shared" si="67"/>
        <v>0</v>
      </c>
      <c r="T771" s="144"/>
      <c r="U771" s="144"/>
    </row>
    <row r="772" spans="5:21" x14ac:dyDescent="0.35">
      <c r="E772" s="135">
        <v>760</v>
      </c>
      <c r="F772" s="135">
        <v>2</v>
      </c>
      <c r="G772" s="141">
        <f t="shared" si="63"/>
        <v>47.627164489095527</v>
      </c>
      <c r="H772" s="155">
        <f t="shared" si="64"/>
        <v>200</v>
      </c>
      <c r="I772" s="142">
        <f t="shared" si="65"/>
        <v>14500000</v>
      </c>
      <c r="J772" s="142">
        <f>0</f>
        <v>0</v>
      </c>
      <c r="K772" s="142">
        <f t="shared" si="66"/>
        <v>273265.86647854222</v>
      </c>
      <c r="L772" s="142">
        <f t="shared" si="67"/>
        <v>14773265.866478542</v>
      </c>
      <c r="T772" s="144"/>
      <c r="U772" s="144"/>
    </row>
    <row r="773" spans="5:21" x14ac:dyDescent="0.35">
      <c r="E773" s="135">
        <v>761</v>
      </c>
      <c r="F773" s="135">
        <v>1</v>
      </c>
      <c r="G773" s="141">
        <f t="shared" si="63"/>
        <v>23.813582244547764</v>
      </c>
      <c r="H773" s="155">
        <f t="shared" si="64"/>
        <v>0</v>
      </c>
      <c r="I773" s="142">
        <f t="shared" si="65"/>
        <v>0</v>
      </c>
      <c r="J773" s="142">
        <f>0</f>
        <v>0</v>
      </c>
      <c r="K773" s="142">
        <f t="shared" si="66"/>
        <v>136632.93323927111</v>
      </c>
      <c r="L773" s="142">
        <f t="shared" si="67"/>
        <v>136632.93323927111</v>
      </c>
      <c r="T773" s="144"/>
      <c r="U773" s="144"/>
    </row>
    <row r="774" spans="5:21" x14ac:dyDescent="0.35">
      <c r="E774" s="135">
        <v>762</v>
      </c>
      <c r="F774" s="135">
        <v>0</v>
      </c>
      <c r="G774" s="141">
        <f t="shared" si="63"/>
        <v>0</v>
      </c>
      <c r="H774" s="155">
        <f t="shared" si="64"/>
        <v>0</v>
      </c>
      <c r="I774" s="142">
        <f t="shared" si="65"/>
        <v>0</v>
      </c>
      <c r="J774" s="142">
        <f>0</f>
        <v>0</v>
      </c>
      <c r="K774" s="142">
        <f t="shared" si="66"/>
        <v>0</v>
      </c>
      <c r="L774" s="142">
        <f t="shared" si="67"/>
        <v>0</v>
      </c>
      <c r="T774" s="144"/>
      <c r="U774" s="144"/>
    </row>
    <row r="775" spans="5:21" x14ac:dyDescent="0.35">
      <c r="E775" s="135">
        <v>763</v>
      </c>
      <c r="F775" s="135">
        <v>1</v>
      </c>
      <c r="G775" s="141">
        <f t="shared" si="63"/>
        <v>23.813582244547764</v>
      </c>
      <c r="H775" s="155">
        <f t="shared" si="64"/>
        <v>0</v>
      </c>
      <c r="I775" s="142">
        <f t="shared" si="65"/>
        <v>0</v>
      </c>
      <c r="J775" s="142">
        <f>0</f>
        <v>0</v>
      </c>
      <c r="K775" s="142">
        <f t="shared" si="66"/>
        <v>136632.93323927111</v>
      </c>
      <c r="L775" s="142">
        <f t="shared" si="67"/>
        <v>136632.93323927111</v>
      </c>
      <c r="T775" s="144"/>
      <c r="U775" s="144"/>
    </row>
    <row r="776" spans="5:21" x14ac:dyDescent="0.35">
      <c r="E776" s="135">
        <v>764</v>
      </c>
      <c r="F776" s="135">
        <v>0</v>
      </c>
      <c r="G776" s="141">
        <f t="shared" si="63"/>
        <v>0</v>
      </c>
      <c r="H776" s="155">
        <f t="shared" si="64"/>
        <v>0</v>
      </c>
      <c r="I776" s="142">
        <f t="shared" si="65"/>
        <v>0</v>
      </c>
      <c r="J776" s="142">
        <f>0</f>
        <v>0</v>
      </c>
      <c r="K776" s="142">
        <f t="shared" si="66"/>
        <v>0</v>
      </c>
      <c r="L776" s="142">
        <f t="shared" si="67"/>
        <v>0</v>
      </c>
      <c r="T776" s="144"/>
      <c r="U776" s="144"/>
    </row>
    <row r="777" spans="5:21" x14ac:dyDescent="0.35">
      <c r="E777" s="135">
        <v>765</v>
      </c>
      <c r="F777" s="135">
        <v>0</v>
      </c>
      <c r="G777" s="141">
        <f t="shared" si="63"/>
        <v>0</v>
      </c>
      <c r="H777" s="155">
        <f t="shared" si="64"/>
        <v>0</v>
      </c>
      <c r="I777" s="142">
        <f t="shared" si="65"/>
        <v>0</v>
      </c>
      <c r="J777" s="142">
        <f>0</f>
        <v>0</v>
      </c>
      <c r="K777" s="142">
        <f t="shared" si="66"/>
        <v>0</v>
      </c>
      <c r="L777" s="142">
        <f t="shared" si="67"/>
        <v>0</v>
      </c>
      <c r="T777" s="144"/>
      <c r="U777" s="144"/>
    </row>
    <row r="778" spans="5:21" x14ac:dyDescent="0.35">
      <c r="E778" s="135">
        <v>766</v>
      </c>
      <c r="F778" s="135">
        <v>4</v>
      </c>
      <c r="G778" s="141">
        <f t="shared" si="63"/>
        <v>95.254328978191054</v>
      </c>
      <c r="H778" s="155">
        <f t="shared" si="64"/>
        <v>200</v>
      </c>
      <c r="I778" s="142">
        <f t="shared" si="65"/>
        <v>14500000</v>
      </c>
      <c r="J778" s="142">
        <f>0</f>
        <v>0</v>
      </c>
      <c r="K778" s="142">
        <f t="shared" si="66"/>
        <v>546531.73295708443</v>
      </c>
      <c r="L778" s="142">
        <f t="shared" si="67"/>
        <v>15046531.732957084</v>
      </c>
      <c r="T778" s="144"/>
      <c r="U778" s="144"/>
    </row>
    <row r="779" spans="5:21" x14ac:dyDescent="0.35">
      <c r="E779" s="135">
        <v>767</v>
      </c>
      <c r="F779" s="135">
        <v>0</v>
      </c>
      <c r="G779" s="141">
        <f t="shared" si="63"/>
        <v>0</v>
      </c>
      <c r="H779" s="155">
        <f t="shared" si="64"/>
        <v>0</v>
      </c>
      <c r="I779" s="142">
        <f t="shared" si="65"/>
        <v>0</v>
      </c>
      <c r="J779" s="142">
        <f>0</f>
        <v>0</v>
      </c>
      <c r="K779" s="142">
        <f t="shared" si="66"/>
        <v>0</v>
      </c>
      <c r="L779" s="142">
        <f t="shared" si="67"/>
        <v>0</v>
      </c>
      <c r="T779" s="144"/>
      <c r="U779" s="144"/>
    </row>
    <row r="780" spans="5:21" x14ac:dyDescent="0.35">
      <c r="E780" s="135">
        <v>768</v>
      </c>
      <c r="F780" s="135">
        <v>3</v>
      </c>
      <c r="G780" s="141">
        <f t="shared" si="63"/>
        <v>71.440746733643294</v>
      </c>
      <c r="H780" s="155">
        <f t="shared" si="64"/>
        <v>200</v>
      </c>
      <c r="I780" s="142">
        <f t="shared" si="65"/>
        <v>14500000</v>
      </c>
      <c r="J780" s="142">
        <f>0</f>
        <v>0</v>
      </c>
      <c r="K780" s="142">
        <f t="shared" si="66"/>
        <v>409898.79971781332</v>
      </c>
      <c r="L780" s="142">
        <f t="shared" si="67"/>
        <v>14909898.799717814</v>
      </c>
      <c r="T780" s="144"/>
      <c r="U780" s="144"/>
    </row>
    <row r="781" spans="5:21" x14ac:dyDescent="0.35">
      <c r="E781" s="135">
        <v>769</v>
      </c>
      <c r="F781" s="135">
        <v>5</v>
      </c>
      <c r="G781" s="141">
        <f t="shared" ref="G781:G844" si="68">F781*$C$9</f>
        <v>119.06791122273881</v>
      </c>
      <c r="H781" s="155">
        <f t="shared" ref="H781:H844" si="69">IF(F781 &gt; 1,$C$13*20000,0)</f>
        <v>200</v>
      </c>
      <c r="I781" s="142">
        <f t="shared" ref="I781:I844" si="70">IF(F781 &gt; 1,$C$4,0)</f>
        <v>14500000</v>
      </c>
      <c r="J781" s="142">
        <f>0</f>
        <v>0</v>
      </c>
      <c r="K781" s="142">
        <f t="shared" ref="K781:K844" si="71">F781*$C$5</f>
        <v>683164.6661963556</v>
      </c>
      <c r="L781" s="142">
        <f t="shared" ref="L781:L844" si="72">J781+I781+K781</f>
        <v>15183164.666196356</v>
      </c>
      <c r="T781" s="144"/>
      <c r="U781" s="144"/>
    </row>
    <row r="782" spans="5:21" x14ac:dyDescent="0.35">
      <c r="E782" s="135">
        <v>770</v>
      </c>
      <c r="F782" s="135">
        <v>0</v>
      </c>
      <c r="G782" s="141">
        <f t="shared" si="68"/>
        <v>0</v>
      </c>
      <c r="H782" s="155">
        <f t="shared" si="69"/>
        <v>0</v>
      </c>
      <c r="I782" s="142">
        <f t="shared" si="70"/>
        <v>0</v>
      </c>
      <c r="J782" s="142">
        <f>0</f>
        <v>0</v>
      </c>
      <c r="K782" s="142">
        <f t="shared" si="71"/>
        <v>0</v>
      </c>
      <c r="L782" s="142">
        <f t="shared" si="72"/>
        <v>0</v>
      </c>
      <c r="T782" s="144"/>
      <c r="U782" s="144"/>
    </row>
    <row r="783" spans="5:21" x14ac:dyDescent="0.35">
      <c r="E783" s="135">
        <v>771</v>
      </c>
      <c r="F783" s="135">
        <v>0</v>
      </c>
      <c r="G783" s="141">
        <f t="shared" si="68"/>
        <v>0</v>
      </c>
      <c r="H783" s="155">
        <f t="shared" si="69"/>
        <v>0</v>
      </c>
      <c r="I783" s="142">
        <f t="shared" si="70"/>
        <v>0</v>
      </c>
      <c r="J783" s="142">
        <f>0</f>
        <v>0</v>
      </c>
      <c r="K783" s="142">
        <f t="shared" si="71"/>
        <v>0</v>
      </c>
      <c r="L783" s="142">
        <f t="shared" si="72"/>
        <v>0</v>
      </c>
      <c r="T783" s="144"/>
      <c r="U783" s="144"/>
    </row>
    <row r="784" spans="5:21" x14ac:dyDescent="0.35">
      <c r="E784" s="135">
        <v>772</v>
      </c>
      <c r="F784" s="135">
        <v>0</v>
      </c>
      <c r="G784" s="141">
        <f t="shared" si="68"/>
        <v>0</v>
      </c>
      <c r="H784" s="155">
        <f t="shared" si="69"/>
        <v>0</v>
      </c>
      <c r="I784" s="142">
        <f t="shared" si="70"/>
        <v>0</v>
      </c>
      <c r="J784" s="142">
        <f>0</f>
        <v>0</v>
      </c>
      <c r="K784" s="142">
        <f t="shared" si="71"/>
        <v>0</v>
      </c>
      <c r="L784" s="142">
        <f t="shared" si="72"/>
        <v>0</v>
      </c>
      <c r="T784" s="144"/>
      <c r="U784" s="144"/>
    </row>
    <row r="785" spans="5:21" x14ac:dyDescent="0.35">
      <c r="E785" s="135">
        <v>773</v>
      </c>
      <c r="F785" s="135">
        <v>0</v>
      </c>
      <c r="G785" s="141">
        <f t="shared" si="68"/>
        <v>0</v>
      </c>
      <c r="H785" s="155">
        <f t="shared" si="69"/>
        <v>0</v>
      </c>
      <c r="I785" s="142">
        <f t="shared" si="70"/>
        <v>0</v>
      </c>
      <c r="J785" s="142">
        <f>0</f>
        <v>0</v>
      </c>
      <c r="K785" s="142">
        <f t="shared" si="71"/>
        <v>0</v>
      </c>
      <c r="L785" s="142">
        <f t="shared" si="72"/>
        <v>0</v>
      </c>
      <c r="T785" s="144"/>
      <c r="U785" s="144"/>
    </row>
    <row r="786" spans="5:21" x14ac:dyDescent="0.35">
      <c r="E786" s="135">
        <v>774</v>
      </c>
      <c r="F786" s="135">
        <v>0</v>
      </c>
      <c r="G786" s="141">
        <f t="shared" si="68"/>
        <v>0</v>
      </c>
      <c r="H786" s="155">
        <f t="shared" si="69"/>
        <v>0</v>
      </c>
      <c r="I786" s="142">
        <f t="shared" si="70"/>
        <v>0</v>
      </c>
      <c r="J786" s="142">
        <f>0</f>
        <v>0</v>
      </c>
      <c r="K786" s="142">
        <f t="shared" si="71"/>
        <v>0</v>
      </c>
      <c r="L786" s="142">
        <f t="shared" si="72"/>
        <v>0</v>
      </c>
      <c r="T786" s="144"/>
      <c r="U786" s="144"/>
    </row>
    <row r="787" spans="5:21" x14ac:dyDescent="0.35">
      <c r="E787" s="135">
        <v>775</v>
      </c>
      <c r="F787" s="135">
        <v>0</v>
      </c>
      <c r="G787" s="141">
        <f t="shared" si="68"/>
        <v>0</v>
      </c>
      <c r="H787" s="155">
        <f t="shared" si="69"/>
        <v>0</v>
      </c>
      <c r="I787" s="142">
        <f t="shared" si="70"/>
        <v>0</v>
      </c>
      <c r="J787" s="142">
        <f>0</f>
        <v>0</v>
      </c>
      <c r="K787" s="142">
        <f t="shared" si="71"/>
        <v>0</v>
      </c>
      <c r="L787" s="142">
        <f t="shared" si="72"/>
        <v>0</v>
      </c>
      <c r="T787" s="144"/>
      <c r="U787" s="144"/>
    </row>
    <row r="788" spans="5:21" x14ac:dyDescent="0.35">
      <c r="E788" s="135">
        <v>776</v>
      </c>
      <c r="F788" s="135">
        <v>0</v>
      </c>
      <c r="G788" s="141">
        <f t="shared" si="68"/>
        <v>0</v>
      </c>
      <c r="H788" s="155">
        <f t="shared" si="69"/>
        <v>0</v>
      </c>
      <c r="I788" s="142">
        <f t="shared" si="70"/>
        <v>0</v>
      </c>
      <c r="J788" s="142">
        <f>0</f>
        <v>0</v>
      </c>
      <c r="K788" s="142">
        <f t="shared" si="71"/>
        <v>0</v>
      </c>
      <c r="L788" s="142">
        <f t="shared" si="72"/>
        <v>0</v>
      </c>
      <c r="T788" s="144"/>
      <c r="U788" s="144"/>
    </row>
    <row r="789" spans="5:21" x14ac:dyDescent="0.35">
      <c r="E789" s="135">
        <v>777</v>
      </c>
      <c r="F789" s="135">
        <v>0</v>
      </c>
      <c r="G789" s="141">
        <f t="shared" si="68"/>
        <v>0</v>
      </c>
      <c r="H789" s="155">
        <f t="shared" si="69"/>
        <v>0</v>
      </c>
      <c r="I789" s="142">
        <f t="shared" si="70"/>
        <v>0</v>
      </c>
      <c r="J789" s="142">
        <f>0</f>
        <v>0</v>
      </c>
      <c r="K789" s="142">
        <f t="shared" si="71"/>
        <v>0</v>
      </c>
      <c r="L789" s="142">
        <f t="shared" si="72"/>
        <v>0</v>
      </c>
      <c r="T789" s="144"/>
      <c r="U789" s="144"/>
    </row>
    <row r="790" spans="5:21" x14ac:dyDescent="0.35">
      <c r="E790" s="135">
        <v>778</v>
      </c>
      <c r="F790" s="135">
        <v>0</v>
      </c>
      <c r="G790" s="141">
        <f t="shared" si="68"/>
        <v>0</v>
      </c>
      <c r="H790" s="155">
        <f t="shared" si="69"/>
        <v>0</v>
      </c>
      <c r="I790" s="142">
        <f t="shared" si="70"/>
        <v>0</v>
      </c>
      <c r="J790" s="142">
        <f>0</f>
        <v>0</v>
      </c>
      <c r="K790" s="142">
        <f t="shared" si="71"/>
        <v>0</v>
      </c>
      <c r="L790" s="142">
        <f t="shared" si="72"/>
        <v>0</v>
      </c>
      <c r="T790" s="144"/>
      <c r="U790" s="144"/>
    </row>
    <row r="791" spans="5:21" x14ac:dyDescent="0.35">
      <c r="E791" s="135">
        <v>779</v>
      </c>
      <c r="F791" s="135">
        <v>1</v>
      </c>
      <c r="G791" s="141">
        <f t="shared" si="68"/>
        <v>23.813582244547764</v>
      </c>
      <c r="H791" s="155">
        <f t="shared" si="69"/>
        <v>0</v>
      </c>
      <c r="I791" s="142">
        <f t="shared" si="70"/>
        <v>0</v>
      </c>
      <c r="J791" s="142">
        <f>0</f>
        <v>0</v>
      </c>
      <c r="K791" s="142">
        <f t="shared" si="71"/>
        <v>136632.93323927111</v>
      </c>
      <c r="L791" s="142">
        <f t="shared" si="72"/>
        <v>136632.93323927111</v>
      </c>
      <c r="T791" s="144"/>
      <c r="U791" s="144"/>
    </row>
    <row r="792" spans="5:21" x14ac:dyDescent="0.35">
      <c r="E792" s="135">
        <v>780</v>
      </c>
      <c r="F792" s="135">
        <v>0</v>
      </c>
      <c r="G792" s="141">
        <f t="shared" si="68"/>
        <v>0</v>
      </c>
      <c r="H792" s="155">
        <f t="shared" si="69"/>
        <v>0</v>
      </c>
      <c r="I792" s="142">
        <f t="shared" si="70"/>
        <v>0</v>
      </c>
      <c r="J792" s="142">
        <f>0</f>
        <v>0</v>
      </c>
      <c r="K792" s="142">
        <f t="shared" si="71"/>
        <v>0</v>
      </c>
      <c r="L792" s="142">
        <f t="shared" si="72"/>
        <v>0</v>
      </c>
      <c r="T792" s="144"/>
      <c r="U792" s="144"/>
    </row>
    <row r="793" spans="5:21" x14ac:dyDescent="0.35">
      <c r="E793" s="135">
        <v>781</v>
      </c>
      <c r="F793" s="135">
        <v>0</v>
      </c>
      <c r="G793" s="141">
        <f t="shared" si="68"/>
        <v>0</v>
      </c>
      <c r="H793" s="155">
        <f t="shared" si="69"/>
        <v>0</v>
      </c>
      <c r="I793" s="142">
        <f t="shared" si="70"/>
        <v>0</v>
      </c>
      <c r="J793" s="142">
        <f>0</f>
        <v>0</v>
      </c>
      <c r="K793" s="142">
        <f t="shared" si="71"/>
        <v>0</v>
      </c>
      <c r="L793" s="142">
        <f t="shared" si="72"/>
        <v>0</v>
      </c>
      <c r="T793" s="144"/>
      <c r="U793" s="144"/>
    </row>
    <row r="794" spans="5:21" x14ac:dyDescent="0.35">
      <c r="E794" s="135">
        <v>782</v>
      </c>
      <c r="F794" s="135">
        <v>0</v>
      </c>
      <c r="G794" s="141">
        <f t="shared" si="68"/>
        <v>0</v>
      </c>
      <c r="H794" s="155">
        <f t="shared" si="69"/>
        <v>0</v>
      </c>
      <c r="I794" s="142">
        <f t="shared" si="70"/>
        <v>0</v>
      </c>
      <c r="J794" s="142">
        <f>0</f>
        <v>0</v>
      </c>
      <c r="K794" s="142">
        <f t="shared" si="71"/>
        <v>0</v>
      </c>
      <c r="L794" s="142">
        <f t="shared" si="72"/>
        <v>0</v>
      </c>
      <c r="T794" s="144"/>
      <c r="U794" s="144"/>
    </row>
    <row r="795" spans="5:21" x14ac:dyDescent="0.35">
      <c r="E795" s="135">
        <v>783</v>
      </c>
      <c r="F795" s="135">
        <v>0</v>
      </c>
      <c r="G795" s="141">
        <f t="shared" si="68"/>
        <v>0</v>
      </c>
      <c r="H795" s="155">
        <f t="shared" si="69"/>
        <v>0</v>
      </c>
      <c r="I795" s="142">
        <f t="shared" si="70"/>
        <v>0</v>
      </c>
      <c r="J795" s="142">
        <f>0</f>
        <v>0</v>
      </c>
      <c r="K795" s="142">
        <f t="shared" si="71"/>
        <v>0</v>
      </c>
      <c r="L795" s="142">
        <f t="shared" si="72"/>
        <v>0</v>
      </c>
      <c r="T795" s="144"/>
      <c r="U795" s="144"/>
    </row>
    <row r="796" spans="5:21" x14ac:dyDescent="0.35">
      <c r="E796" s="135">
        <v>784</v>
      </c>
      <c r="F796" s="135">
        <v>1</v>
      </c>
      <c r="G796" s="141">
        <f t="shared" si="68"/>
        <v>23.813582244547764</v>
      </c>
      <c r="H796" s="155">
        <f t="shared" si="69"/>
        <v>0</v>
      </c>
      <c r="I796" s="142">
        <f t="shared" si="70"/>
        <v>0</v>
      </c>
      <c r="J796" s="142">
        <f>0</f>
        <v>0</v>
      </c>
      <c r="K796" s="142">
        <f t="shared" si="71"/>
        <v>136632.93323927111</v>
      </c>
      <c r="L796" s="142">
        <f t="shared" si="72"/>
        <v>136632.93323927111</v>
      </c>
      <c r="T796" s="144"/>
      <c r="U796" s="144"/>
    </row>
    <row r="797" spans="5:21" x14ac:dyDescent="0.35">
      <c r="E797" s="135">
        <v>785</v>
      </c>
      <c r="F797" s="135">
        <v>0</v>
      </c>
      <c r="G797" s="141">
        <f t="shared" si="68"/>
        <v>0</v>
      </c>
      <c r="H797" s="155">
        <f t="shared" si="69"/>
        <v>0</v>
      </c>
      <c r="I797" s="142">
        <f t="shared" si="70"/>
        <v>0</v>
      </c>
      <c r="J797" s="142">
        <f>0</f>
        <v>0</v>
      </c>
      <c r="K797" s="142">
        <f t="shared" si="71"/>
        <v>0</v>
      </c>
      <c r="L797" s="142">
        <f t="shared" si="72"/>
        <v>0</v>
      </c>
      <c r="T797" s="144"/>
      <c r="U797" s="144"/>
    </row>
    <row r="798" spans="5:21" x14ac:dyDescent="0.35">
      <c r="E798" s="135">
        <v>786</v>
      </c>
      <c r="F798" s="135">
        <v>1</v>
      </c>
      <c r="G798" s="141">
        <f t="shared" si="68"/>
        <v>23.813582244547764</v>
      </c>
      <c r="H798" s="155">
        <f t="shared" si="69"/>
        <v>0</v>
      </c>
      <c r="I798" s="142">
        <f t="shared" si="70"/>
        <v>0</v>
      </c>
      <c r="J798" s="142">
        <f>0</f>
        <v>0</v>
      </c>
      <c r="K798" s="142">
        <f t="shared" si="71"/>
        <v>136632.93323927111</v>
      </c>
      <c r="L798" s="142">
        <f t="shared" si="72"/>
        <v>136632.93323927111</v>
      </c>
      <c r="T798" s="144"/>
      <c r="U798" s="144"/>
    </row>
    <row r="799" spans="5:21" x14ac:dyDescent="0.35">
      <c r="E799" s="135">
        <v>787</v>
      </c>
      <c r="F799" s="135">
        <v>0</v>
      </c>
      <c r="G799" s="141">
        <f t="shared" si="68"/>
        <v>0</v>
      </c>
      <c r="H799" s="155">
        <f t="shared" si="69"/>
        <v>0</v>
      </c>
      <c r="I799" s="142">
        <f t="shared" si="70"/>
        <v>0</v>
      </c>
      <c r="J799" s="142">
        <f>0</f>
        <v>0</v>
      </c>
      <c r="K799" s="142">
        <f t="shared" si="71"/>
        <v>0</v>
      </c>
      <c r="L799" s="142">
        <f t="shared" si="72"/>
        <v>0</v>
      </c>
      <c r="T799" s="144"/>
      <c r="U799" s="144"/>
    </row>
    <row r="800" spans="5:21" x14ac:dyDescent="0.35">
      <c r="E800" s="135">
        <v>788</v>
      </c>
      <c r="F800" s="135">
        <v>1</v>
      </c>
      <c r="G800" s="141">
        <f t="shared" si="68"/>
        <v>23.813582244547764</v>
      </c>
      <c r="H800" s="155">
        <f t="shared" si="69"/>
        <v>0</v>
      </c>
      <c r="I800" s="142">
        <f t="shared" si="70"/>
        <v>0</v>
      </c>
      <c r="J800" s="142">
        <f>0</f>
        <v>0</v>
      </c>
      <c r="K800" s="142">
        <f t="shared" si="71"/>
        <v>136632.93323927111</v>
      </c>
      <c r="L800" s="142">
        <f t="shared" si="72"/>
        <v>136632.93323927111</v>
      </c>
      <c r="T800" s="144"/>
      <c r="U800" s="144"/>
    </row>
    <row r="801" spans="5:21" x14ac:dyDescent="0.35">
      <c r="E801" s="135">
        <v>789</v>
      </c>
      <c r="F801" s="135">
        <v>2</v>
      </c>
      <c r="G801" s="141">
        <f t="shared" si="68"/>
        <v>47.627164489095527</v>
      </c>
      <c r="H801" s="155">
        <f t="shared" si="69"/>
        <v>200</v>
      </c>
      <c r="I801" s="142">
        <f t="shared" si="70"/>
        <v>14500000</v>
      </c>
      <c r="J801" s="142">
        <f>0</f>
        <v>0</v>
      </c>
      <c r="K801" s="142">
        <f t="shared" si="71"/>
        <v>273265.86647854222</v>
      </c>
      <c r="L801" s="142">
        <f t="shared" si="72"/>
        <v>14773265.866478542</v>
      </c>
      <c r="T801" s="144"/>
      <c r="U801" s="144"/>
    </row>
    <row r="802" spans="5:21" x14ac:dyDescent="0.35">
      <c r="E802" s="135">
        <v>790</v>
      </c>
      <c r="F802" s="135">
        <v>0</v>
      </c>
      <c r="G802" s="141">
        <f t="shared" si="68"/>
        <v>0</v>
      </c>
      <c r="H802" s="155">
        <f t="shared" si="69"/>
        <v>0</v>
      </c>
      <c r="I802" s="142">
        <f t="shared" si="70"/>
        <v>0</v>
      </c>
      <c r="J802" s="142">
        <f>0</f>
        <v>0</v>
      </c>
      <c r="K802" s="142">
        <f t="shared" si="71"/>
        <v>0</v>
      </c>
      <c r="L802" s="142">
        <f t="shared" si="72"/>
        <v>0</v>
      </c>
      <c r="T802" s="144"/>
      <c r="U802" s="144"/>
    </row>
    <row r="803" spans="5:21" x14ac:dyDescent="0.35">
      <c r="E803" s="135">
        <v>791</v>
      </c>
      <c r="F803" s="135">
        <v>0</v>
      </c>
      <c r="G803" s="141">
        <f t="shared" si="68"/>
        <v>0</v>
      </c>
      <c r="H803" s="155">
        <f t="shared" si="69"/>
        <v>0</v>
      </c>
      <c r="I803" s="142">
        <f t="shared" si="70"/>
        <v>0</v>
      </c>
      <c r="J803" s="142">
        <f>0</f>
        <v>0</v>
      </c>
      <c r="K803" s="142">
        <f t="shared" si="71"/>
        <v>0</v>
      </c>
      <c r="L803" s="142">
        <f t="shared" si="72"/>
        <v>0</v>
      </c>
      <c r="T803" s="144"/>
      <c r="U803" s="144"/>
    </row>
    <row r="804" spans="5:21" x14ac:dyDescent="0.35">
      <c r="E804" s="135">
        <v>792</v>
      </c>
      <c r="F804" s="135">
        <v>0</v>
      </c>
      <c r="G804" s="141">
        <f t="shared" si="68"/>
        <v>0</v>
      </c>
      <c r="H804" s="155">
        <f t="shared" si="69"/>
        <v>0</v>
      </c>
      <c r="I804" s="142">
        <f t="shared" si="70"/>
        <v>0</v>
      </c>
      <c r="J804" s="142">
        <f>0</f>
        <v>0</v>
      </c>
      <c r="K804" s="142">
        <f t="shared" si="71"/>
        <v>0</v>
      </c>
      <c r="L804" s="142">
        <f t="shared" si="72"/>
        <v>0</v>
      </c>
      <c r="T804" s="144"/>
      <c r="U804" s="144"/>
    </row>
    <row r="805" spans="5:21" x14ac:dyDescent="0.35">
      <c r="E805" s="135">
        <v>793</v>
      </c>
      <c r="F805" s="135">
        <v>0</v>
      </c>
      <c r="G805" s="141">
        <f t="shared" si="68"/>
        <v>0</v>
      </c>
      <c r="H805" s="155">
        <f t="shared" si="69"/>
        <v>0</v>
      </c>
      <c r="I805" s="142">
        <f t="shared" si="70"/>
        <v>0</v>
      </c>
      <c r="J805" s="142">
        <f>0</f>
        <v>0</v>
      </c>
      <c r="K805" s="142">
        <f t="shared" si="71"/>
        <v>0</v>
      </c>
      <c r="L805" s="142">
        <f t="shared" si="72"/>
        <v>0</v>
      </c>
      <c r="T805" s="144"/>
      <c r="U805" s="144"/>
    </row>
    <row r="806" spans="5:21" x14ac:dyDescent="0.35">
      <c r="E806" s="135">
        <v>794</v>
      </c>
      <c r="F806" s="135">
        <v>0</v>
      </c>
      <c r="G806" s="141">
        <f t="shared" si="68"/>
        <v>0</v>
      </c>
      <c r="H806" s="155">
        <f t="shared" si="69"/>
        <v>0</v>
      </c>
      <c r="I806" s="142">
        <f t="shared" si="70"/>
        <v>0</v>
      </c>
      <c r="J806" s="142">
        <f>0</f>
        <v>0</v>
      </c>
      <c r="K806" s="142">
        <f t="shared" si="71"/>
        <v>0</v>
      </c>
      <c r="L806" s="142">
        <f t="shared" si="72"/>
        <v>0</v>
      </c>
      <c r="T806" s="144"/>
      <c r="U806" s="144"/>
    </row>
    <row r="807" spans="5:21" x14ac:dyDescent="0.35">
      <c r="E807" s="135">
        <v>795</v>
      </c>
      <c r="F807" s="135">
        <v>0</v>
      </c>
      <c r="G807" s="141">
        <f t="shared" si="68"/>
        <v>0</v>
      </c>
      <c r="H807" s="155">
        <f t="shared" si="69"/>
        <v>0</v>
      </c>
      <c r="I807" s="142">
        <f t="shared" si="70"/>
        <v>0</v>
      </c>
      <c r="J807" s="142">
        <f>0</f>
        <v>0</v>
      </c>
      <c r="K807" s="142">
        <f t="shared" si="71"/>
        <v>0</v>
      </c>
      <c r="L807" s="142">
        <f t="shared" si="72"/>
        <v>0</v>
      </c>
      <c r="T807" s="144"/>
      <c r="U807" s="144"/>
    </row>
    <row r="808" spans="5:21" x14ac:dyDescent="0.35">
      <c r="E808" s="135">
        <v>796</v>
      </c>
      <c r="F808" s="135">
        <v>0</v>
      </c>
      <c r="G808" s="141">
        <f t="shared" si="68"/>
        <v>0</v>
      </c>
      <c r="H808" s="155">
        <f t="shared" si="69"/>
        <v>0</v>
      </c>
      <c r="I808" s="142">
        <f t="shared" si="70"/>
        <v>0</v>
      </c>
      <c r="J808" s="142">
        <f>0</f>
        <v>0</v>
      </c>
      <c r="K808" s="142">
        <f t="shared" si="71"/>
        <v>0</v>
      </c>
      <c r="L808" s="142">
        <f t="shared" si="72"/>
        <v>0</v>
      </c>
      <c r="T808" s="144"/>
      <c r="U808" s="144"/>
    </row>
    <row r="809" spans="5:21" x14ac:dyDescent="0.35">
      <c r="E809" s="135">
        <v>797</v>
      </c>
      <c r="F809" s="135">
        <v>1</v>
      </c>
      <c r="G809" s="141">
        <f t="shared" si="68"/>
        <v>23.813582244547764</v>
      </c>
      <c r="H809" s="155">
        <f t="shared" si="69"/>
        <v>0</v>
      </c>
      <c r="I809" s="142">
        <f t="shared" si="70"/>
        <v>0</v>
      </c>
      <c r="J809" s="142">
        <f>0</f>
        <v>0</v>
      </c>
      <c r="K809" s="142">
        <f t="shared" si="71"/>
        <v>136632.93323927111</v>
      </c>
      <c r="L809" s="142">
        <f t="shared" si="72"/>
        <v>136632.93323927111</v>
      </c>
      <c r="T809" s="144"/>
      <c r="U809" s="144"/>
    </row>
    <row r="810" spans="5:21" x14ac:dyDescent="0.35">
      <c r="E810" s="135">
        <v>798</v>
      </c>
      <c r="F810" s="135">
        <v>0</v>
      </c>
      <c r="G810" s="141">
        <f t="shared" si="68"/>
        <v>0</v>
      </c>
      <c r="H810" s="155">
        <f t="shared" si="69"/>
        <v>0</v>
      </c>
      <c r="I810" s="142">
        <f t="shared" si="70"/>
        <v>0</v>
      </c>
      <c r="J810" s="142">
        <f>0</f>
        <v>0</v>
      </c>
      <c r="K810" s="142">
        <f t="shared" si="71"/>
        <v>0</v>
      </c>
      <c r="L810" s="142">
        <f t="shared" si="72"/>
        <v>0</v>
      </c>
      <c r="T810" s="144"/>
      <c r="U810" s="144"/>
    </row>
    <row r="811" spans="5:21" x14ac:dyDescent="0.35">
      <c r="E811" s="135">
        <v>799</v>
      </c>
      <c r="F811" s="135">
        <v>0</v>
      </c>
      <c r="G811" s="141">
        <f t="shared" si="68"/>
        <v>0</v>
      </c>
      <c r="H811" s="155">
        <f t="shared" si="69"/>
        <v>0</v>
      </c>
      <c r="I811" s="142">
        <f t="shared" si="70"/>
        <v>0</v>
      </c>
      <c r="J811" s="142">
        <f>0</f>
        <v>0</v>
      </c>
      <c r="K811" s="142">
        <f t="shared" si="71"/>
        <v>0</v>
      </c>
      <c r="L811" s="142">
        <f t="shared" si="72"/>
        <v>0</v>
      </c>
      <c r="T811" s="144"/>
      <c r="U811" s="144"/>
    </row>
    <row r="812" spans="5:21" x14ac:dyDescent="0.35">
      <c r="E812" s="135">
        <v>800</v>
      </c>
      <c r="F812" s="135">
        <v>0</v>
      </c>
      <c r="G812" s="141">
        <f t="shared" si="68"/>
        <v>0</v>
      </c>
      <c r="H812" s="155">
        <f t="shared" si="69"/>
        <v>0</v>
      </c>
      <c r="I812" s="142">
        <f t="shared" si="70"/>
        <v>0</v>
      </c>
      <c r="J812" s="142">
        <f>0</f>
        <v>0</v>
      </c>
      <c r="K812" s="142">
        <f t="shared" si="71"/>
        <v>0</v>
      </c>
      <c r="L812" s="142">
        <f t="shared" si="72"/>
        <v>0</v>
      </c>
      <c r="T812" s="144"/>
      <c r="U812" s="144"/>
    </row>
    <row r="813" spans="5:21" x14ac:dyDescent="0.35">
      <c r="E813" s="135">
        <v>801</v>
      </c>
      <c r="F813" s="135">
        <v>0</v>
      </c>
      <c r="G813" s="141">
        <f t="shared" si="68"/>
        <v>0</v>
      </c>
      <c r="H813" s="155">
        <f t="shared" si="69"/>
        <v>0</v>
      </c>
      <c r="I813" s="142">
        <f t="shared" si="70"/>
        <v>0</v>
      </c>
      <c r="J813" s="142">
        <f>0</f>
        <v>0</v>
      </c>
      <c r="K813" s="142">
        <f t="shared" si="71"/>
        <v>0</v>
      </c>
      <c r="L813" s="142">
        <f t="shared" si="72"/>
        <v>0</v>
      </c>
      <c r="T813" s="144"/>
      <c r="U813" s="144"/>
    </row>
    <row r="814" spans="5:21" x14ac:dyDescent="0.35">
      <c r="E814" s="135">
        <v>802</v>
      </c>
      <c r="F814" s="135">
        <v>1</v>
      </c>
      <c r="G814" s="141">
        <f t="shared" si="68"/>
        <v>23.813582244547764</v>
      </c>
      <c r="H814" s="155">
        <f t="shared" si="69"/>
        <v>0</v>
      </c>
      <c r="I814" s="142">
        <f t="shared" si="70"/>
        <v>0</v>
      </c>
      <c r="J814" s="142">
        <f>0</f>
        <v>0</v>
      </c>
      <c r="K814" s="142">
        <f t="shared" si="71"/>
        <v>136632.93323927111</v>
      </c>
      <c r="L814" s="142">
        <f t="shared" si="72"/>
        <v>136632.93323927111</v>
      </c>
      <c r="T814" s="144"/>
      <c r="U814" s="144"/>
    </row>
    <row r="815" spans="5:21" x14ac:dyDescent="0.35">
      <c r="E815" s="135">
        <v>803</v>
      </c>
      <c r="F815" s="135">
        <v>0</v>
      </c>
      <c r="G815" s="141">
        <f t="shared" si="68"/>
        <v>0</v>
      </c>
      <c r="H815" s="155">
        <f t="shared" si="69"/>
        <v>0</v>
      </c>
      <c r="I815" s="142">
        <f t="shared" si="70"/>
        <v>0</v>
      </c>
      <c r="J815" s="142">
        <f>0</f>
        <v>0</v>
      </c>
      <c r="K815" s="142">
        <f t="shared" si="71"/>
        <v>0</v>
      </c>
      <c r="L815" s="142">
        <f t="shared" si="72"/>
        <v>0</v>
      </c>
      <c r="T815" s="144"/>
      <c r="U815" s="144"/>
    </row>
    <row r="816" spans="5:21" x14ac:dyDescent="0.35">
      <c r="E816" s="135">
        <v>804</v>
      </c>
      <c r="F816" s="135">
        <v>0</v>
      </c>
      <c r="G816" s="141">
        <f t="shared" si="68"/>
        <v>0</v>
      </c>
      <c r="H816" s="155">
        <f t="shared" si="69"/>
        <v>0</v>
      </c>
      <c r="I816" s="142">
        <f t="shared" si="70"/>
        <v>0</v>
      </c>
      <c r="J816" s="142">
        <f>0</f>
        <v>0</v>
      </c>
      <c r="K816" s="142">
        <f t="shared" si="71"/>
        <v>0</v>
      </c>
      <c r="L816" s="142">
        <f t="shared" si="72"/>
        <v>0</v>
      </c>
      <c r="T816" s="144"/>
      <c r="U816" s="144"/>
    </row>
    <row r="817" spans="5:21" x14ac:dyDescent="0.35">
      <c r="E817" s="135">
        <v>805</v>
      </c>
      <c r="F817" s="135">
        <v>0</v>
      </c>
      <c r="G817" s="141">
        <f t="shared" si="68"/>
        <v>0</v>
      </c>
      <c r="H817" s="155">
        <f t="shared" si="69"/>
        <v>0</v>
      </c>
      <c r="I817" s="142">
        <f t="shared" si="70"/>
        <v>0</v>
      </c>
      <c r="J817" s="142">
        <f>0</f>
        <v>0</v>
      </c>
      <c r="K817" s="142">
        <f t="shared" si="71"/>
        <v>0</v>
      </c>
      <c r="L817" s="142">
        <f t="shared" si="72"/>
        <v>0</v>
      </c>
      <c r="T817" s="144"/>
      <c r="U817" s="144"/>
    </row>
    <row r="818" spans="5:21" x14ac:dyDescent="0.35">
      <c r="E818" s="135">
        <v>806</v>
      </c>
      <c r="F818" s="135">
        <v>0</v>
      </c>
      <c r="G818" s="141">
        <f t="shared" si="68"/>
        <v>0</v>
      </c>
      <c r="H818" s="155">
        <f t="shared" si="69"/>
        <v>0</v>
      </c>
      <c r="I818" s="142">
        <f t="shared" si="70"/>
        <v>0</v>
      </c>
      <c r="J818" s="142">
        <f>0</f>
        <v>0</v>
      </c>
      <c r="K818" s="142">
        <f t="shared" si="71"/>
        <v>0</v>
      </c>
      <c r="L818" s="142">
        <f t="shared" si="72"/>
        <v>0</v>
      </c>
      <c r="T818" s="144"/>
      <c r="U818" s="144"/>
    </row>
    <row r="819" spans="5:21" x14ac:dyDescent="0.35">
      <c r="E819" s="135">
        <v>807</v>
      </c>
      <c r="F819" s="135">
        <v>1</v>
      </c>
      <c r="G819" s="141">
        <f t="shared" si="68"/>
        <v>23.813582244547764</v>
      </c>
      <c r="H819" s="155">
        <f t="shared" si="69"/>
        <v>0</v>
      </c>
      <c r="I819" s="142">
        <f t="shared" si="70"/>
        <v>0</v>
      </c>
      <c r="J819" s="142">
        <f>0</f>
        <v>0</v>
      </c>
      <c r="K819" s="142">
        <f t="shared" si="71"/>
        <v>136632.93323927111</v>
      </c>
      <c r="L819" s="142">
        <f t="shared" si="72"/>
        <v>136632.93323927111</v>
      </c>
      <c r="T819" s="144"/>
      <c r="U819" s="144"/>
    </row>
    <row r="820" spans="5:21" x14ac:dyDescent="0.35">
      <c r="E820" s="135">
        <v>808</v>
      </c>
      <c r="F820" s="135">
        <v>0</v>
      </c>
      <c r="G820" s="141">
        <f t="shared" si="68"/>
        <v>0</v>
      </c>
      <c r="H820" s="155">
        <f t="shared" si="69"/>
        <v>0</v>
      </c>
      <c r="I820" s="142">
        <f t="shared" si="70"/>
        <v>0</v>
      </c>
      <c r="J820" s="142">
        <f>0</f>
        <v>0</v>
      </c>
      <c r="K820" s="142">
        <f t="shared" si="71"/>
        <v>0</v>
      </c>
      <c r="L820" s="142">
        <f t="shared" si="72"/>
        <v>0</v>
      </c>
      <c r="T820" s="144"/>
      <c r="U820" s="144"/>
    </row>
    <row r="821" spans="5:21" x14ac:dyDescent="0.35">
      <c r="E821" s="135">
        <v>809</v>
      </c>
      <c r="F821" s="135">
        <v>0</v>
      </c>
      <c r="G821" s="141">
        <f t="shared" si="68"/>
        <v>0</v>
      </c>
      <c r="H821" s="155">
        <f t="shared" si="69"/>
        <v>0</v>
      </c>
      <c r="I821" s="142">
        <f t="shared" si="70"/>
        <v>0</v>
      </c>
      <c r="J821" s="142">
        <f>0</f>
        <v>0</v>
      </c>
      <c r="K821" s="142">
        <f t="shared" si="71"/>
        <v>0</v>
      </c>
      <c r="L821" s="142">
        <f t="shared" si="72"/>
        <v>0</v>
      </c>
      <c r="T821" s="144"/>
      <c r="U821" s="144"/>
    </row>
    <row r="822" spans="5:21" x14ac:dyDescent="0.35">
      <c r="E822" s="135">
        <v>810</v>
      </c>
      <c r="F822" s="135">
        <v>0</v>
      </c>
      <c r="G822" s="141">
        <f t="shared" si="68"/>
        <v>0</v>
      </c>
      <c r="H822" s="155">
        <f t="shared" si="69"/>
        <v>0</v>
      </c>
      <c r="I822" s="142">
        <f t="shared" si="70"/>
        <v>0</v>
      </c>
      <c r="J822" s="142">
        <f>0</f>
        <v>0</v>
      </c>
      <c r="K822" s="142">
        <f t="shared" si="71"/>
        <v>0</v>
      </c>
      <c r="L822" s="142">
        <f t="shared" si="72"/>
        <v>0</v>
      </c>
      <c r="T822" s="144"/>
      <c r="U822" s="144"/>
    </row>
    <row r="823" spans="5:21" x14ac:dyDescent="0.35">
      <c r="E823" s="135">
        <v>811</v>
      </c>
      <c r="F823" s="135">
        <v>0</v>
      </c>
      <c r="G823" s="141">
        <f t="shared" si="68"/>
        <v>0</v>
      </c>
      <c r="H823" s="155">
        <f t="shared" si="69"/>
        <v>0</v>
      </c>
      <c r="I823" s="142">
        <f t="shared" si="70"/>
        <v>0</v>
      </c>
      <c r="J823" s="142">
        <f>0</f>
        <v>0</v>
      </c>
      <c r="K823" s="142">
        <f t="shared" si="71"/>
        <v>0</v>
      </c>
      <c r="L823" s="142">
        <f t="shared" si="72"/>
        <v>0</v>
      </c>
      <c r="T823" s="144"/>
      <c r="U823" s="144"/>
    </row>
    <row r="824" spans="5:21" x14ac:dyDescent="0.35">
      <c r="E824" s="135">
        <v>812</v>
      </c>
      <c r="F824" s="135">
        <v>0</v>
      </c>
      <c r="G824" s="141">
        <f t="shared" si="68"/>
        <v>0</v>
      </c>
      <c r="H824" s="155">
        <f t="shared" si="69"/>
        <v>0</v>
      </c>
      <c r="I824" s="142">
        <f t="shared" si="70"/>
        <v>0</v>
      </c>
      <c r="J824" s="142">
        <f>0</f>
        <v>0</v>
      </c>
      <c r="K824" s="142">
        <f t="shared" si="71"/>
        <v>0</v>
      </c>
      <c r="L824" s="142">
        <f t="shared" si="72"/>
        <v>0</v>
      </c>
      <c r="T824" s="144"/>
      <c r="U824" s="144"/>
    </row>
    <row r="825" spans="5:21" x14ac:dyDescent="0.35">
      <c r="E825" s="135">
        <v>813</v>
      </c>
      <c r="F825" s="135">
        <v>1</v>
      </c>
      <c r="G825" s="141">
        <f t="shared" si="68"/>
        <v>23.813582244547764</v>
      </c>
      <c r="H825" s="155">
        <f t="shared" si="69"/>
        <v>0</v>
      </c>
      <c r="I825" s="142">
        <f t="shared" si="70"/>
        <v>0</v>
      </c>
      <c r="J825" s="142">
        <f>0</f>
        <v>0</v>
      </c>
      <c r="K825" s="142">
        <f t="shared" si="71"/>
        <v>136632.93323927111</v>
      </c>
      <c r="L825" s="142">
        <f t="shared" si="72"/>
        <v>136632.93323927111</v>
      </c>
      <c r="T825" s="144"/>
      <c r="U825" s="144"/>
    </row>
    <row r="826" spans="5:21" x14ac:dyDescent="0.35">
      <c r="E826" s="135">
        <v>814</v>
      </c>
      <c r="F826" s="135">
        <v>0</v>
      </c>
      <c r="G826" s="141">
        <f t="shared" si="68"/>
        <v>0</v>
      </c>
      <c r="H826" s="155">
        <f t="shared" si="69"/>
        <v>0</v>
      </c>
      <c r="I826" s="142">
        <f t="shared" si="70"/>
        <v>0</v>
      </c>
      <c r="J826" s="142">
        <f>0</f>
        <v>0</v>
      </c>
      <c r="K826" s="142">
        <f t="shared" si="71"/>
        <v>0</v>
      </c>
      <c r="L826" s="142">
        <f t="shared" si="72"/>
        <v>0</v>
      </c>
      <c r="T826" s="144"/>
      <c r="U826" s="144"/>
    </row>
    <row r="827" spans="5:21" x14ac:dyDescent="0.35">
      <c r="E827" s="135">
        <v>815</v>
      </c>
      <c r="F827" s="135">
        <v>1</v>
      </c>
      <c r="G827" s="141">
        <f t="shared" si="68"/>
        <v>23.813582244547764</v>
      </c>
      <c r="H827" s="155">
        <f t="shared" si="69"/>
        <v>0</v>
      </c>
      <c r="I827" s="142">
        <f t="shared" si="70"/>
        <v>0</v>
      </c>
      <c r="J827" s="142">
        <f>0</f>
        <v>0</v>
      </c>
      <c r="K827" s="142">
        <f t="shared" si="71"/>
        <v>136632.93323927111</v>
      </c>
      <c r="L827" s="142">
        <f t="shared" si="72"/>
        <v>136632.93323927111</v>
      </c>
      <c r="T827" s="144"/>
      <c r="U827" s="144"/>
    </row>
    <row r="828" spans="5:21" x14ac:dyDescent="0.35">
      <c r="E828" s="135">
        <v>816</v>
      </c>
      <c r="F828" s="135">
        <v>0</v>
      </c>
      <c r="G828" s="141">
        <f t="shared" si="68"/>
        <v>0</v>
      </c>
      <c r="H828" s="155">
        <f t="shared" si="69"/>
        <v>0</v>
      </c>
      <c r="I828" s="142">
        <f t="shared" si="70"/>
        <v>0</v>
      </c>
      <c r="J828" s="142">
        <f>0</f>
        <v>0</v>
      </c>
      <c r="K828" s="142">
        <f t="shared" si="71"/>
        <v>0</v>
      </c>
      <c r="L828" s="142">
        <f t="shared" si="72"/>
        <v>0</v>
      </c>
      <c r="T828" s="144"/>
      <c r="U828" s="144"/>
    </row>
    <row r="829" spans="5:21" x14ac:dyDescent="0.35">
      <c r="E829" s="135">
        <v>817</v>
      </c>
      <c r="F829" s="135">
        <v>1</v>
      </c>
      <c r="G829" s="141">
        <f t="shared" si="68"/>
        <v>23.813582244547764</v>
      </c>
      <c r="H829" s="155">
        <f t="shared" si="69"/>
        <v>0</v>
      </c>
      <c r="I829" s="142">
        <f t="shared" si="70"/>
        <v>0</v>
      </c>
      <c r="J829" s="142">
        <f>0</f>
        <v>0</v>
      </c>
      <c r="K829" s="142">
        <f t="shared" si="71"/>
        <v>136632.93323927111</v>
      </c>
      <c r="L829" s="142">
        <f t="shared" si="72"/>
        <v>136632.93323927111</v>
      </c>
      <c r="T829" s="144"/>
      <c r="U829" s="144"/>
    </row>
    <row r="830" spans="5:21" x14ac:dyDescent="0.35">
      <c r="E830" s="135">
        <v>818</v>
      </c>
      <c r="F830" s="135">
        <v>0</v>
      </c>
      <c r="G830" s="141">
        <f t="shared" si="68"/>
        <v>0</v>
      </c>
      <c r="H830" s="155">
        <f t="shared" si="69"/>
        <v>0</v>
      </c>
      <c r="I830" s="142">
        <f t="shared" si="70"/>
        <v>0</v>
      </c>
      <c r="J830" s="142">
        <f>0</f>
        <v>0</v>
      </c>
      <c r="K830" s="142">
        <f t="shared" si="71"/>
        <v>0</v>
      </c>
      <c r="L830" s="142">
        <f t="shared" si="72"/>
        <v>0</v>
      </c>
      <c r="T830" s="144"/>
      <c r="U830" s="144"/>
    </row>
    <row r="831" spans="5:21" x14ac:dyDescent="0.35">
      <c r="E831" s="135">
        <v>819</v>
      </c>
      <c r="F831" s="135">
        <v>0</v>
      </c>
      <c r="G831" s="141">
        <f t="shared" si="68"/>
        <v>0</v>
      </c>
      <c r="H831" s="155">
        <f t="shared" si="69"/>
        <v>0</v>
      </c>
      <c r="I831" s="142">
        <f t="shared" si="70"/>
        <v>0</v>
      </c>
      <c r="J831" s="142">
        <f>0</f>
        <v>0</v>
      </c>
      <c r="K831" s="142">
        <f t="shared" si="71"/>
        <v>0</v>
      </c>
      <c r="L831" s="142">
        <f t="shared" si="72"/>
        <v>0</v>
      </c>
      <c r="T831" s="144"/>
      <c r="U831" s="144"/>
    </row>
    <row r="832" spans="5:21" x14ac:dyDescent="0.35">
      <c r="E832" s="135">
        <v>820</v>
      </c>
      <c r="F832" s="135">
        <v>0</v>
      </c>
      <c r="G832" s="141">
        <f t="shared" si="68"/>
        <v>0</v>
      </c>
      <c r="H832" s="155">
        <f t="shared" si="69"/>
        <v>0</v>
      </c>
      <c r="I832" s="142">
        <f t="shared" si="70"/>
        <v>0</v>
      </c>
      <c r="J832" s="142">
        <f>0</f>
        <v>0</v>
      </c>
      <c r="K832" s="142">
        <f t="shared" si="71"/>
        <v>0</v>
      </c>
      <c r="L832" s="142">
        <f t="shared" si="72"/>
        <v>0</v>
      </c>
      <c r="T832" s="144"/>
      <c r="U832" s="144"/>
    </row>
    <row r="833" spans="5:21" x14ac:dyDescent="0.35">
      <c r="E833" s="135">
        <v>821</v>
      </c>
      <c r="F833" s="135">
        <v>0</v>
      </c>
      <c r="G833" s="141">
        <f t="shared" si="68"/>
        <v>0</v>
      </c>
      <c r="H833" s="155">
        <f t="shared" si="69"/>
        <v>0</v>
      </c>
      <c r="I833" s="142">
        <f t="shared" si="70"/>
        <v>0</v>
      </c>
      <c r="J833" s="142">
        <f>0</f>
        <v>0</v>
      </c>
      <c r="K833" s="142">
        <f t="shared" si="71"/>
        <v>0</v>
      </c>
      <c r="L833" s="142">
        <f t="shared" si="72"/>
        <v>0</v>
      </c>
      <c r="T833" s="144"/>
      <c r="U833" s="144"/>
    </row>
    <row r="834" spans="5:21" x14ac:dyDescent="0.35">
      <c r="E834" s="135">
        <v>822</v>
      </c>
      <c r="F834" s="135">
        <v>0</v>
      </c>
      <c r="G834" s="141">
        <f t="shared" si="68"/>
        <v>0</v>
      </c>
      <c r="H834" s="155">
        <f t="shared" si="69"/>
        <v>0</v>
      </c>
      <c r="I834" s="142">
        <f t="shared" si="70"/>
        <v>0</v>
      </c>
      <c r="J834" s="142">
        <f>0</f>
        <v>0</v>
      </c>
      <c r="K834" s="142">
        <f t="shared" si="71"/>
        <v>0</v>
      </c>
      <c r="L834" s="142">
        <f t="shared" si="72"/>
        <v>0</v>
      </c>
      <c r="T834" s="144"/>
      <c r="U834" s="144"/>
    </row>
    <row r="835" spans="5:21" x14ac:dyDescent="0.35">
      <c r="E835" s="135">
        <v>823</v>
      </c>
      <c r="F835" s="135">
        <v>0</v>
      </c>
      <c r="G835" s="141">
        <f t="shared" si="68"/>
        <v>0</v>
      </c>
      <c r="H835" s="155">
        <f t="shared" si="69"/>
        <v>0</v>
      </c>
      <c r="I835" s="142">
        <f t="shared" si="70"/>
        <v>0</v>
      </c>
      <c r="J835" s="142">
        <f>0</f>
        <v>0</v>
      </c>
      <c r="K835" s="142">
        <f t="shared" si="71"/>
        <v>0</v>
      </c>
      <c r="L835" s="142">
        <f t="shared" si="72"/>
        <v>0</v>
      </c>
      <c r="T835" s="144"/>
      <c r="U835" s="144"/>
    </row>
    <row r="836" spans="5:21" x14ac:dyDescent="0.35">
      <c r="E836" s="135">
        <v>824</v>
      </c>
      <c r="F836" s="135">
        <v>0</v>
      </c>
      <c r="G836" s="141">
        <f t="shared" si="68"/>
        <v>0</v>
      </c>
      <c r="H836" s="155">
        <f t="shared" si="69"/>
        <v>0</v>
      </c>
      <c r="I836" s="142">
        <f t="shared" si="70"/>
        <v>0</v>
      </c>
      <c r="J836" s="142">
        <f>0</f>
        <v>0</v>
      </c>
      <c r="K836" s="142">
        <f t="shared" si="71"/>
        <v>0</v>
      </c>
      <c r="L836" s="142">
        <f t="shared" si="72"/>
        <v>0</v>
      </c>
      <c r="T836" s="144"/>
      <c r="U836" s="144"/>
    </row>
    <row r="837" spans="5:21" x14ac:dyDescent="0.35">
      <c r="E837" s="135">
        <v>825</v>
      </c>
      <c r="F837" s="135">
        <v>0</v>
      </c>
      <c r="G837" s="141">
        <f t="shared" si="68"/>
        <v>0</v>
      </c>
      <c r="H837" s="155">
        <f t="shared" si="69"/>
        <v>0</v>
      </c>
      <c r="I837" s="142">
        <f t="shared" si="70"/>
        <v>0</v>
      </c>
      <c r="J837" s="142">
        <f>0</f>
        <v>0</v>
      </c>
      <c r="K837" s="142">
        <f t="shared" si="71"/>
        <v>0</v>
      </c>
      <c r="L837" s="142">
        <f t="shared" si="72"/>
        <v>0</v>
      </c>
      <c r="T837" s="144"/>
      <c r="U837" s="144"/>
    </row>
    <row r="838" spans="5:21" x14ac:dyDescent="0.35">
      <c r="E838" s="135">
        <v>826</v>
      </c>
      <c r="F838" s="135">
        <v>0</v>
      </c>
      <c r="G838" s="141">
        <f t="shared" si="68"/>
        <v>0</v>
      </c>
      <c r="H838" s="155">
        <f t="shared" si="69"/>
        <v>0</v>
      </c>
      <c r="I838" s="142">
        <f t="shared" si="70"/>
        <v>0</v>
      </c>
      <c r="J838" s="142">
        <f>0</f>
        <v>0</v>
      </c>
      <c r="K838" s="142">
        <f t="shared" si="71"/>
        <v>0</v>
      </c>
      <c r="L838" s="142">
        <f t="shared" si="72"/>
        <v>0</v>
      </c>
      <c r="T838" s="144"/>
      <c r="U838" s="144"/>
    </row>
    <row r="839" spans="5:21" x14ac:dyDescent="0.35">
      <c r="E839" s="135">
        <v>827</v>
      </c>
      <c r="F839" s="135">
        <v>2</v>
      </c>
      <c r="G839" s="141">
        <f t="shared" si="68"/>
        <v>47.627164489095527</v>
      </c>
      <c r="H839" s="155">
        <f t="shared" si="69"/>
        <v>200</v>
      </c>
      <c r="I839" s="142">
        <f t="shared" si="70"/>
        <v>14500000</v>
      </c>
      <c r="J839" s="142">
        <f>0</f>
        <v>0</v>
      </c>
      <c r="K839" s="142">
        <f t="shared" si="71"/>
        <v>273265.86647854222</v>
      </c>
      <c r="L839" s="142">
        <f t="shared" si="72"/>
        <v>14773265.866478542</v>
      </c>
      <c r="T839" s="144"/>
      <c r="U839" s="144"/>
    </row>
    <row r="840" spans="5:21" x14ac:dyDescent="0.35">
      <c r="E840" s="135">
        <v>828</v>
      </c>
      <c r="F840" s="135">
        <v>0</v>
      </c>
      <c r="G840" s="141">
        <f t="shared" si="68"/>
        <v>0</v>
      </c>
      <c r="H840" s="155">
        <f t="shared" si="69"/>
        <v>0</v>
      </c>
      <c r="I840" s="142">
        <f t="shared" si="70"/>
        <v>0</v>
      </c>
      <c r="J840" s="142">
        <f>0</f>
        <v>0</v>
      </c>
      <c r="K840" s="142">
        <f t="shared" si="71"/>
        <v>0</v>
      </c>
      <c r="L840" s="142">
        <f t="shared" si="72"/>
        <v>0</v>
      </c>
      <c r="T840" s="144"/>
      <c r="U840" s="144"/>
    </row>
    <row r="841" spans="5:21" x14ac:dyDescent="0.35">
      <c r="E841" s="135">
        <v>829</v>
      </c>
      <c r="F841" s="135">
        <v>0</v>
      </c>
      <c r="G841" s="141">
        <f t="shared" si="68"/>
        <v>0</v>
      </c>
      <c r="H841" s="155">
        <f t="shared" si="69"/>
        <v>0</v>
      </c>
      <c r="I841" s="142">
        <f t="shared" si="70"/>
        <v>0</v>
      </c>
      <c r="J841" s="142">
        <f>0</f>
        <v>0</v>
      </c>
      <c r="K841" s="142">
        <f t="shared" si="71"/>
        <v>0</v>
      </c>
      <c r="L841" s="142">
        <f t="shared" si="72"/>
        <v>0</v>
      </c>
      <c r="T841" s="144"/>
      <c r="U841" s="144"/>
    </row>
    <row r="842" spans="5:21" x14ac:dyDescent="0.35">
      <c r="E842" s="135">
        <v>830</v>
      </c>
      <c r="F842" s="135">
        <v>0</v>
      </c>
      <c r="G842" s="141">
        <f t="shared" si="68"/>
        <v>0</v>
      </c>
      <c r="H842" s="155">
        <f t="shared" si="69"/>
        <v>0</v>
      </c>
      <c r="I842" s="142">
        <f t="shared" si="70"/>
        <v>0</v>
      </c>
      <c r="J842" s="142">
        <f>0</f>
        <v>0</v>
      </c>
      <c r="K842" s="142">
        <f t="shared" si="71"/>
        <v>0</v>
      </c>
      <c r="L842" s="142">
        <f t="shared" si="72"/>
        <v>0</v>
      </c>
      <c r="T842" s="144"/>
      <c r="U842" s="144"/>
    </row>
    <row r="843" spans="5:21" x14ac:dyDescent="0.35">
      <c r="E843" s="135">
        <v>831</v>
      </c>
      <c r="F843" s="135">
        <v>1</v>
      </c>
      <c r="G843" s="141">
        <f t="shared" si="68"/>
        <v>23.813582244547764</v>
      </c>
      <c r="H843" s="155">
        <f t="shared" si="69"/>
        <v>0</v>
      </c>
      <c r="I843" s="142">
        <f t="shared" si="70"/>
        <v>0</v>
      </c>
      <c r="J843" s="142">
        <f>0</f>
        <v>0</v>
      </c>
      <c r="K843" s="142">
        <f t="shared" si="71"/>
        <v>136632.93323927111</v>
      </c>
      <c r="L843" s="142">
        <f t="shared" si="72"/>
        <v>136632.93323927111</v>
      </c>
      <c r="T843" s="144"/>
      <c r="U843" s="144"/>
    </row>
    <row r="844" spans="5:21" x14ac:dyDescent="0.35">
      <c r="E844" s="135">
        <v>832</v>
      </c>
      <c r="F844" s="135">
        <v>2</v>
      </c>
      <c r="G844" s="141">
        <f t="shared" si="68"/>
        <v>47.627164489095527</v>
      </c>
      <c r="H844" s="155">
        <f t="shared" si="69"/>
        <v>200</v>
      </c>
      <c r="I844" s="142">
        <f t="shared" si="70"/>
        <v>14500000</v>
      </c>
      <c r="J844" s="142">
        <f>0</f>
        <v>0</v>
      </c>
      <c r="K844" s="142">
        <f t="shared" si="71"/>
        <v>273265.86647854222</v>
      </c>
      <c r="L844" s="142">
        <f t="shared" si="72"/>
        <v>14773265.866478542</v>
      </c>
      <c r="T844" s="144"/>
      <c r="U844" s="144"/>
    </row>
    <row r="845" spans="5:21" x14ac:dyDescent="0.35">
      <c r="E845" s="135">
        <v>833</v>
      </c>
      <c r="F845" s="135">
        <v>1</v>
      </c>
      <c r="G845" s="141">
        <f t="shared" ref="G845:G908" si="73">F845*$C$9</f>
        <v>23.813582244547764</v>
      </c>
      <c r="H845" s="155">
        <f t="shared" ref="H845:H908" si="74">IF(F845 &gt; 1,$C$13*20000,0)</f>
        <v>0</v>
      </c>
      <c r="I845" s="142">
        <f t="shared" ref="I845:I908" si="75">IF(F845 &gt; 1,$C$4,0)</f>
        <v>0</v>
      </c>
      <c r="J845" s="142">
        <f>0</f>
        <v>0</v>
      </c>
      <c r="K845" s="142">
        <f t="shared" ref="K845:K908" si="76">F845*$C$5</f>
        <v>136632.93323927111</v>
      </c>
      <c r="L845" s="142">
        <f t="shared" ref="L845:L908" si="77">J845+I845+K845</f>
        <v>136632.93323927111</v>
      </c>
      <c r="T845" s="144"/>
      <c r="U845" s="144"/>
    </row>
    <row r="846" spans="5:21" x14ac:dyDescent="0.35">
      <c r="E846" s="135">
        <v>834</v>
      </c>
      <c r="F846" s="135">
        <v>0</v>
      </c>
      <c r="G846" s="141">
        <f t="shared" si="73"/>
        <v>0</v>
      </c>
      <c r="H846" s="155">
        <f t="shared" si="74"/>
        <v>0</v>
      </c>
      <c r="I846" s="142">
        <f t="shared" si="75"/>
        <v>0</v>
      </c>
      <c r="J846" s="142">
        <f>0</f>
        <v>0</v>
      </c>
      <c r="K846" s="142">
        <f t="shared" si="76"/>
        <v>0</v>
      </c>
      <c r="L846" s="142">
        <f t="shared" si="77"/>
        <v>0</v>
      </c>
      <c r="T846" s="144"/>
      <c r="U846" s="144"/>
    </row>
    <row r="847" spans="5:21" x14ac:dyDescent="0.35">
      <c r="E847" s="135">
        <v>835</v>
      </c>
      <c r="F847" s="135">
        <v>0</v>
      </c>
      <c r="G847" s="141">
        <f t="shared" si="73"/>
        <v>0</v>
      </c>
      <c r="H847" s="155">
        <f t="shared" si="74"/>
        <v>0</v>
      </c>
      <c r="I847" s="142">
        <f t="shared" si="75"/>
        <v>0</v>
      </c>
      <c r="J847" s="142">
        <f>0</f>
        <v>0</v>
      </c>
      <c r="K847" s="142">
        <f t="shared" si="76"/>
        <v>0</v>
      </c>
      <c r="L847" s="142">
        <f t="shared" si="77"/>
        <v>0</v>
      </c>
      <c r="T847" s="144"/>
      <c r="U847" s="144"/>
    </row>
    <row r="848" spans="5:21" x14ac:dyDescent="0.35">
      <c r="E848" s="135">
        <v>836</v>
      </c>
      <c r="F848" s="135">
        <v>0</v>
      </c>
      <c r="G848" s="141">
        <f t="shared" si="73"/>
        <v>0</v>
      </c>
      <c r="H848" s="155">
        <f t="shared" si="74"/>
        <v>0</v>
      </c>
      <c r="I848" s="142">
        <f t="shared" si="75"/>
        <v>0</v>
      </c>
      <c r="J848" s="142">
        <f>0</f>
        <v>0</v>
      </c>
      <c r="K848" s="142">
        <f t="shared" si="76"/>
        <v>0</v>
      </c>
      <c r="L848" s="142">
        <f t="shared" si="77"/>
        <v>0</v>
      </c>
      <c r="T848" s="144"/>
      <c r="U848" s="144"/>
    </row>
    <row r="849" spans="5:21" x14ac:dyDescent="0.35">
      <c r="E849" s="135">
        <v>837</v>
      </c>
      <c r="F849" s="135">
        <v>0</v>
      </c>
      <c r="G849" s="141">
        <f t="shared" si="73"/>
        <v>0</v>
      </c>
      <c r="H849" s="155">
        <f t="shared" si="74"/>
        <v>0</v>
      </c>
      <c r="I849" s="142">
        <f t="shared" si="75"/>
        <v>0</v>
      </c>
      <c r="J849" s="142">
        <f>0</f>
        <v>0</v>
      </c>
      <c r="K849" s="142">
        <f t="shared" si="76"/>
        <v>0</v>
      </c>
      <c r="L849" s="142">
        <f t="shared" si="77"/>
        <v>0</v>
      </c>
      <c r="T849" s="144"/>
      <c r="U849" s="144"/>
    </row>
    <row r="850" spans="5:21" x14ac:dyDescent="0.35">
      <c r="E850" s="135">
        <v>838</v>
      </c>
      <c r="F850" s="135">
        <v>0</v>
      </c>
      <c r="G850" s="141">
        <f t="shared" si="73"/>
        <v>0</v>
      </c>
      <c r="H850" s="155">
        <f t="shared" si="74"/>
        <v>0</v>
      </c>
      <c r="I850" s="142">
        <f t="shared" si="75"/>
        <v>0</v>
      </c>
      <c r="J850" s="142">
        <f>0</f>
        <v>0</v>
      </c>
      <c r="K850" s="142">
        <f t="shared" si="76"/>
        <v>0</v>
      </c>
      <c r="L850" s="142">
        <f t="shared" si="77"/>
        <v>0</v>
      </c>
      <c r="T850" s="144"/>
      <c r="U850" s="144"/>
    </row>
    <row r="851" spans="5:21" x14ac:dyDescent="0.35">
      <c r="E851" s="135">
        <v>839</v>
      </c>
      <c r="F851" s="135">
        <v>0</v>
      </c>
      <c r="G851" s="141">
        <f t="shared" si="73"/>
        <v>0</v>
      </c>
      <c r="H851" s="155">
        <f t="shared" si="74"/>
        <v>0</v>
      </c>
      <c r="I851" s="142">
        <f t="shared" si="75"/>
        <v>0</v>
      </c>
      <c r="J851" s="142">
        <f>0</f>
        <v>0</v>
      </c>
      <c r="K851" s="142">
        <f t="shared" si="76"/>
        <v>0</v>
      </c>
      <c r="L851" s="142">
        <f t="shared" si="77"/>
        <v>0</v>
      </c>
      <c r="T851" s="144"/>
      <c r="U851" s="144"/>
    </row>
    <row r="852" spans="5:21" x14ac:dyDescent="0.35">
      <c r="E852" s="135">
        <v>840</v>
      </c>
      <c r="F852" s="135">
        <v>4</v>
      </c>
      <c r="G852" s="141">
        <f t="shared" si="73"/>
        <v>95.254328978191054</v>
      </c>
      <c r="H852" s="155">
        <f t="shared" si="74"/>
        <v>200</v>
      </c>
      <c r="I852" s="142">
        <f t="shared" si="75"/>
        <v>14500000</v>
      </c>
      <c r="J852" s="142">
        <f>0</f>
        <v>0</v>
      </c>
      <c r="K852" s="142">
        <f t="shared" si="76"/>
        <v>546531.73295708443</v>
      </c>
      <c r="L852" s="142">
        <f t="shared" si="77"/>
        <v>15046531.732957084</v>
      </c>
      <c r="T852" s="144"/>
      <c r="U852" s="144"/>
    </row>
    <row r="853" spans="5:21" x14ac:dyDescent="0.35">
      <c r="E853" s="135">
        <v>841</v>
      </c>
      <c r="F853" s="135">
        <v>1</v>
      </c>
      <c r="G853" s="141">
        <f t="shared" si="73"/>
        <v>23.813582244547764</v>
      </c>
      <c r="H853" s="155">
        <f t="shared" si="74"/>
        <v>0</v>
      </c>
      <c r="I853" s="142">
        <f t="shared" si="75"/>
        <v>0</v>
      </c>
      <c r="J853" s="142">
        <f>0</f>
        <v>0</v>
      </c>
      <c r="K853" s="142">
        <f t="shared" si="76"/>
        <v>136632.93323927111</v>
      </c>
      <c r="L853" s="142">
        <f t="shared" si="77"/>
        <v>136632.93323927111</v>
      </c>
      <c r="T853" s="144"/>
      <c r="U853" s="144"/>
    </row>
    <row r="854" spans="5:21" x14ac:dyDescent="0.35">
      <c r="E854" s="135">
        <v>842</v>
      </c>
      <c r="F854" s="135">
        <v>0</v>
      </c>
      <c r="G854" s="141">
        <f t="shared" si="73"/>
        <v>0</v>
      </c>
      <c r="H854" s="155">
        <f t="shared" si="74"/>
        <v>0</v>
      </c>
      <c r="I854" s="142">
        <f t="shared" si="75"/>
        <v>0</v>
      </c>
      <c r="J854" s="142">
        <f>0</f>
        <v>0</v>
      </c>
      <c r="K854" s="142">
        <f t="shared" si="76"/>
        <v>0</v>
      </c>
      <c r="L854" s="142">
        <f t="shared" si="77"/>
        <v>0</v>
      </c>
      <c r="T854" s="144"/>
      <c r="U854" s="144"/>
    </row>
    <row r="855" spans="5:21" x14ac:dyDescent="0.35">
      <c r="E855" s="135">
        <v>843</v>
      </c>
      <c r="F855" s="135">
        <v>0</v>
      </c>
      <c r="G855" s="141">
        <f t="shared" si="73"/>
        <v>0</v>
      </c>
      <c r="H855" s="155">
        <f t="shared" si="74"/>
        <v>0</v>
      </c>
      <c r="I855" s="142">
        <f t="shared" si="75"/>
        <v>0</v>
      </c>
      <c r="J855" s="142">
        <f>0</f>
        <v>0</v>
      </c>
      <c r="K855" s="142">
        <f t="shared" si="76"/>
        <v>0</v>
      </c>
      <c r="L855" s="142">
        <f t="shared" si="77"/>
        <v>0</v>
      </c>
      <c r="T855" s="144"/>
      <c r="U855" s="144"/>
    </row>
    <row r="856" spans="5:21" x14ac:dyDescent="0.35">
      <c r="E856" s="135">
        <v>844</v>
      </c>
      <c r="F856" s="135">
        <v>2</v>
      </c>
      <c r="G856" s="141">
        <f t="shared" si="73"/>
        <v>47.627164489095527</v>
      </c>
      <c r="H856" s="155">
        <f t="shared" si="74"/>
        <v>200</v>
      </c>
      <c r="I856" s="142">
        <f t="shared" si="75"/>
        <v>14500000</v>
      </c>
      <c r="J856" s="142">
        <f>0</f>
        <v>0</v>
      </c>
      <c r="K856" s="142">
        <f t="shared" si="76"/>
        <v>273265.86647854222</v>
      </c>
      <c r="L856" s="142">
        <f t="shared" si="77"/>
        <v>14773265.866478542</v>
      </c>
      <c r="T856" s="144"/>
      <c r="U856" s="144"/>
    </row>
    <row r="857" spans="5:21" x14ac:dyDescent="0.35">
      <c r="E857" s="135">
        <v>845</v>
      </c>
      <c r="F857" s="135">
        <v>1</v>
      </c>
      <c r="G857" s="141">
        <f t="shared" si="73"/>
        <v>23.813582244547764</v>
      </c>
      <c r="H857" s="155">
        <f t="shared" si="74"/>
        <v>0</v>
      </c>
      <c r="I857" s="142">
        <f t="shared" si="75"/>
        <v>0</v>
      </c>
      <c r="J857" s="142">
        <f>0</f>
        <v>0</v>
      </c>
      <c r="K857" s="142">
        <f t="shared" si="76"/>
        <v>136632.93323927111</v>
      </c>
      <c r="L857" s="142">
        <f t="shared" si="77"/>
        <v>136632.93323927111</v>
      </c>
      <c r="T857" s="144"/>
      <c r="U857" s="144"/>
    </row>
    <row r="858" spans="5:21" x14ac:dyDescent="0.35">
      <c r="E858" s="135">
        <v>846</v>
      </c>
      <c r="F858" s="135">
        <v>0</v>
      </c>
      <c r="G858" s="141">
        <f t="shared" si="73"/>
        <v>0</v>
      </c>
      <c r="H858" s="155">
        <f t="shared" si="74"/>
        <v>0</v>
      </c>
      <c r="I858" s="142">
        <f t="shared" si="75"/>
        <v>0</v>
      </c>
      <c r="J858" s="142">
        <f>0</f>
        <v>0</v>
      </c>
      <c r="K858" s="142">
        <f t="shared" si="76"/>
        <v>0</v>
      </c>
      <c r="L858" s="142">
        <f t="shared" si="77"/>
        <v>0</v>
      </c>
      <c r="T858" s="144"/>
      <c r="U858" s="144"/>
    </row>
    <row r="859" spans="5:21" x14ac:dyDescent="0.35">
      <c r="E859" s="135">
        <v>847</v>
      </c>
      <c r="F859" s="135">
        <v>1</v>
      </c>
      <c r="G859" s="141">
        <f t="shared" si="73"/>
        <v>23.813582244547764</v>
      </c>
      <c r="H859" s="155">
        <f t="shared" si="74"/>
        <v>0</v>
      </c>
      <c r="I859" s="142">
        <f t="shared" si="75"/>
        <v>0</v>
      </c>
      <c r="J859" s="142">
        <f>0</f>
        <v>0</v>
      </c>
      <c r="K859" s="142">
        <f t="shared" si="76"/>
        <v>136632.93323927111</v>
      </c>
      <c r="L859" s="142">
        <f t="shared" si="77"/>
        <v>136632.93323927111</v>
      </c>
      <c r="T859" s="144"/>
      <c r="U859" s="144"/>
    </row>
    <row r="860" spans="5:21" x14ac:dyDescent="0.35">
      <c r="E860" s="135">
        <v>848</v>
      </c>
      <c r="F860" s="135">
        <v>0</v>
      </c>
      <c r="G860" s="141">
        <f t="shared" si="73"/>
        <v>0</v>
      </c>
      <c r="H860" s="155">
        <f t="shared" si="74"/>
        <v>0</v>
      </c>
      <c r="I860" s="142">
        <f t="shared" si="75"/>
        <v>0</v>
      </c>
      <c r="J860" s="142">
        <f>0</f>
        <v>0</v>
      </c>
      <c r="K860" s="142">
        <f t="shared" si="76"/>
        <v>0</v>
      </c>
      <c r="L860" s="142">
        <f t="shared" si="77"/>
        <v>0</v>
      </c>
      <c r="T860" s="144"/>
      <c r="U860" s="144"/>
    </row>
    <row r="861" spans="5:21" x14ac:dyDescent="0.35">
      <c r="E861" s="135">
        <v>849</v>
      </c>
      <c r="F861" s="135">
        <v>2</v>
      </c>
      <c r="G861" s="141">
        <f t="shared" si="73"/>
        <v>47.627164489095527</v>
      </c>
      <c r="H861" s="155">
        <f t="shared" si="74"/>
        <v>200</v>
      </c>
      <c r="I861" s="142">
        <f t="shared" si="75"/>
        <v>14500000</v>
      </c>
      <c r="J861" s="142">
        <f>0</f>
        <v>0</v>
      </c>
      <c r="K861" s="142">
        <f t="shared" si="76"/>
        <v>273265.86647854222</v>
      </c>
      <c r="L861" s="142">
        <f t="shared" si="77"/>
        <v>14773265.866478542</v>
      </c>
      <c r="T861" s="144"/>
      <c r="U861" s="144"/>
    </row>
    <row r="862" spans="5:21" x14ac:dyDescent="0.35">
      <c r="E862" s="135">
        <v>850</v>
      </c>
      <c r="F862" s="135">
        <v>1</v>
      </c>
      <c r="G862" s="141">
        <f t="shared" si="73"/>
        <v>23.813582244547764</v>
      </c>
      <c r="H862" s="155">
        <f t="shared" si="74"/>
        <v>0</v>
      </c>
      <c r="I862" s="142">
        <f t="shared" si="75"/>
        <v>0</v>
      </c>
      <c r="J862" s="142">
        <f>0</f>
        <v>0</v>
      </c>
      <c r="K862" s="142">
        <f t="shared" si="76"/>
        <v>136632.93323927111</v>
      </c>
      <c r="L862" s="142">
        <f t="shared" si="77"/>
        <v>136632.93323927111</v>
      </c>
      <c r="T862" s="144"/>
      <c r="U862" s="144"/>
    </row>
    <row r="863" spans="5:21" x14ac:dyDescent="0.35">
      <c r="E863" s="135">
        <v>851</v>
      </c>
      <c r="F863" s="135">
        <v>0</v>
      </c>
      <c r="G863" s="141">
        <f t="shared" si="73"/>
        <v>0</v>
      </c>
      <c r="H863" s="155">
        <f t="shared" si="74"/>
        <v>0</v>
      </c>
      <c r="I863" s="142">
        <f t="shared" si="75"/>
        <v>0</v>
      </c>
      <c r="J863" s="142">
        <f>0</f>
        <v>0</v>
      </c>
      <c r="K863" s="142">
        <f t="shared" si="76"/>
        <v>0</v>
      </c>
      <c r="L863" s="142">
        <f t="shared" si="77"/>
        <v>0</v>
      </c>
      <c r="T863" s="144"/>
      <c r="U863" s="144"/>
    </row>
    <row r="864" spans="5:21" x14ac:dyDescent="0.35">
      <c r="E864" s="135">
        <v>852</v>
      </c>
      <c r="F864" s="135">
        <v>0</v>
      </c>
      <c r="G864" s="141">
        <f t="shared" si="73"/>
        <v>0</v>
      </c>
      <c r="H864" s="155">
        <f t="shared" si="74"/>
        <v>0</v>
      </c>
      <c r="I864" s="142">
        <f t="shared" si="75"/>
        <v>0</v>
      </c>
      <c r="J864" s="142">
        <f>0</f>
        <v>0</v>
      </c>
      <c r="K864" s="142">
        <f t="shared" si="76"/>
        <v>0</v>
      </c>
      <c r="L864" s="142">
        <f t="shared" si="77"/>
        <v>0</v>
      </c>
      <c r="T864" s="144"/>
      <c r="U864" s="144"/>
    </row>
    <row r="865" spans="5:21" x14ac:dyDescent="0.35">
      <c r="E865" s="135">
        <v>853</v>
      </c>
      <c r="F865" s="135">
        <v>1</v>
      </c>
      <c r="G865" s="141">
        <f t="shared" si="73"/>
        <v>23.813582244547764</v>
      </c>
      <c r="H865" s="155">
        <f t="shared" si="74"/>
        <v>0</v>
      </c>
      <c r="I865" s="142">
        <f t="shared" si="75"/>
        <v>0</v>
      </c>
      <c r="J865" s="142">
        <f>0</f>
        <v>0</v>
      </c>
      <c r="K865" s="142">
        <f t="shared" si="76"/>
        <v>136632.93323927111</v>
      </c>
      <c r="L865" s="142">
        <f t="shared" si="77"/>
        <v>136632.93323927111</v>
      </c>
      <c r="T865" s="144"/>
      <c r="U865" s="144"/>
    </row>
    <row r="866" spans="5:21" x14ac:dyDescent="0.35">
      <c r="E866" s="135">
        <v>854</v>
      </c>
      <c r="F866" s="135">
        <v>1</v>
      </c>
      <c r="G866" s="141">
        <f t="shared" si="73"/>
        <v>23.813582244547764</v>
      </c>
      <c r="H866" s="155">
        <f t="shared" si="74"/>
        <v>0</v>
      </c>
      <c r="I866" s="142">
        <f t="shared" si="75"/>
        <v>0</v>
      </c>
      <c r="J866" s="142">
        <f>0</f>
        <v>0</v>
      </c>
      <c r="K866" s="142">
        <f t="shared" si="76"/>
        <v>136632.93323927111</v>
      </c>
      <c r="L866" s="142">
        <f t="shared" si="77"/>
        <v>136632.93323927111</v>
      </c>
      <c r="T866" s="144"/>
      <c r="U866" s="144"/>
    </row>
    <row r="867" spans="5:21" x14ac:dyDescent="0.35">
      <c r="E867" s="135">
        <v>855</v>
      </c>
      <c r="F867" s="135">
        <v>2</v>
      </c>
      <c r="G867" s="141">
        <f t="shared" si="73"/>
        <v>47.627164489095527</v>
      </c>
      <c r="H867" s="155">
        <f t="shared" si="74"/>
        <v>200</v>
      </c>
      <c r="I867" s="142">
        <f t="shared" si="75"/>
        <v>14500000</v>
      </c>
      <c r="J867" s="142">
        <f>0</f>
        <v>0</v>
      </c>
      <c r="K867" s="142">
        <f t="shared" si="76"/>
        <v>273265.86647854222</v>
      </c>
      <c r="L867" s="142">
        <f t="shared" si="77"/>
        <v>14773265.866478542</v>
      </c>
      <c r="T867" s="144"/>
      <c r="U867" s="144"/>
    </row>
    <row r="868" spans="5:21" x14ac:dyDescent="0.35">
      <c r="E868" s="135">
        <v>856</v>
      </c>
      <c r="F868" s="135">
        <v>1</v>
      </c>
      <c r="G868" s="141">
        <f t="shared" si="73"/>
        <v>23.813582244547764</v>
      </c>
      <c r="H868" s="155">
        <f t="shared" si="74"/>
        <v>0</v>
      </c>
      <c r="I868" s="142">
        <f t="shared" si="75"/>
        <v>0</v>
      </c>
      <c r="J868" s="142">
        <f>0</f>
        <v>0</v>
      </c>
      <c r="K868" s="142">
        <f t="shared" si="76"/>
        <v>136632.93323927111</v>
      </c>
      <c r="L868" s="142">
        <f t="shared" si="77"/>
        <v>136632.93323927111</v>
      </c>
      <c r="T868" s="144"/>
      <c r="U868" s="144"/>
    </row>
    <row r="869" spans="5:21" x14ac:dyDescent="0.35">
      <c r="E869" s="135">
        <v>857</v>
      </c>
      <c r="F869" s="135">
        <v>0</v>
      </c>
      <c r="G869" s="141">
        <f t="shared" si="73"/>
        <v>0</v>
      </c>
      <c r="H869" s="155">
        <f t="shared" si="74"/>
        <v>0</v>
      </c>
      <c r="I869" s="142">
        <f t="shared" si="75"/>
        <v>0</v>
      </c>
      <c r="J869" s="142">
        <f>0</f>
        <v>0</v>
      </c>
      <c r="K869" s="142">
        <f t="shared" si="76"/>
        <v>0</v>
      </c>
      <c r="L869" s="142">
        <f t="shared" si="77"/>
        <v>0</v>
      </c>
      <c r="T869" s="144"/>
      <c r="U869" s="144"/>
    </row>
    <row r="870" spans="5:21" x14ac:dyDescent="0.35">
      <c r="E870" s="135">
        <v>858</v>
      </c>
      <c r="F870" s="135">
        <v>0</v>
      </c>
      <c r="G870" s="141">
        <f t="shared" si="73"/>
        <v>0</v>
      </c>
      <c r="H870" s="155">
        <f t="shared" si="74"/>
        <v>0</v>
      </c>
      <c r="I870" s="142">
        <f t="shared" si="75"/>
        <v>0</v>
      </c>
      <c r="J870" s="142">
        <f>0</f>
        <v>0</v>
      </c>
      <c r="K870" s="142">
        <f t="shared" si="76"/>
        <v>0</v>
      </c>
      <c r="L870" s="142">
        <f t="shared" si="77"/>
        <v>0</v>
      </c>
      <c r="T870" s="144"/>
      <c r="U870" s="144"/>
    </row>
    <row r="871" spans="5:21" x14ac:dyDescent="0.35">
      <c r="E871" s="135">
        <v>859</v>
      </c>
      <c r="F871" s="135">
        <v>0</v>
      </c>
      <c r="G871" s="141">
        <f t="shared" si="73"/>
        <v>0</v>
      </c>
      <c r="H871" s="155">
        <f t="shared" si="74"/>
        <v>0</v>
      </c>
      <c r="I871" s="142">
        <f t="shared" si="75"/>
        <v>0</v>
      </c>
      <c r="J871" s="142">
        <f>0</f>
        <v>0</v>
      </c>
      <c r="K871" s="142">
        <f t="shared" si="76"/>
        <v>0</v>
      </c>
      <c r="L871" s="142">
        <f t="shared" si="77"/>
        <v>0</v>
      </c>
      <c r="T871" s="144"/>
      <c r="U871" s="144"/>
    </row>
    <row r="872" spans="5:21" x14ac:dyDescent="0.35">
      <c r="E872" s="135">
        <v>860</v>
      </c>
      <c r="F872" s="135">
        <v>0</v>
      </c>
      <c r="G872" s="141">
        <f t="shared" si="73"/>
        <v>0</v>
      </c>
      <c r="H872" s="155">
        <f t="shared" si="74"/>
        <v>0</v>
      </c>
      <c r="I872" s="142">
        <f t="shared" si="75"/>
        <v>0</v>
      </c>
      <c r="J872" s="142">
        <f>0</f>
        <v>0</v>
      </c>
      <c r="K872" s="142">
        <f t="shared" si="76"/>
        <v>0</v>
      </c>
      <c r="L872" s="142">
        <f t="shared" si="77"/>
        <v>0</v>
      </c>
      <c r="T872" s="144"/>
      <c r="U872" s="144"/>
    </row>
    <row r="873" spans="5:21" x14ac:dyDescent="0.35">
      <c r="E873" s="135">
        <v>861</v>
      </c>
      <c r="F873" s="135">
        <v>1</v>
      </c>
      <c r="G873" s="141">
        <f t="shared" si="73"/>
        <v>23.813582244547764</v>
      </c>
      <c r="H873" s="155">
        <f t="shared" si="74"/>
        <v>0</v>
      </c>
      <c r="I873" s="142">
        <f t="shared" si="75"/>
        <v>0</v>
      </c>
      <c r="J873" s="142">
        <f>0</f>
        <v>0</v>
      </c>
      <c r="K873" s="142">
        <f t="shared" si="76"/>
        <v>136632.93323927111</v>
      </c>
      <c r="L873" s="142">
        <f t="shared" si="77"/>
        <v>136632.93323927111</v>
      </c>
      <c r="T873" s="144"/>
      <c r="U873" s="144"/>
    </row>
    <row r="874" spans="5:21" x14ac:dyDescent="0.35">
      <c r="E874" s="135">
        <v>862</v>
      </c>
      <c r="F874" s="135">
        <v>0</v>
      </c>
      <c r="G874" s="141">
        <f t="shared" si="73"/>
        <v>0</v>
      </c>
      <c r="H874" s="155">
        <f t="shared" si="74"/>
        <v>0</v>
      </c>
      <c r="I874" s="142">
        <f t="shared" si="75"/>
        <v>0</v>
      </c>
      <c r="J874" s="142">
        <f>0</f>
        <v>0</v>
      </c>
      <c r="K874" s="142">
        <f t="shared" si="76"/>
        <v>0</v>
      </c>
      <c r="L874" s="142">
        <f t="shared" si="77"/>
        <v>0</v>
      </c>
      <c r="T874" s="144"/>
      <c r="U874" s="144"/>
    </row>
    <row r="875" spans="5:21" x14ac:dyDescent="0.35">
      <c r="E875" s="135">
        <v>863</v>
      </c>
      <c r="F875" s="135">
        <v>0</v>
      </c>
      <c r="G875" s="141">
        <f t="shared" si="73"/>
        <v>0</v>
      </c>
      <c r="H875" s="155">
        <f t="shared" si="74"/>
        <v>0</v>
      </c>
      <c r="I875" s="142">
        <f t="shared" si="75"/>
        <v>0</v>
      </c>
      <c r="J875" s="142">
        <f>0</f>
        <v>0</v>
      </c>
      <c r="K875" s="142">
        <f t="shared" si="76"/>
        <v>0</v>
      </c>
      <c r="L875" s="142">
        <f t="shared" si="77"/>
        <v>0</v>
      </c>
      <c r="T875" s="144"/>
      <c r="U875" s="144"/>
    </row>
    <row r="876" spans="5:21" x14ac:dyDescent="0.35">
      <c r="E876" s="135">
        <v>864</v>
      </c>
      <c r="F876" s="135">
        <v>0</v>
      </c>
      <c r="G876" s="141">
        <f t="shared" si="73"/>
        <v>0</v>
      </c>
      <c r="H876" s="155">
        <f t="shared" si="74"/>
        <v>0</v>
      </c>
      <c r="I876" s="142">
        <f t="shared" si="75"/>
        <v>0</v>
      </c>
      <c r="J876" s="142">
        <f>0</f>
        <v>0</v>
      </c>
      <c r="K876" s="142">
        <f t="shared" si="76"/>
        <v>0</v>
      </c>
      <c r="L876" s="142">
        <f t="shared" si="77"/>
        <v>0</v>
      </c>
      <c r="T876" s="144"/>
      <c r="U876" s="144"/>
    </row>
    <row r="877" spans="5:21" x14ac:dyDescent="0.35">
      <c r="E877" s="135">
        <v>865</v>
      </c>
      <c r="F877" s="135">
        <v>0</v>
      </c>
      <c r="G877" s="141">
        <f t="shared" si="73"/>
        <v>0</v>
      </c>
      <c r="H877" s="155">
        <f t="shared" si="74"/>
        <v>0</v>
      </c>
      <c r="I877" s="142">
        <f t="shared" si="75"/>
        <v>0</v>
      </c>
      <c r="J877" s="142">
        <f>0</f>
        <v>0</v>
      </c>
      <c r="K877" s="142">
        <f t="shared" si="76"/>
        <v>0</v>
      </c>
      <c r="L877" s="142">
        <f t="shared" si="77"/>
        <v>0</v>
      </c>
      <c r="T877" s="144"/>
      <c r="U877" s="144"/>
    </row>
    <row r="878" spans="5:21" x14ac:dyDescent="0.35">
      <c r="E878" s="135">
        <v>866</v>
      </c>
      <c r="F878" s="135">
        <v>2</v>
      </c>
      <c r="G878" s="141">
        <f t="shared" si="73"/>
        <v>47.627164489095527</v>
      </c>
      <c r="H878" s="155">
        <f t="shared" si="74"/>
        <v>200</v>
      </c>
      <c r="I878" s="142">
        <f t="shared" si="75"/>
        <v>14500000</v>
      </c>
      <c r="J878" s="142">
        <f>0</f>
        <v>0</v>
      </c>
      <c r="K878" s="142">
        <f t="shared" si="76"/>
        <v>273265.86647854222</v>
      </c>
      <c r="L878" s="142">
        <f t="shared" si="77"/>
        <v>14773265.866478542</v>
      </c>
      <c r="T878" s="144"/>
      <c r="U878" s="144"/>
    </row>
    <row r="879" spans="5:21" x14ac:dyDescent="0.35">
      <c r="E879" s="135">
        <v>867</v>
      </c>
      <c r="F879" s="135">
        <v>1</v>
      </c>
      <c r="G879" s="141">
        <f t="shared" si="73"/>
        <v>23.813582244547764</v>
      </c>
      <c r="H879" s="155">
        <f t="shared" si="74"/>
        <v>0</v>
      </c>
      <c r="I879" s="142">
        <f t="shared" si="75"/>
        <v>0</v>
      </c>
      <c r="J879" s="142">
        <f>0</f>
        <v>0</v>
      </c>
      <c r="K879" s="142">
        <f t="shared" si="76"/>
        <v>136632.93323927111</v>
      </c>
      <c r="L879" s="142">
        <f t="shared" si="77"/>
        <v>136632.93323927111</v>
      </c>
      <c r="T879" s="144"/>
      <c r="U879" s="144"/>
    </row>
    <row r="880" spans="5:21" x14ac:dyDescent="0.35">
      <c r="E880" s="135">
        <v>868</v>
      </c>
      <c r="F880" s="135">
        <v>0</v>
      </c>
      <c r="G880" s="141">
        <f t="shared" si="73"/>
        <v>0</v>
      </c>
      <c r="H880" s="155">
        <f t="shared" si="74"/>
        <v>0</v>
      </c>
      <c r="I880" s="142">
        <f t="shared" si="75"/>
        <v>0</v>
      </c>
      <c r="J880" s="142">
        <f>0</f>
        <v>0</v>
      </c>
      <c r="K880" s="142">
        <f t="shared" si="76"/>
        <v>0</v>
      </c>
      <c r="L880" s="142">
        <f t="shared" si="77"/>
        <v>0</v>
      </c>
      <c r="T880" s="144"/>
      <c r="U880" s="144"/>
    </row>
    <row r="881" spans="5:21" x14ac:dyDescent="0.35">
      <c r="E881" s="135">
        <v>869</v>
      </c>
      <c r="F881" s="135">
        <v>0</v>
      </c>
      <c r="G881" s="141">
        <f t="shared" si="73"/>
        <v>0</v>
      </c>
      <c r="H881" s="155">
        <f t="shared" si="74"/>
        <v>0</v>
      </c>
      <c r="I881" s="142">
        <f t="shared" si="75"/>
        <v>0</v>
      </c>
      <c r="J881" s="142">
        <f>0</f>
        <v>0</v>
      </c>
      <c r="K881" s="142">
        <f t="shared" si="76"/>
        <v>0</v>
      </c>
      <c r="L881" s="142">
        <f t="shared" si="77"/>
        <v>0</v>
      </c>
      <c r="T881" s="144"/>
      <c r="U881" s="144"/>
    </row>
    <row r="882" spans="5:21" x14ac:dyDescent="0.35">
      <c r="E882" s="135">
        <v>870</v>
      </c>
      <c r="F882" s="135">
        <v>1</v>
      </c>
      <c r="G882" s="141">
        <f t="shared" si="73"/>
        <v>23.813582244547764</v>
      </c>
      <c r="H882" s="155">
        <f t="shared" si="74"/>
        <v>0</v>
      </c>
      <c r="I882" s="142">
        <f t="shared" si="75"/>
        <v>0</v>
      </c>
      <c r="J882" s="142">
        <f>0</f>
        <v>0</v>
      </c>
      <c r="K882" s="142">
        <f t="shared" si="76"/>
        <v>136632.93323927111</v>
      </c>
      <c r="L882" s="142">
        <f t="shared" si="77"/>
        <v>136632.93323927111</v>
      </c>
      <c r="T882" s="144"/>
      <c r="U882" s="144"/>
    </row>
    <row r="883" spans="5:21" x14ac:dyDescent="0.35">
      <c r="E883" s="135">
        <v>871</v>
      </c>
      <c r="F883" s="135">
        <v>0</v>
      </c>
      <c r="G883" s="141">
        <f t="shared" si="73"/>
        <v>0</v>
      </c>
      <c r="H883" s="155">
        <f t="shared" si="74"/>
        <v>0</v>
      </c>
      <c r="I883" s="142">
        <f t="shared" si="75"/>
        <v>0</v>
      </c>
      <c r="J883" s="142">
        <f>0</f>
        <v>0</v>
      </c>
      <c r="K883" s="142">
        <f t="shared" si="76"/>
        <v>0</v>
      </c>
      <c r="L883" s="142">
        <f t="shared" si="77"/>
        <v>0</v>
      </c>
      <c r="T883" s="144"/>
      <c r="U883" s="144"/>
    </row>
    <row r="884" spans="5:21" x14ac:dyDescent="0.35">
      <c r="E884" s="135">
        <v>872</v>
      </c>
      <c r="F884" s="135">
        <v>0</v>
      </c>
      <c r="G884" s="141">
        <f t="shared" si="73"/>
        <v>0</v>
      </c>
      <c r="H884" s="155">
        <f t="shared" si="74"/>
        <v>0</v>
      </c>
      <c r="I884" s="142">
        <f t="shared" si="75"/>
        <v>0</v>
      </c>
      <c r="J884" s="142">
        <f>0</f>
        <v>0</v>
      </c>
      <c r="K884" s="142">
        <f t="shared" si="76"/>
        <v>0</v>
      </c>
      <c r="L884" s="142">
        <f t="shared" si="77"/>
        <v>0</v>
      </c>
      <c r="T884" s="144"/>
      <c r="U884" s="144"/>
    </row>
    <row r="885" spans="5:21" x14ac:dyDescent="0.35">
      <c r="E885" s="135">
        <v>873</v>
      </c>
      <c r="F885" s="135">
        <v>0</v>
      </c>
      <c r="G885" s="141">
        <f t="shared" si="73"/>
        <v>0</v>
      </c>
      <c r="H885" s="155">
        <f t="shared" si="74"/>
        <v>0</v>
      </c>
      <c r="I885" s="142">
        <f t="shared" si="75"/>
        <v>0</v>
      </c>
      <c r="J885" s="142">
        <f>0</f>
        <v>0</v>
      </c>
      <c r="K885" s="142">
        <f t="shared" si="76"/>
        <v>0</v>
      </c>
      <c r="L885" s="142">
        <f t="shared" si="77"/>
        <v>0</v>
      </c>
      <c r="T885" s="144"/>
      <c r="U885" s="144"/>
    </row>
    <row r="886" spans="5:21" x14ac:dyDescent="0.35">
      <c r="E886" s="135">
        <v>874</v>
      </c>
      <c r="F886" s="135">
        <v>0</v>
      </c>
      <c r="G886" s="141">
        <f t="shared" si="73"/>
        <v>0</v>
      </c>
      <c r="H886" s="155">
        <f t="shared" si="74"/>
        <v>0</v>
      </c>
      <c r="I886" s="142">
        <f t="shared" si="75"/>
        <v>0</v>
      </c>
      <c r="J886" s="142">
        <f>0</f>
        <v>0</v>
      </c>
      <c r="K886" s="142">
        <f t="shared" si="76"/>
        <v>0</v>
      </c>
      <c r="L886" s="142">
        <f t="shared" si="77"/>
        <v>0</v>
      </c>
      <c r="T886" s="144"/>
      <c r="U886" s="144"/>
    </row>
    <row r="887" spans="5:21" x14ac:dyDescent="0.35">
      <c r="E887" s="135">
        <v>875</v>
      </c>
      <c r="F887" s="135">
        <v>0</v>
      </c>
      <c r="G887" s="141">
        <f t="shared" si="73"/>
        <v>0</v>
      </c>
      <c r="H887" s="155">
        <f t="shared" si="74"/>
        <v>0</v>
      </c>
      <c r="I887" s="142">
        <f t="shared" si="75"/>
        <v>0</v>
      </c>
      <c r="J887" s="142">
        <f>0</f>
        <v>0</v>
      </c>
      <c r="K887" s="142">
        <f t="shared" si="76"/>
        <v>0</v>
      </c>
      <c r="L887" s="142">
        <f t="shared" si="77"/>
        <v>0</v>
      </c>
      <c r="T887" s="144"/>
      <c r="U887" s="144"/>
    </row>
    <row r="888" spans="5:21" x14ac:dyDescent="0.35">
      <c r="E888" s="135">
        <v>876</v>
      </c>
      <c r="F888" s="135">
        <v>0</v>
      </c>
      <c r="G888" s="141">
        <f t="shared" si="73"/>
        <v>0</v>
      </c>
      <c r="H888" s="155">
        <f t="shared" si="74"/>
        <v>0</v>
      </c>
      <c r="I888" s="142">
        <f t="shared" si="75"/>
        <v>0</v>
      </c>
      <c r="J888" s="142">
        <f>0</f>
        <v>0</v>
      </c>
      <c r="K888" s="142">
        <f t="shared" si="76"/>
        <v>0</v>
      </c>
      <c r="L888" s="142">
        <f t="shared" si="77"/>
        <v>0</v>
      </c>
      <c r="T888" s="144"/>
      <c r="U888" s="144"/>
    </row>
    <row r="889" spans="5:21" x14ac:dyDescent="0.35">
      <c r="E889" s="135">
        <v>877</v>
      </c>
      <c r="F889" s="135">
        <v>0</v>
      </c>
      <c r="G889" s="141">
        <f t="shared" si="73"/>
        <v>0</v>
      </c>
      <c r="H889" s="155">
        <f t="shared" si="74"/>
        <v>0</v>
      </c>
      <c r="I889" s="142">
        <f t="shared" si="75"/>
        <v>0</v>
      </c>
      <c r="J889" s="142">
        <f>0</f>
        <v>0</v>
      </c>
      <c r="K889" s="142">
        <f t="shared" si="76"/>
        <v>0</v>
      </c>
      <c r="L889" s="142">
        <f t="shared" si="77"/>
        <v>0</v>
      </c>
      <c r="T889" s="144"/>
      <c r="U889" s="144"/>
    </row>
    <row r="890" spans="5:21" x14ac:dyDescent="0.35">
      <c r="E890" s="135">
        <v>878</v>
      </c>
      <c r="F890" s="135">
        <v>0</v>
      </c>
      <c r="G890" s="141">
        <f t="shared" si="73"/>
        <v>0</v>
      </c>
      <c r="H890" s="155">
        <f t="shared" si="74"/>
        <v>0</v>
      </c>
      <c r="I890" s="142">
        <f t="shared" si="75"/>
        <v>0</v>
      </c>
      <c r="J890" s="142">
        <f>0</f>
        <v>0</v>
      </c>
      <c r="K890" s="142">
        <f t="shared" si="76"/>
        <v>0</v>
      </c>
      <c r="L890" s="142">
        <f t="shared" si="77"/>
        <v>0</v>
      </c>
      <c r="T890" s="144"/>
      <c r="U890" s="144"/>
    </row>
    <row r="891" spans="5:21" x14ac:dyDescent="0.35">
      <c r="E891" s="135">
        <v>879</v>
      </c>
      <c r="F891" s="135">
        <v>1</v>
      </c>
      <c r="G891" s="141">
        <f t="shared" si="73"/>
        <v>23.813582244547764</v>
      </c>
      <c r="H891" s="155">
        <f t="shared" si="74"/>
        <v>0</v>
      </c>
      <c r="I891" s="142">
        <f t="shared" si="75"/>
        <v>0</v>
      </c>
      <c r="J891" s="142">
        <f>0</f>
        <v>0</v>
      </c>
      <c r="K891" s="142">
        <f t="shared" si="76"/>
        <v>136632.93323927111</v>
      </c>
      <c r="L891" s="142">
        <f t="shared" si="77"/>
        <v>136632.93323927111</v>
      </c>
      <c r="T891" s="144"/>
      <c r="U891" s="144"/>
    </row>
    <row r="892" spans="5:21" x14ac:dyDescent="0.35">
      <c r="E892" s="135">
        <v>880</v>
      </c>
      <c r="F892" s="135">
        <v>1</v>
      </c>
      <c r="G892" s="141">
        <f t="shared" si="73"/>
        <v>23.813582244547764</v>
      </c>
      <c r="H892" s="155">
        <f t="shared" si="74"/>
        <v>0</v>
      </c>
      <c r="I892" s="142">
        <f t="shared" si="75"/>
        <v>0</v>
      </c>
      <c r="J892" s="142">
        <f>0</f>
        <v>0</v>
      </c>
      <c r="K892" s="142">
        <f t="shared" si="76"/>
        <v>136632.93323927111</v>
      </c>
      <c r="L892" s="142">
        <f t="shared" si="77"/>
        <v>136632.93323927111</v>
      </c>
      <c r="T892" s="144"/>
      <c r="U892" s="144"/>
    </row>
    <row r="893" spans="5:21" x14ac:dyDescent="0.35">
      <c r="E893" s="135">
        <v>881</v>
      </c>
      <c r="F893" s="135">
        <v>0</v>
      </c>
      <c r="G893" s="141">
        <f t="shared" si="73"/>
        <v>0</v>
      </c>
      <c r="H893" s="155">
        <f t="shared" si="74"/>
        <v>0</v>
      </c>
      <c r="I893" s="142">
        <f t="shared" si="75"/>
        <v>0</v>
      </c>
      <c r="J893" s="142">
        <f>0</f>
        <v>0</v>
      </c>
      <c r="K893" s="142">
        <f t="shared" si="76"/>
        <v>0</v>
      </c>
      <c r="L893" s="142">
        <f t="shared" si="77"/>
        <v>0</v>
      </c>
      <c r="T893" s="144"/>
      <c r="U893" s="144"/>
    </row>
    <row r="894" spans="5:21" x14ac:dyDescent="0.35">
      <c r="E894" s="135">
        <v>882</v>
      </c>
      <c r="F894" s="135">
        <v>0</v>
      </c>
      <c r="G894" s="141">
        <f t="shared" si="73"/>
        <v>0</v>
      </c>
      <c r="H894" s="155">
        <f t="shared" si="74"/>
        <v>0</v>
      </c>
      <c r="I894" s="142">
        <f t="shared" si="75"/>
        <v>0</v>
      </c>
      <c r="J894" s="142">
        <f>0</f>
        <v>0</v>
      </c>
      <c r="K894" s="142">
        <f t="shared" si="76"/>
        <v>0</v>
      </c>
      <c r="L894" s="142">
        <f t="shared" si="77"/>
        <v>0</v>
      </c>
      <c r="T894" s="144"/>
      <c r="U894" s="144"/>
    </row>
    <row r="895" spans="5:21" x14ac:dyDescent="0.35">
      <c r="E895" s="135">
        <v>883</v>
      </c>
      <c r="F895" s="135">
        <v>0</v>
      </c>
      <c r="G895" s="141">
        <f t="shared" si="73"/>
        <v>0</v>
      </c>
      <c r="H895" s="155">
        <f t="shared" si="74"/>
        <v>0</v>
      </c>
      <c r="I895" s="142">
        <f t="shared" si="75"/>
        <v>0</v>
      </c>
      <c r="J895" s="142">
        <f>0</f>
        <v>0</v>
      </c>
      <c r="K895" s="142">
        <f t="shared" si="76"/>
        <v>0</v>
      </c>
      <c r="L895" s="142">
        <f t="shared" si="77"/>
        <v>0</v>
      </c>
      <c r="T895" s="144"/>
      <c r="U895" s="144"/>
    </row>
    <row r="896" spans="5:21" x14ac:dyDescent="0.35">
      <c r="E896" s="135">
        <v>884</v>
      </c>
      <c r="F896" s="135">
        <v>1</v>
      </c>
      <c r="G896" s="141">
        <f t="shared" si="73"/>
        <v>23.813582244547764</v>
      </c>
      <c r="H896" s="155">
        <f t="shared" si="74"/>
        <v>0</v>
      </c>
      <c r="I896" s="142">
        <f t="shared" si="75"/>
        <v>0</v>
      </c>
      <c r="J896" s="142">
        <f>0</f>
        <v>0</v>
      </c>
      <c r="K896" s="142">
        <f t="shared" si="76"/>
        <v>136632.93323927111</v>
      </c>
      <c r="L896" s="142">
        <f t="shared" si="77"/>
        <v>136632.93323927111</v>
      </c>
      <c r="T896" s="144"/>
      <c r="U896" s="144"/>
    </row>
    <row r="897" spans="5:21" x14ac:dyDescent="0.35">
      <c r="E897" s="135">
        <v>885</v>
      </c>
      <c r="F897" s="135">
        <v>0</v>
      </c>
      <c r="G897" s="141">
        <f t="shared" si="73"/>
        <v>0</v>
      </c>
      <c r="H897" s="155">
        <f t="shared" si="74"/>
        <v>0</v>
      </c>
      <c r="I897" s="142">
        <f t="shared" si="75"/>
        <v>0</v>
      </c>
      <c r="J897" s="142">
        <f>0</f>
        <v>0</v>
      </c>
      <c r="K897" s="142">
        <f t="shared" si="76"/>
        <v>0</v>
      </c>
      <c r="L897" s="142">
        <f t="shared" si="77"/>
        <v>0</v>
      </c>
      <c r="T897" s="144"/>
      <c r="U897" s="144"/>
    </row>
    <row r="898" spans="5:21" x14ac:dyDescent="0.35">
      <c r="E898" s="135">
        <v>886</v>
      </c>
      <c r="F898" s="135">
        <v>0</v>
      </c>
      <c r="G898" s="141">
        <f t="shared" si="73"/>
        <v>0</v>
      </c>
      <c r="H898" s="155">
        <f t="shared" si="74"/>
        <v>0</v>
      </c>
      <c r="I898" s="142">
        <f t="shared" si="75"/>
        <v>0</v>
      </c>
      <c r="J898" s="142">
        <f>0</f>
        <v>0</v>
      </c>
      <c r="K898" s="142">
        <f t="shared" si="76"/>
        <v>0</v>
      </c>
      <c r="L898" s="142">
        <f t="shared" si="77"/>
        <v>0</v>
      </c>
      <c r="T898" s="144"/>
      <c r="U898" s="144"/>
    </row>
    <row r="899" spans="5:21" x14ac:dyDescent="0.35">
      <c r="E899" s="135">
        <v>887</v>
      </c>
      <c r="F899" s="135">
        <v>0</v>
      </c>
      <c r="G899" s="141">
        <f t="shared" si="73"/>
        <v>0</v>
      </c>
      <c r="H899" s="155">
        <f t="shared" si="74"/>
        <v>0</v>
      </c>
      <c r="I899" s="142">
        <f t="shared" si="75"/>
        <v>0</v>
      </c>
      <c r="J899" s="142">
        <f>0</f>
        <v>0</v>
      </c>
      <c r="K899" s="142">
        <f t="shared" si="76"/>
        <v>0</v>
      </c>
      <c r="L899" s="142">
        <f t="shared" si="77"/>
        <v>0</v>
      </c>
      <c r="T899" s="144"/>
      <c r="U899" s="144"/>
    </row>
    <row r="900" spans="5:21" x14ac:dyDescent="0.35">
      <c r="E900" s="135">
        <v>888</v>
      </c>
      <c r="F900" s="135">
        <v>0</v>
      </c>
      <c r="G900" s="141">
        <f t="shared" si="73"/>
        <v>0</v>
      </c>
      <c r="H900" s="155">
        <f t="shared" si="74"/>
        <v>0</v>
      </c>
      <c r="I900" s="142">
        <f t="shared" si="75"/>
        <v>0</v>
      </c>
      <c r="J900" s="142">
        <f>0</f>
        <v>0</v>
      </c>
      <c r="K900" s="142">
        <f t="shared" si="76"/>
        <v>0</v>
      </c>
      <c r="L900" s="142">
        <f t="shared" si="77"/>
        <v>0</v>
      </c>
      <c r="T900" s="144"/>
      <c r="U900" s="144"/>
    </row>
    <row r="901" spans="5:21" x14ac:dyDescent="0.35">
      <c r="E901" s="135">
        <v>889</v>
      </c>
      <c r="F901" s="135">
        <v>0</v>
      </c>
      <c r="G901" s="141">
        <f t="shared" si="73"/>
        <v>0</v>
      </c>
      <c r="H901" s="155">
        <f t="shared" si="74"/>
        <v>0</v>
      </c>
      <c r="I901" s="142">
        <f t="shared" si="75"/>
        <v>0</v>
      </c>
      <c r="J901" s="142">
        <f>0</f>
        <v>0</v>
      </c>
      <c r="K901" s="142">
        <f t="shared" si="76"/>
        <v>0</v>
      </c>
      <c r="L901" s="142">
        <f t="shared" si="77"/>
        <v>0</v>
      </c>
      <c r="T901" s="144"/>
      <c r="U901" s="144"/>
    </row>
    <row r="902" spans="5:21" x14ac:dyDescent="0.35">
      <c r="E902" s="135">
        <v>890</v>
      </c>
      <c r="F902" s="135">
        <v>0</v>
      </c>
      <c r="G902" s="141">
        <f t="shared" si="73"/>
        <v>0</v>
      </c>
      <c r="H902" s="155">
        <f t="shared" si="74"/>
        <v>0</v>
      </c>
      <c r="I902" s="142">
        <f t="shared" si="75"/>
        <v>0</v>
      </c>
      <c r="J902" s="142">
        <f>0</f>
        <v>0</v>
      </c>
      <c r="K902" s="142">
        <f t="shared" si="76"/>
        <v>0</v>
      </c>
      <c r="L902" s="142">
        <f t="shared" si="77"/>
        <v>0</v>
      </c>
      <c r="T902" s="144"/>
      <c r="U902" s="144"/>
    </row>
    <row r="903" spans="5:21" x14ac:dyDescent="0.35">
      <c r="E903" s="135">
        <v>891</v>
      </c>
      <c r="F903" s="135">
        <v>0</v>
      </c>
      <c r="G903" s="141">
        <f t="shared" si="73"/>
        <v>0</v>
      </c>
      <c r="H903" s="155">
        <f t="shared" si="74"/>
        <v>0</v>
      </c>
      <c r="I903" s="142">
        <f t="shared" si="75"/>
        <v>0</v>
      </c>
      <c r="J903" s="142">
        <f>0</f>
        <v>0</v>
      </c>
      <c r="K903" s="142">
        <f t="shared" si="76"/>
        <v>0</v>
      </c>
      <c r="L903" s="142">
        <f t="shared" si="77"/>
        <v>0</v>
      </c>
      <c r="T903" s="144"/>
      <c r="U903" s="144"/>
    </row>
    <row r="904" spans="5:21" x14ac:dyDescent="0.35">
      <c r="E904" s="135">
        <v>892</v>
      </c>
      <c r="F904" s="135">
        <v>0</v>
      </c>
      <c r="G904" s="141">
        <f t="shared" si="73"/>
        <v>0</v>
      </c>
      <c r="H904" s="155">
        <f t="shared" si="74"/>
        <v>0</v>
      </c>
      <c r="I904" s="142">
        <f t="shared" si="75"/>
        <v>0</v>
      </c>
      <c r="J904" s="142">
        <f>0</f>
        <v>0</v>
      </c>
      <c r="K904" s="142">
        <f t="shared" si="76"/>
        <v>0</v>
      </c>
      <c r="L904" s="142">
        <f t="shared" si="77"/>
        <v>0</v>
      </c>
      <c r="T904" s="144"/>
      <c r="U904" s="144"/>
    </row>
    <row r="905" spans="5:21" x14ac:dyDescent="0.35">
      <c r="E905" s="135">
        <v>893</v>
      </c>
      <c r="F905" s="135">
        <v>0</v>
      </c>
      <c r="G905" s="141">
        <f t="shared" si="73"/>
        <v>0</v>
      </c>
      <c r="H905" s="155">
        <f t="shared" si="74"/>
        <v>0</v>
      </c>
      <c r="I905" s="142">
        <f t="shared" si="75"/>
        <v>0</v>
      </c>
      <c r="J905" s="142">
        <f>0</f>
        <v>0</v>
      </c>
      <c r="K905" s="142">
        <f t="shared" si="76"/>
        <v>0</v>
      </c>
      <c r="L905" s="142">
        <f t="shared" si="77"/>
        <v>0</v>
      </c>
      <c r="T905" s="144"/>
      <c r="U905" s="144"/>
    </row>
    <row r="906" spans="5:21" x14ac:dyDescent="0.35">
      <c r="E906" s="135">
        <v>894</v>
      </c>
      <c r="F906" s="135">
        <v>1</v>
      </c>
      <c r="G906" s="141">
        <f t="shared" si="73"/>
        <v>23.813582244547764</v>
      </c>
      <c r="H906" s="155">
        <f t="shared" si="74"/>
        <v>0</v>
      </c>
      <c r="I906" s="142">
        <f t="shared" si="75"/>
        <v>0</v>
      </c>
      <c r="J906" s="142">
        <f>0</f>
        <v>0</v>
      </c>
      <c r="K906" s="142">
        <f t="shared" si="76"/>
        <v>136632.93323927111</v>
      </c>
      <c r="L906" s="142">
        <f t="shared" si="77"/>
        <v>136632.93323927111</v>
      </c>
      <c r="T906" s="144"/>
      <c r="U906" s="144"/>
    </row>
    <row r="907" spans="5:21" x14ac:dyDescent="0.35">
      <c r="E907" s="135">
        <v>895</v>
      </c>
      <c r="F907" s="135">
        <v>0</v>
      </c>
      <c r="G907" s="141">
        <f t="shared" si="73"/>
        <v>0</v>
      </c>
      <c r="H907" s="155">
        <f t="shared" si="74"/>
        <v>0</v>
      </c>
      <c r="I907" s="142">
        <f t="shared" si="75"/>
        <v>0</v>
      </c>
      <c r="J907" s="142">
        <f>0</f>
        <v>0</v>
      </c>
      <c r="K907" s="142">
        <f t="shared" si="76"/>
        <v>0</v>
      </c>
      <c r="L907" s="142">
        <f t="shared" si="77"/>
        <v>0</v>
      </c>
      <c r="T907" s="144"/>
      <c r="U907" s="144"/>
    </row>
    <row r="908" spans="5:21" x14ac:dyDescent="0.35">
      <c r="E908" s="135">
        <v>896</v>
      </c>
      <c r="F908" s="135">
        <v>0</v>
      </c>
      <c r="G908" s="141">
        <f t="shared" si="73"/>
        <v>0</v>
      </c>
      <c r="H908" s="155">
        <f t="shared" si="74"/>
        <v>0</v>
      </c>
      <c r="I908" s="142">
        <f t="shared" si="75"/>
        <v>0</v>
      </c>
      <c r="J908" s="142">
        <f>0</f>
        <v>0</v>
      </c>
      <c r="K908" s="142">
        <f t="shared" si="76"/>
        <v>0</v>
      </c>
      <c r="L908" s="142">
        <f t="shared" si="77"/>
        <v>0</v>
      </c>
      <c r="T908" s="144"/>
      <c r="U908" s="144"/>
    </row>
    <row r="909" spans="5:21" x14ac:dyDescent="0.35">
      <c r="E909" s="135">
        <v>897</v>
      </c>
      <c r="F909" s="135">
        <v>0</v>
      </c>
      <c r="G909" s="141">
        <f t="shared" ref="G909:G972" si="78">F909*$C$9</f>
        <v>0</v>
      </c>
      <c r="H909" s="155">
        <f t="shared" ref="H909:H972" si="79">IF(F909 &gt; 1,$C$13*20000,0)</f>
        <v>0</v>
      </c>
      <c r="I909" s="142">
        <f t="shared" ref="I909:I972" si="80">IF(F909 &gt; 1,$C$4,0)</f>
        <v>0</v>
      </c>
      <c r="J909" s="142">
        <f>0</f>
        <v>0</v>
      </c>
      <c r="K909" s="142">
        <f t="shared" ref="K909:K972" si="81">F909*$C$5</f>
        <v>0</v>
      </c>
      <c r="L909" s="142">
        <f t="shared" ref="L909:L972" si="82">J909+I909+K909</f>
        <v>0</v>
      </c>
      <c r="T909" s="144"/>
      <c r="U909" s="144"/>
    </row>
    <row r="910" spans="5:21" x14ac:dyDescent="0.35">
      <c r="E910" s="135">
        <v>898</v>
      </c>
      <c r="F910" s="135">
        <v>0</v>
      </c>
      <c r="G910" s="141">
        <f t="shared" si="78"/>
        <v>0</v>
      </c>
      <c r="H910" s="155">
        <f t="shared" si="79"/>
        <v>0</v>
      </c>
      <c r="I910" s="142">
        <f t="shared" si="80"/>
        <v>0</v>
      </c>
      <c r="J910" s="142">
        <f>0</f>
        <v>0</v>
      </c>
      <c r="K910" s="142">
        <f t="shared" si="81"/>
        <v>0</v>
      </c>
      <c r="L910" s="142">
        <f t="shared" si="82"/>
        <v>0</v>
      </c>
      <c r="T910" s="144"/>
      <c r="U910" s="144"/>
    </row>
    <row r="911" spans="5:21" x14ac:dyDescent="0.35">
      <c r="E911" s="135">
        <v>899</v>
      </c>
      <c r="F911" s="135">
        <v>0</v>
      </c>
      <c r="G911" s="141">
        <f t="shared" si="78"/>
        <v>0</v>
      </c>
      <c r="H911" s="155">
        <f t="shared" si="79"/>
        <v>0</v>
      </c>
      <c r="I911" s="142">
        <f t="shared" si="80"/>
        <v>0</v>
      </c>
      <c r="J911" s="142">
        <f>0</f>
        <v>0</v>
      </c>
      <c r="K911" s="142">
        <f t="shared" si="81"/>
        <v>0</v>
      </c>
      <c r="L911" s="142">
        <f t="shared" si="82"/>
        <v>0</v>
      </c>
      <c r="T911" s="144"/>
      <c r="U911" s="144"/>
    </row>
    <row r="912" spans="5:21" x14ac:dyDescent="0.35">
      <c r="E912" s="135">
        <v>900</v>
      </c>
      <c r="F912" s="135">
        <v>1</v>
      </c>
      <c r="G912" s="141">
        <f t="shared" si="78"/>
        <v>23.813582244547764</v>
      </c>
      <c r="H912" s="155">
        <f t="shared" si="79"/>
        <v>0</v>
      </c>
      <c r="I912" s="142">
        <f t="shared" si="80"/>
        <v>0</v>
      </c>
      <c r="J912" s="142">
        <f>0</f>
        <v>0</v>
      </c>
      <c r="K912" s="142">
        <f t="shared" si="81"/>
        <v>136632.93323927111</v>
      </c>
      <c r="L912" s="142">
        <f t="shared" si="82"/>
        <v>136632.93323927111</v>
      </c>
      <c r="T912" s="144"/>
      <c r="U912" s="144"/>
    </row>
    <row r="913" spans="5:21" x14ac:dyDescent="0.35">
      <c r="E913" s="135">
        <v>901</v>
      </c>
      <c r="F913" s="135">
        <v>0</v>
      </c>
      <c r="G913" s="141">
        <f t="shared" si="78"/>
        <v>0</v>
      </c>
      <c r="H913" s="155">
        <f t="shared" si="79"/>
        <v>0</v>
      </c>
      <c r="I913" s="142">
        <f t="shared" si="80"/>
        <v>0</v>
      </c>
      <c r="J913" s="142">
        <f>0</f>
        <v>0</v>
      </c>
      <c r="K913" s="142">
        <f t="shared" si="81"/>
        <v>0</v>
      </c>
      <c r="L913" s="142">
        <f t="shared" si="82"/>
        <v>0</v>
      </c>
      <c r="T913" s="144"/>
      <c r="U913" s="144"/>
    </row>
    <row r="914" spans="5:21" x14ac:dyDescent="0.35">
      <c r="E914" s="135">
        <v>902</v>
      </c>
      <c r="F914" s="135">
        <v>0</v>
      </c>
      <c r="G914" s="141">
        <f t="shared" si="78"/>
        <v>0</v>
      </c>
      <c r="H914" s="155">
        <f t="shared" si="79"/>
        <v>0</v>
      </c>
      <c r="I914" s="142">
        <f t="shared" si="80"/>
        <v>0</v>
      </c>
      <c r="J914" s="142">
        <f>0</f>
        <v>0</v>
      </c>
      <c r="K914" s="142">
        <f t="shared" si="81"/>
        <v>0</v>
      </c>
      <c r="L914" s="142">
        <f t="shared" si="82"/>
        <v>0</v>
      </c>
      <c r="T914" s="144"/>
      <c r="U914" s="144"/>
    </row>
    <row r="915" spans="5:21" x14ac:dyDescent="0.35">
      <c r="E915" s="135">
        <v>903</v>
      </c>
      <c r="F915" s="135">
        <v>0</v>
      </c>
      <c r="G915" s="141">
        <f t="shared" si="78"/>
        <v>0</v>
      </c>
      <c r="H915" s="155">
        <f t="shared" si="79"/>
        <v>0</v>
      </c>
      <c r="I915" s="142">
        <f t="shared" si="80"/>
        <v>0</v>
      </c>
      <c r="J915" s="142">
        <f>0</f>
        <v>0</v>
      </c>
      <c r="K915" s="142">
        <f t="shared" si="81"/>
        <v>0</v>
      </c>
      <c r="L915" s="142">
        <f t="shared" si="82"/>
        <v>0</v>
      </c>
      <c r="T915" s="144"/>
      <c r="U915" s="144"/>
    </row>
    <row r="916" spans="5:21" x14ac:dyDescent="0.35">
      <c r="E916" s="135">
        <v>904</v>
      </c>
      <c r="F916" s="135">
        <v>1</v>
      </c>
      <c r="G916" s="141">
        <f t="shared" si="78"/>
        <v>23.813582244547764</v>
      </c>
      <c r="H916" s="155">
        <f t="shared" si="79"/>
        <v>0</v>
      </c>
      <c r="I916" s="142">
        <f t="shared" si="80"/>
        <v>0</v>
      </c>
      <c r="J916" s="142">
        <f>0</f>
        <v>0</v>
      </c>
      <c r="K916" s="142">
        <f t="shared" si="81"/>
        <v>136632.93323927111</v>
      </c>
      <c r="L916" s="142">
        <f t="shared" si="82"/>
        <v>136632.93323927111</v>
      </c>
      <c r="T916" s="144"/>
      <c r="U916" s="144"/>
    </row>
    <row r="917" spans="5:21" x14ac:dyDescent="0.35">
      <c r="E917" s="135">
        <v>905</v>
      </c>
      <c r="F917" s="135">
        <v>0</v>
      </c>
      <c r="G917" s="141">
        <f t="shared" si="78"/>
        <v>0</v>
      </c>
      <c r="H917" s="155">
        <f t="shared" si="79"/>
        <v>0</v>
      </c>
      <c r="I917" s="142">
        <f t="shared" si="80"/>
        <v>0</v>
      </c>
      <c r="J917" s="142">
        <f>0</f>
        <v>0</v>
      </c>
      <c r="K917" s="142">
        <f t="shared" si="81"/>
        <v>0</v>
      </c>
      <c r="L917" s="142">
        <f t="shared" si="82"/>
        <v>0</v>
      </c>
      <c r="T917" s="144"/>
      <c r="U917" s="144"/>
    </row>
    <row r="918" spans="5:21" x14ac:dyDescent="0.35">
      <c r="E918" s="135">
        <v>906</v>
      </c>
      <c r="F918" s="135">
        <v>1</v>
      </c>
      <c r="G918" s="141">
        <f t="shared" si="78"/>
        <v>23.813582244547764</v>
      </c>
      <c r="H918" s="155">
        <f t="shared" si="79"/>
        <v>0</v>
      </c>
      <c r="I918" s="142">
        <f t="shared" si="80"/>
        <v>0</v>
      </c>
      <c r="J918" s="142">
        <f>0</f>
        <v>0</v>
      </c>
      <c r="K918" s="142">
        <f t="shared" si="81"/>
        <v>136632.93323927111</v>
      </c>
      <c r="L918" s="142">
        <f t="shared" si="82"/>
        <v>136632.93323927111</v>
      </c>
      <c r="T918" s="144"/>
      <c r="U918" s="144"/>
    </row>
    <row r="919" spans="5:21" x14ac:dyDescent="0.35">
      <c r="E919" s="135">
        <v>907</v>
      </c>
      <c r="F919" s="135">
        <v>0</v>
      </c>
      <c r="G919" s="141">
        <f t="shared" si="78"/>
        <v>0</v>
      </c>
      <c r="H919" s="155">
        <f t="shared" si="79"/>
        <v>0</v>
      </c>
      <c r="I919" s="142">
        <f t="shared" si="80"/>
        <v>0</v>
      </c>
      <c r="J919" s="142">
        <f>0</f>
        <v>0</v>
      </c>
      <c r="K919" s="142">
        <f t="shared" si="81"/>
        <v>0</v>
      </c>
      <c r="L919" s="142">
        <f t="shared" si="82"/>
        <v>0</v>
      </c>
      <c r="T919" s="144"/>
      <c r="U919" s="144"/>
    </row>
    <row r="920" spans="5:21" x14ac:dyDescent="0.35">
      <c r="E920" s="135">
        <v>908</v>
      </c>
      <c r="F920" s="135">
        <v>0</v>
      </c>
      <c r="G920" s="141">
        <f t="shared" si="78"/>
        <v>0</v>
      </c>
      <c r="H920" s="155">
        <f t="shared" si="79"/>
        <v>0</v>
      </c>
      <c r="I920" s="142">
        <f t="shared" si="80"/>
        <v>0</v>
      </c>
      <c r="J920" s="142">
        <f>0</f>
        <v>0</v>
      </c>
      <c r="K920" s="142">
        <f t="shared" si="81"/>
        <v>0</v>
      </c>
      <c r="L920" s="142">
        <f t="shared" si="82"/>
        <v>0</v>
      </c>
      <c r="T920" s="144"/>
      <c r="U920" s="144"/>
    </row>
    <row r="921" spans="5:21" x14ac:dyDescent="0.35">
      <c r="E921" s="135">
        <v>909</v>
      </c>
      <c r="F921" s="135">
        <v>0</v>
      </c>
      <c r="G921" s="141">
        <f t="shared" si="78"/>
        <v>0</v>
      </c>
      <c r="H921" s="155">
        <f t="shared" si="79"/>
        <v>0</v>
      </c>
      <c r="I921" s="142">
        <f t="shared" si="80"/>
        <v>0</v>
      </c>
      <c r="J921" s="142">
        <f>0</f>
        <v>0</v>
      </c>
      <c r="K921" s="142">
        <f t="shared" si="81"/>
        <v>0</v>
      </c>
      <c r="L921" s="142">
        <f t="shared" si="82"/>
        <v>0</v>
      </c>
      <c r="T921" s="144"/>
      <c r="U921" s="144"/>
    </row>
    <row r="922" spans="5:21" x14ac:dyDescent="0.35">
      <c r="E922" s="135">
        <v>910</v>
      </c>
      <c r="F922" s="135">
        <v>0</v>
      </c>
      <c r="G922" s="141">
        <f t="shared" si="78"/>
        <v>0</v>
      </c>
      <c r="H922" s="155">
        <f t="shared" si="79"/>
        <v>0</v>
      </c>
      <c r="I922" s="142">
        <f t="shared" si="80"/>
        <v>0</v>
      </c>
      <c r="J922" s="142">
        <f>0</f>
        <v>0</v>
      </c>
      <c r="K922" s="142">
        <f t="shared" si="81"/>
        <v>0</v>
      </c>
      <c r="L922" s="142">
        <f t="shared" si="82"/>
        <v>0</v>
      </c>
      <c r="T922" s="144"/>
      <c r="U922" s="144"/>
    </row>
    <row r="923" spans="5:21" x14ac:dyDescent="0.35">
      <c r="E923" s="135">
        <v>911</v>
      </c>
      <c r="F923" s="135">
        <v>1</v>
      </c>
      <c r="G923" s="141">
        <f t="shared" si="78"/>
        <v>23.813582244547764</v>
      </c>
      <c r="H923" s="155">
        <f t="shared" si="79"/>
        <v>0</v>
      </c>
      <c r="I923" s="142">
        <f t="shared" si="80"/>
        <v>0</v>
      </c>
      <c r="J923" s="142">
        <f>0</f>
        <v>0</v>
      </c>
      <c r="K923" s="142">
        <f t="shared" si="81"/>
        <v>136632.93323927111</v>
      </c>
      <c r="L923" s="142">
        <f t="shared" si="82"/>
        <v>136632.93323927111</v>
      </c>
      <c r="T923" s="144"/>
      <c r="U923" s="144"/>
    </row>
    <row r="924" spans="5:21" x14ac:dyDescent="0.35">
      <c r="E924" s="135">
        <v>912</v>
      </c>
      <c r="F924" s="135">
        <v>0</v>
      </c>
      <c r="G924" s="141">
        <f t="shared" si="78"/>
        <v>0</v>
      </c>
      <c r="H924" s="155">
        <f t="shared" si="79"/>
        <v>0</v>
      </c>
      <c r="I924" s="142">
        <f t="shared" si="80"/>
        <v>0</v>
      </c>
      <c r="J924" s="142">
        <f>0</f>
        <v>0</v>
      </c>
      <c r="K924" s="142">
        <f t="shared" si="81"/>
        <v>0</v>
      </c>
      <c r="L924" s="142">
        <f t="shared" si="82"/>
        <v>0</v>
      </c>
      <c r="T924" s="144"/>
      <c r="U924" s="144"/>
    </row>
    <row r="925" spans="5:21" x14ac:dyDescent="0.35">
      <c r="E925" s="135">
        <v>913</v>
      </c>
      <c r="F925" s="135">
        <v>0</v>
      </c>
      <c r="G925" s="141">
        <f t="shared" si="78"/>
        <v>0</v>
      </c>
      <c r="H925" s="155">
        <f t="shared" si="79"/>
        <v>0</v>
      </c>
      <c r="I925" s="142">
        <f t="shared" si="80"/>
        <v>0</v>
      </c>
      <c r="J925" s="142">
        <f>0</f>
        <v>0</v>
      </c>
      <c r="K925" s="142">
        <f t="shared" si="81"/>
        <v>0</v>
      </c>
      <c r="L925" s="142">
        <f t="shared" si="82"/>
        <v>0</v>
      </c>
      <c r="T925" s="144"/>
      <c r="U925" s="144"/>
    </row>
    <row r="926" spans="5:21" x14ac:dyDescent="0.35">
      <c r="E926" s="135">
        <v>914</v>
      </c>
      <c r="F926" s="135">
        <v>0</v>
      </c>
      <c r="G926" s="141">
        <f t="shared" si="78"/>
        <v>0</v>
      </c>
      <c r="H926" s="155">
        <f t="shared" si="79"/>
        <v>0</v>
      </c>
      <c r="I926" s="142">
        <f t="shared" si="80"/>
        <v>0</v>
      </c>
      <c r="J926" s="142">
        <f>0</f>
        <v>0</v>
      </c>
      <c r="K926" s="142">
        <f t="shared" si="81"/>
        <v>0</v>
      </c>
      <c r="L926" s="142">
        <f t="shared" si="82"/>
        <v>0</v>
      </c>
      <c r="T926" s="144"/>
      <c r="U926" s="144"/>
    </row>
    <row r="927" spans="5:21" x14ac:dyDescent="0.35">
      <c r="E927" s="135">
        <v>915</v>
      </c>
      <c r="F927" s="135">
        <v>0</v>
      </c>
      <c r="G927" s="141">
        <f t="shared" si="78"/>
        <v>0</v>
      </c>
      <c r="H927" s="155">
        <f t="shared" si="79"/>
        <v>0</v>
      </c>
      <c r="I927" s="142">
        <f t="shared" si="80"/>
        <v>0</v>
      </c>
      <c r="J927" s="142">
        <f>0</f>
        <v>0</v>
      </c>
      <c r="K927" s="142">
        <f t="shared" si="81"/>
        <v>0</v>
      </c>
      <c r="L927" s="142">
        <f t="shared" si="82"/>
        <v>0</v>
      </c>
      <c r="T927" s="144"/>
      <c r="U927" s="144"/>
    </row>
    <row r="928" spans="5:21" x14ac:dyDescent="0.35">
      <c r="E928" s="135">
        <v>916</v>
      </c>
      <c r="F928" s="135">
        <v>0</v>
      </c>
      <c r="G928" s="141">
        <f t="shared" si="78"/>
        <v>0</v>
      </c>
      <c r="H928" s="155">
        <f t="shared" si="79"/>
        <v>0</v>
      </c>
      <c r="I928" s="142">
        <f t="shared" si="80"/>
        <v>0</v>
      </c>
      <c r="J928" s="142">
        <f>0</f>
        <v>0</v>
      </c>
      <c r="K928" s="142">
        <f t="shared" si="81"/>
        <v>0</v>
      </c>
      <c r="L928" s="142">
        <f t="shared" si="82"/>
        <v>0</v>
      </c>
      <c r="T928" s="144"/>
      <c r="U928" s="144"/>
    </row>
    <row r="929" spans="5:21" x14ac:dyDescent="0.35">
      <c r="E929" s="135">
        <v>917</v>
      </c>
      <c r="F929" s="135">
        <v>3</v>
      </c>
      <c r="G929" s="141">
        <f t="shared" si="78"/>
        <v>71.440746733643294</v>
      </c>
      <c r="H929" s="155">
        <f t="shared" si="79"/>
        <v>200</v>
      </c>
      <c r="I929" s="142">
        <f t="shared" si="80"/>
        <v>14500000</v>
      </c>
      <c r="J929" s="142">
        <f>0</f>
        <v>0</v>
      </c>
      <c r="K929" s="142">
        <f t="shared" si="81"/>
        <v>409898.79971781332</v>
      </c>
      <c r="L929" s="142">
        <f t="shared" si="82"/>
        <v>14909898.799717814</v>
      </c>
      <c r="T929" s="144"/>
      <c r="U929" s="144"/>
    </row>
    <row r="930" spans="5:21" x14ac:dyDescent="0.35">
      <c r="E930" s="135">
        <v>918</v>
      </c>
      <c r="F930" s="135">
        <v>0</v>
      </c>
      <c r="G930" s="141">
        <f t="shared" si="78"/>
        <v>0</v>
      </c>
      <c r="H930" s="155">
        <f t="shared" si="79"/>
        <v>0</v>
      </c>
      <c r="I930" s="142">
        <f t="shared" si="80"/>
        <v>0</v>
      </c>
      <c r="J930" s="142">
        <f>0</f>
        <v>0</v>
      </c>
      <c r="K930" s="142">
        <f t="shared" si="81"/>
        <v>0</v>
      </c>
      <c r="L930" s="142">
        <f t="shared" si="82"/>
        <v>0</v>
      </c>
      <c r="T930" s="144"/>
      <c r="U930" s="144"/>
    </row>
    <row r="931" spans="5:21" x14ac:dyDescent="0.35">
      <c r="E931" s="135">
        <v>919</v>
      </c>
      <c r="F931" s="135">
        <v>1</v>
      </c>
      <c r="G931" s="141">
        <f t="shared" si="78"/>
        <v>23.813582244547764</v>
      </c>
      <c r="H931" s="155">
        <f t="shared" si="79"/>
        <v>0</v>
      </c>
      <c r="I931" s="142">
        <f t="shared" si="80"/>
        <v>0</v>
      </c>
      <c r="J931" s="142">
        <f>0</f>
        <v>0</v>
      </c>
      <c r="K931" s="142">
        <f t="shared" si="81"/>
        <v>136632.93323927111</v>
      </c>
      <c r="L931" s="142">
        <f t="shared" si="82"/>
        <v>136632.93323927111</v>
      </c>
      <c r="T931" s="144"/>
      <c r="U931" s="144"/>
    </row>
    <row r="932" spans="5:21" x14ac:dyDescent="0.35">
      <c r="E932" s="135">
        <v>920</v>
      </c>
      <c r="F932" s="135">
        <v>0</v>
      </c>
      <c r="G932" s="141">
        <f t="shared" si="78"/>
        <v>0</v>
      </c>
      <c r="H932" s="155">
        <f t="shared" si="79"/>
        <v>0</v>
      </c>
      <c r="I932" s="142">
        <f t="shared" si="80"/>
        <v>0</v>
      </c>
      <c r="J932" s="142">
        <f>0</f>
        <v>0</v>
      </c>
      <c r="K932" s="142">
        <f t="shared" si="81"/>
        <v>0</v>
      </c>
      <c r="L932" s="142">
        <f t="shared" si="82"/>
        <v>0</v>
      </c>
      <c r="T932" s="144"/>
      <c r="U932" s="144"/>
    </row>
    <row r="933" spans="5:21" x14ac:dyDescent="0.35">
      <c r="E933" s="135">
        <v>921</v>
      </c>
      <c r="F933" s="135">
        <v>0</v>
      </c>
      <c r="G933" s="141">
        <f t="shared" si="78"/>
        <v>0</v>
      </c>
      <c r="H933" s="155">
        <f t="shared" si="79"/>
        <v>0</v>
      </c>
      <c r="I933" s="142">
        <f t="shared" si="80"/>
        <v>0</v>
      </c>
      <c r="J933" s="142">
        <f>0</f>
        <v>0</v>
      </c>
      <c r="K933" s="142">
        <f t="shared" si="81"/>
        <v>0</v>
      </c>
      <c r="L933" s="142">
        <f t="shared" si="82"/>
        <v>0</v>
      </c>
      <c r="T933" s="144"/>
      <c r="U933" s="144"/>
    </row>
    <row r="934" spans="5:21" x14ac:dyDescent="0.35">
      <c r="E934" s="135">
        <v>922</v>
      </c>
      <c r="F934" s="135">
        <v>0</v>
      </c>
      <c r="G934" s="141">
        <f t="shared" si="78"/>
        <v>0</v>
      </c>
      <c r="H934" s="155">
        <f t="shared" si="79"/>
        <v>0</v>
      </c>
      <c r="I934" s="142">
        <f t="shared" si="80"/>
        <v>0</v>
      </c>
      <c r="J934" s="142">
        <f>0</f>
        <v>0</v>
      </c>
      <c r="K934" s="142">
        <f t="shared" si="81"/>
        <v>0</v>
      </c>
      <c r="L934" s="142">
        <f t="shared" si="82"/>
        <v>0</v>
      </c>
      <c r="T934" s="144"/>
      <c r="U934" s="144"/>
    </row>
    <row r="935" spans="5:21" x14ac:dyDescent="0.35">
      <c r="E935" s="135">
        <v>923</v>
      </c>
      <c r="F935" s="135">
        <v>1</v>
      </c>
      <c r="G935" s="141">
        <f t="shared" si="78"/>
        <v>23.813582244547764</v>
      </c>
      <c r="H935" s="155">
        <f t="shared" si="79"/>
        <v>0</v>
      </c>
      <c r="I935" s="142">
        <f t="shared" si="80"/>
        <v>0</v>
      </c>
      <c r="J935" s="142">
        <f>0</f>
        <v>0</v>
      </c>
      <c r="K935" s="142">
        <f t="shared" si="81"/>
        <v>136632.93323927111</v>
      </c>
      <c r="L935" s="142">
        <f t="shared" si="82"/>
        <v>136632.93323927111</v>
      </c>
      <c r="T935" s="144"/>
      <c r="U935" s="144"/>
    </row>
    <row r="936" spans="5:21" x14ac:dyDescent="0.35">
      <c r="E936" s="135">
        <v>924</v>
      </c>
      <c r="F936" s="135">
        <v>0</v>
      </c>
      <c r="G936" s="141">
        <f t="shared" si="78"/>
        <v>0</v>
      </c>
      <c r="H936" s="155">
        <f t="shared" si="79"/>
        <v>0</v>
      </c>
      <c r="I936" s="142">
        <f t="shared" si="80"/>
        <v>0</v>
      </c>
      <c r="J936" s="142">
        <f>0</f>
        <v>0</v>
      </c>
      <c r="K936" s="142">
        <f t="shared" si="81"/>
        <v>0</v>
      </c>
      <c r="L936" s="142">
        <f t="shared" si="82"/>
        <v>0</v>
      </c>
      <c r="T936" s="144"/>
      <c r="U936" s="144"/>
    </row>
    <row r="937" spans="5:21" x14ac:dyDescent="0.35">
      <c r="E937" s="135">
        <v>925</v>
      </c>
      <c r="F937" s="135">
        <v>0</v>
      </c>
      <c r="G937" s="141">
        <f t="shared" si="78"/>
        <v>0</v>
      </c>
      <c r="H937" s="155">
        <f t="shared" si="79"/>
        <v>0</v>
      </c>
      <c r="I937" s="142">
        <f t="shared" si="80"/>
        <v>0</v>
      </c>
      <c r="J937" s="142">
        <f>0</f>
        <v>0</v>
      </c>
      <c r="K937" s="142">
        <f t="shared" si="81"/>
        <v>0</v>
      </c>
      <c r="L937" s="142">
        <f t="shared" si="82"/>
        <v>0</v>
      </c>
      <c r="T937" s="144"/>
      <c r="U937" s="144"/>
    </row>
    <row r="938" spans="5:21" x14ac:dyDescent="0.35">
      <c r="E938" s="135">
        <v>926</v>
      </c>
      <c r="F938" s="135">
        <v>0</v>
      </c>
      <c r="G938" s="141">
        <f t="shared" si="78"/>
        <v>0</v>
      </c>
      <c r="H938" s="155">
        <f t="shared" si="79"/>
        <v>0</v>
      </c>
      <c r="I938" s="142">
        <f t="shared" si="80"/>
        <v>0</v>
      </c>
      <c r="J938" s="142">
        <f>0</f>
        <v>0</v>
      </c>
      <c r="K938" s="142">
        <f t="shared" si="81"/>
        <v>0</v>
      </c>
      <c r="L938" s="142">
        <f t="shared" si="82"/>
        <v>0</v>
      </c>
      <c r="T938" s="144"/>
      <c r="U938" s="144"/>
    </row>
    <row r="939" spans="5:21" x14ac:dyDescent="0.35">
      <c r="E939" s="135">
        <v>927</v>
      </c>
      <c r="F939" s="135">
        <v>0</v>
      </c>
      <c r="G939" s="141">
        <f t="shared" si="78"/>
        <v>0</v>
      </c>
      <c r="H939" s="155">
        <f t="shared" si="79"/>
        <v>0</v>
      </c>
      <c r="I939" s="142">
        <f t="shared" si="80"/>
        <v>0</v>
      </c>
      <c r="J939" s="142">
        <f>0</f>
        <v>0</v>
      </c>
      <c r="K939" s="142">
        <f t="shared" si="81"/>
        <v>0</v>
      </c>
      <c r="L939" s="142">
        <f t="shared" si="82"/>
        <v>0</v>
      </c>
      <c r="T939" s="144"/>
      <c r="U939" s="144"/>
    </row>
    <row r="940" spans="5:21" x14ac:dyDescent="0.35">
      <c r="E940" s="135">
        <v>928</v>
      </c>
      <c r="F940" s="135">
        <v>1</v>
      </c>
      <c r="G940" s="141">
        <f t="shared" si="78"/>
        <v>23.813582244547764</v>
      </c>
      <c r="H940" s="155">
        <f t="shared" si="79"/>
        <v>0</v>
      </c>
      <c r="I940" s="142">
        <f t="shared" si="80"/>
        <v>0</v>
      </c>
      <c r="J940" s="142">
        <f>0</f>
        <v>0</v>
      </c>
      <c r="K940" s="142">
        <f t="shared" si="81"/>
        <v>136632.93323927111</v>
      </c>
      <c r="L940" s="142">
        <f t="shared" si="82"/>
        <v>136632.93323927111</v>
      </c>
      <c r="T940" s="144"/>
      <c r="U940" s="144"/>
    </row>
    <row r="941" spans="5:21" x14ac:dyDescent="0.35">
      <c r="E941" s="135">
        <v>929</v>
      </c>
      <c r="F941" s="135">
        <v>0</v>
      </c>
      <c r="G941" s="141">
        <f t="shared" si="78"/>
        <v>0</v>
      </c>
      <c r="H941" s="155">
        <f t="shared" si="79"/>
        <v>0</v>
      </c>
      <c r="I941" s="142">
        <f t="shared" si="80"/>
        <v>0</v>
      </c>
      <c r="J941" s="142">
        <f>0</f>
        <v>0</v>
      </c>
      <c r="K941" s="142">
        <f t="shared" si="81"/>
        <v>0</v>
      </c>
      <c r="L941" s="142">
        <f t="shared" si="82"/>
        <v>0</v>
      </c>
      <c r="T941" s="144"/>
      <c r="U941" s="144"/>
    </row>
    <row r="942" spans="5:21" x14ac:dyDescent="0.35">
      <c r="E942" s="135">
        <v>930</v>
      </c>
      <c r="F942" s="135">
        <v>0</v>
      </c>
      <c r="G942" s="141">
        <f t="shared" si="78"/>
        <v>0</v>
      </c>
      <c r="H942" s="155">
        <f t="shared" si="79"/>
        <v>0</v>
      </c>
      <c r="I942" s="142">
        <f t="shared" si="80"/>
        <v>0</v>
      </c>
      <c r="J942" s="142">
        <f>0</f>
        <v>0</v>
      </c>
      <c r="K942" s="142">
        <f t="shared" si="81"/>
        <v>0</v>
      </c>
      <c r="L942" s="142">
        <f t="shared" si="82"/>
        <v>0</v>
      </c>
      <c r="T942" s="144"/>
      <c r="U942" s="144"/>
    </row>
    <row r="943" spans="5:21" x14ac:dyDescent="0.35">
      <c r="E943" s="135">
        <v>931</v>
      </c>
      <c r="F943" s="135">
        <v>0</v>
      </c>
      <c r="G943" s="141">
        <f t="shared" si="78"/>
        <v>0</v>
      </c>
      <c r="H943" s="155">
        <f t="shared" si="79"/>
        <v>0</v>
      </c>
      <c r="I943" s="142">
        <f t="shared" si="80"/>
        <v>0</v>
      </c>
      <c r="J943" s="142">
        <f>0</f>
        <v>0</v>
      </c>
      <c r="K943" s="142">
        <f t="shared" si="81"/>
        <v>0</v>
      </c>
      <c r="L943" s="142">
        <f t="shared" si="82"/>
        <v>0</v>
      </c>
      <c r="T943" s="144"/>
      <c r="U943" s="144"/>
    </row>
    <row r="944" spans="5:21" x14ac:dyDescent="0.35">
      <c r="E944" s="135">
        <v>932</v>
      </c>
      <c r="F944" s="135">
        <v>0</v>
      </c>
      <c r="G944" s="141">
        <f t="shared" si="78"/>
        <v>0</v>
      </c>
      <c r="H944" s="155">
        <f t="shared" si="79"/>
        <v>0</v>
      </c>
      <c r="I944" s="142">
        <f t="shared" si="80"/>
        <v>0</v>
      </c>
      <c r="J944" s="142">
        <f>0</f>
        <v>0</v>
      </c>
      <c r="K944" s="142">
        <f t="shared" si="81"/>
        <v>0</v>
      </c>
      <c r="L944" s="142">
        <f t="shared" si="82"/>
        <v>0</v>
      </c>
      <c r="T944" s="144"/>
      <c r="U944" s="144"/>
    </row>
    <row r="945" spans="5:21" x14ac:dyDescent="0.35">
      <c r="E945" s="135">
        <v>933</v>
      </c>
      <c r="F945" s="135">
        <v>0</v>
      </c>
      <c r="G945" s="141">
        <f t="shared" si="78"/>
        <v>0</v>
      </c>
      <c r="H945" s="155">
        <f t="shared" si="79"/>
        <v>0</v>
      </c>
      <c r="I945" s="142">
        <f t="shared" si="80"/>
        <v>0</v>
      </c>
      <c r="J945" s="142">
        <f>0</f>
        <v>0</v>
      </c>
      <c r="K945" s="142">
        <f t="shared" si="81"/>
        <v>0</v>
      </c>
      <c r="L945" s="142">
        <f t="shared" si="82"/>
        <v>0</v>
      </c>
      <c r="T945" s="144"/>
      <c r="U945" s="144"/>
    </row>
    <row r="946" spans="5:21" x14ac:dyDescent="0.35">
      <c r="E946" s="135">
        <v>934</v>
      </c>
      <c r="F946" s="135">
        <v>0</v>
      </c>
      <c r="G946" s="141">
        <f t="shared" si="78"/>
        <v>0</v>
      </c>
      <c r="H946" s="155">
        <f t="shared" si="79"/>
        <v>0</v>
      </c>
      <c r="I946" s="142">
        <f t="shared" si="80"/>
        <v>0</v>
      </c>
      <c r="J946" s="142">
        <f>0</f>
        <v>0</v>
      </c>
      <c r="K946" s="142">
        <f t="shared" si="81"/>
        <v>0</v>
      </c>
      <c r="L946" s="142">
        <f t="shared" si="82"/>
        <v>0</v>
      </c>
      <c r="T946" s="144"/>
      <c r="U946" s="144"/>
    </row>
    <row r="947" spans="5:21" x14ac:dyDescent="0.35">
      <c r="E947" s="135">
        <v>935</v>
      </c>
      <c r="F947" s="135">
        <v>3</v>
      </c>
      <c r="G947" s="141">
        <f t="shared" si="78"/>
        <v>71.440746733643294</v>
      </c>
      <c r="H947" s="155">
        <f t="shared" si="79"/>
        <v>200</v>
      </c>
      <c r="I947" s="142">
        <f t="shared" si="80"/>
        <v>14500000</v>
      </c>
      <c r="J947" s="142">
        <f>0</f>
        <v>0</v>
      </c>
      <c r="K947" s="142">
        <f t="shared" si="81"/>
        <v>409898.79971781332</v>
      </c>
      <c r="L947" s="142">
        <f t="shared" si="82"/>
        <v>14909898.799717814</v>
      </c>
      <c r="T947" s="144"/>
      <c r="U947" s="144"/>
    </row>
    <row r="948" spans="5:21" x14ac:dyDescent="0.35">
      <c r="E948" s="135">
        <v>936</v>
      </c>
      <c r="F948" s="135">
        <v>1</v>
      </c>
      <c r="G948" s="141">
        <f t="shared" si="78"/>
        <v>23.813582244547764</v>
      </c>
      <c r="H948" s="155">
        <f t="shared" si="79"/>
        <v>0</v>
      </c>
      <c r="I948" s="142">
        <f t="shared" si="80"/>
        <v>0</v>
      </c>
      <c r="J948" s="142">
        <f>0</f>
        <v>0</v>
      </c>
      <c r="K948" s="142">
        <f t="shared" si="81"/>
        <v>136632.93323927111</v>
      </c>
      <c r="L948" s="142">
        <f t="shared" si="82"/>
        <v>136632.93323927111</v>
      </c>
      <c r="T948" s="144"/>
      <c r="U948" s="144"/>
    </row>
    <row r="949" spans="5:21" x14ac:dyDescent="0.35">
      <c r="E949" s="135">
        <v>937</v>
      </c>
      <c r="F949" s="135">
        <v>0</v>
      </c>
      <c r="G949" s="141">
        <f t="shared" si="78"/>
        <v>0</v>
      </c>
      <c r="H949" s="155">
        <f t="shared" si="79"/>
        <v>0</v>
      </c>
      <c r="I949" s="142">
        <f t="shared" si="80"/>
        <v>0</v>
      </c>
      <c r="J949" s="142">
        <f>0</f>
        <v>0</v>
      </c>
      <c r="K949" s="142">
        <f t="shared" si="81"/>
        <v>0</v>
      </c>
      <c r="L949" s="142">
        <f t="shared" si="82"/>
        <v>0</v>
      </c>
      <c r="T949" s="144"/>
      <c r="U949" s="144"/>
    </row>
    <row r="950" spans="5:21" x14ac:dyDescent="0.35">
      <c r="E950" s="135">
        <v>938</v>
      </c>
      <c r="F950" s="135">
        <v>0</v>
      </c>
      <c r="G950" s="141">
        <f t="shared" si="78"/>
        <v>0</v>
      </c>
      <c r="H950" s="155">
        <f t="shared" si="79"/>
        <v>0</v>
      </c>
      <c r="I950" s="142">
        <f t="shared" si="80"/>
        <v>0</v>
      </c>
      <c r="J950" s="142">
        <f>0</f>
        <v>0</v>
      </c>
      <c r="K950" s="142">
        <f t="shared" si="81"/>
        <v>0</v>
      </c>
      <c r="L950" s="142">
        <f t="shared" si="82"/>
        <v>0</v>
      </c>
      <c r="T950" s="144"/>
      <c r="U950" s="144"/>
    </row>
    <row r="951" spans="5:21" x14ac:dyDescent="0.35">
      <c r="E951" s="135">
        <v>939</v>
      </c>
      <c r="F951" s="135">
        <v>3</v>
      </c>
      <c r="G951" s="141">
        <f t="shared" si="78"/>
        <v>71.440746733643294</v>
      </c>
      <c r="H951" s="155">
        <f t="shared" si="79"/>
        <v>200</v>
      </c>
      <c r="I951" s="142">
        <f t="shared" si="80"/>
        <v>14500000</v>
      </c>
      <c r="J951" s="142">
        <f>0</f>
        <v>0</v>
      </c>
      <c r="K951" s="142">
        <f t="shared" si="81"/>
        <v>409898.79971781332</v>
      </c>
      <c r="L951" s="142">
        <f t="shared" si="82"/>
        <v>14909898.799717814</v>
      </c>
      <c r="T951" s="144"/>
      <c r="U951" s="144"/>
    </row>
    <row r="952" spans="5:21" x14ac:dyDescent="0.35">
      <c r="E952" s="135">
        <v>940</v>
      </c>
      <c r="F952" s="135">
        <v>0</v>
      </c>
      <c r="G952" s="141">
        <f t="shared" si="78"/>
        <v>0</v>
      </c>
      <c r="H952" s="155">
        <f t="shared" si="79"/>
        <v>0</v>
      </c>
      <c r="I952" s="142">
        <f t="shared" si="80"/>
        <v>0</v>
      </c>
      <c r="J952" s="142">
        <f>0</f>
        <v>0</v>
      </c>
      <c r="K952" s="142">
        <f t="shared" si="81"/>
        <v>0</v>
      </c>
      <c r="L952" s="142">
        <f t="shared" si="82"/>
        <v>0</v>
      </c>
      <c r="T952" s="144"/>
      <c r="U952" s="144"/>
    </row>
    <row r="953" spans="5:21" x14ac:dyDescent="0.35">
      <c r="E953" s="135">
        <v>941</v>
      </c>
      <c r="F953" s="135">
        <v>0</v>
      </c>
      <c r="G953" s="141">
        <f t="shared" si="78"/>
        <v>0</v>
      </c>
      <c r="H953" s="155">
        <f t="shared" si="79"/>
        <v>0</v>
      </c>
      <c r="I953" s="142">
        <f t="shared" si="80"/>
        <v>0</v>
      </c>
      <c r="J953" s="142">
        <f>0</f>
        <v>0</v>
      </c>
      <c r="K953" s="142">
        <f t="shared" si="81"/>
        <v>0</v>
      </c>
      <c r="L953" s="142">
        <f t="shared" si="82"/>
        <v>0</v>
      </c>
      <c r="T953" s="144"/>
      <c r="U953" s="144"/>
    </row>
    <row r="954" spans="5:21" x14ac:dyDescent="0.35">
      <c r="E954" s="135">
        <v>942</v>
      </c>
      <c r="F954" s="135">
        <v>0</v>
      </c>
      <c r="G954" s="141">
        <f t="shared" si="78"/>
        <v>0</v>
      </c>
      <c r="H954" s="155">
        <f t="shared" si="79"/>
        <v>0</v>
      </c>
      <c r="I954" s="142">
        <f t="shared" si="80"/>
        <v>0</v>
      </c>
      <c r="J954" s="142">
        <f>0</f>
        <v>0</v>
      </c>
      <c r="K954" s="142">
        <f t="shared" si="81"/>
        <v>0</v>
      </c>
      <c r="L954" s="142">
        <f t="shared" si="82"/>
        <v>0</v>
      </c>
      <c r="T954" s="144"/>
      <c r="U954" s="144"/>
    </row>
    <row r="955" spans="5:21" x14ac:dyDescent="0.35">
      <c r="E955" s="135">
        <v>943</v>
      </c>
      <c r="F955" s="135">
        <v>0</v>
      </c>
      <c r="G955" s="141">
        <f t="shared" si="78"/>
        <v>0</v>
      </c>
      <c r="H955" s="155">
        <f t="shared" si="79"/>
        <v>0</v>
      </c>
      <c r="I955" s="142">
        <f t="shared" si="80"/>
        <v>0</v>
      </c>
      <c r="J955" s="142">
        <f>0</f>
        <v>0</v>
      </c>
      <c r="K955" s="142">
        <f t="shared" si="81"/>
        <v>0</v>
      </c>
      <c r="L955" s="142">
        <f t="shared" si="82"/>
        <v>0</v>
      </c>
      <c r="T955" s="144"/>
      <c r="U955" s="144"/>
    </row>
    <row r="956" spans="5:21" x14ac:dyDescent="0.35">
      <c r="E956" s="135">
        <v>944</v>
      </c>
      <c r="F956" s="135">
        <v>0</v>
      </c>
      <c r="G956" s="141">
        <f t="shared" si="78"/>
        <v>0</v>
      </c>
      <c r="H956" s="155">
        <f t="shared" si="79"/>
        <v>0</v>
      </c>
      <c r="I956" s="142">
        <f t="shared" si="80"/>
        <v>0</v>
      </c>
      <c r="J956" s="142">
        <f>0</f>
        <v>0</v>
      </c>
      <c r="K956" s="142">
        <f t="shared" si="81"/>
        <v>0</v>
      </c>
      <c r="L956" s="142">
        <f t="shared" si="82"/>
        <v>0</v>
      </c>
      <c r="T956" s="144"/>
      <c r="U956" s="144"/>
    </row>
    <row r="957" spans="5:21" x14ac:dyDescent="0.35">
      <c r="E957" s="135">
        <v>945</v>
      </c>
      <c r="F957" s="135">
        <v>0</v>
      </c>
      <c r="G957" s="141">
        <f t="shared" si="78"/>
        <v>0</v>
      </c>
      <c r="H957" s="155">
        <f t="shared" si="79"/>
        <v>0</v>
      </c>
      <c r="I957" s="142">
        <f t="shared" si="80"/>
        <v>0</v>
      </c>
      <c r="J957" s="142">
        <f>0</f>
        <v>0</v>
      </c>
      <c r="K957" s="142">
        <f t="shared" si="81"/>
        <v>0</v>
      </c>
      <c r="L957" s="142">
        <f t="shared" si="82"/>
        <v>0</v>
      </c>
      <c r="T957" s="144"/>
      <c r="U957" s="144"/>
    </row>
    <row r="958" spans="5:21" x14ac:dyDescent="0.35">
      <c r="E958" s="135">
        <v>946</v>
      </c>
      <c r="F958" s="135">
        <v>0</v>
      </c>
      <c r="G958" s="141">
        <f t="shared" si="78"/>
        <v>0</v>
      </c>
      <c r="H958" s="155">
        <f t="shared" si="79"/>
        <v>0</v>
      </c>
      <c r="I958" s="142">
        <f t="shared" si="80"/>
        <v>0</v>
      </c>
      <c r="J958" s="142">
        <f>0</f>
        <v>0</v>
      </c>
      <c r="K958" s="142">
        <f t="shared" si="81"/>
        <v>0</v>
      </c>
      <c r="L958" s="142">
        <f t="shared" si="82"/>
        <v>0</v>
      </c>
      <c r="T958" s="144"/>
      <c r="U958" s="144"/>
    </row>
    <row r="959" spans="5:21" x14ac:dyDescent="0.35">
      <c r="E959" s="135">
        <v>947</v>
      </c>
      <c r="F959" s="135">
        <v>0</v>
      </c>
      <c r="G959" s="141">
        <f t="shared" si="78"/>
        <v>0</v>
      </c>
      <c r="H959" s="155">
        <f t="shared" si="79"/>
        <v>0</v>
      </c>
      <c r="I959" s="142">
        <f t="shared" si="80"/>
        <v>0</v>
      </c>
      <c r="J959" s="142">
        <f>0</f>
        <v>0</v>
      </c>
      <c r="K959" s="142">
        <f t="shared" si="81"/>
        <v>0</v>
      </c>
      <c r="L959" s="142">
        <f t="shared" si="82"/>
        <v>0</v>
      </c>
      <c r="T959" s="144"/>
      <c r="U959" s="144"/>
    </row>
    <row r="960" spans="5:21" x14ac:dyDescent="0.35">
      <c r="E960" s="135">
        <v>948</v>
      </c>
      <c r="F960" s="135">
        <v>1</v>
      </c>
      <c r="G960" s="141">
        <f t="shared" si="78"/>
        <v>23.813582244547764</v>
      </c>
      <c r="H960" s="155">
        <f t="shared" si="79"/>
        <v>0</v>
      </c>
      <c r="I960" s="142">
        <f t="shared" si="80"/>
        <v>0</v>
      </c>
      <c r="J960" s="142">
        <f>0</f>
        <v>0</v>
      </c>
      <c r="K960" s="142">
        <f t="shared" si="81"/>
        <v>136632.93323927111</v>
      </c>
      <c r="L960" s="142">
        <f t="shared" si="82"/>
        <v>136632.93323927111</v>
      </c>
      <c r="T960" s="144"/>
      <c r="U960" s="144"/>
    </row>
    <row r="961" spans="5:21" x14ac:dyDescent="0.35">
      <c r="E961" s="135">
        <v>949</v>
      </c>
      <c r="F961" s="135">
        <v>0</v>
      </c>
      <c r="G961" s="141">
        <f t="shared" si="78"/>
        <v>0</v>
      </c>
      <c r="H961" s="155">
        <f t="shared" si="79"/>
        <v>0</v>
      </c>
      <c r="I961" s="142">
        <f t="shared" si="80"/>
        <v>0</v>
      </c>
      <c r="J961" s="142">
        <f>0</f>
        <v>0</v>
      </c>
      <c r="K961" s="142">
        <f t="shared" si="81"/>
        <v>0</v>
      </c>
      <c r="L961" s="142">
        <f t="shared" si="82"/>
        <v>0</v>
      </c>
      <c r="T961" s="144"/>
      <c r="U961" s="144"/>
    </row>
    <row r="962" spans="5:21" x14ac:dyDescent="0.35">
      <c r="E962" s="135">
        <v>950</v>
      </c>
      <c r="F962" s="135">
        <v>1</v>
      </c>
      <c r="G962" s="141">
        <f t="shared" si="78"/>
        <v>23.813582244547764</v>
      </c>
      <c r="H962" s="155">
        <f t="shared" si="79"/>
        <v>0</v>
      </c>
      <c r="I962" s="142">
        <f t="shared" si="80"/>
        <v>0</v>
      </c>
      <c r="J962" s="142">
        <f>0</f>
        <v>0</v>
      </c>
      <c r="K962" s="142">
        <f t="shared" si="81"/>
        <v>136632.93323927111</v>
      </c>
      <c r="L962" s="142">
        <f t="shared" si="82"/>
        <v>136632.93323927111</v>
      </c>
      <c r="T962" s="144"/>
      <c r="U962" s="144"/>
    </row>
    <row r="963" spans="5:21" x14ac:dyDescent="0.35">
      <c r="E963" s="135">
        <v>951</v>
      </c>
      <c r="F963" s="135">
        <v>0</v>
      </c>
      <c r="G963" s="141">
        <f t="shared" si="78"/>
        <v>0</v>
      </c>
      <c r="H963" s="155">
        <f t="shared" si="79"/>
        <v>0</v>
      </c>
      <c r="I963" s="142">
        <f t="shared" si="80"/>
        <v>0</v>
      </c>
      <c r="J963" s="142">
        <f>0</f>
        <v>0</v>
      </c>
      <c r="K963" s="142">
        <f t="shared" si="81"/>
        <v>0</v>
      </c>
      <c r="L963" s="142">
        <f t="shared" si="82"/>
        <v>0</v>
      </c>
      <c r="T963" s="144"/>
      <c r="U963" s="144"/>
    </row>
    <row r="964" spans="5:21" x14ac:dyDescent="0.35">
      <c r="E964" s="135">
        <v>952</v>
      </c>
      <c r="F964" s="135">
        <v>0</v>
      </c>
      <c r="G964" s="141">
        <f t="shared" si="78"/>
        <v>0</v>
      </c>
      <c r="H964" s="155">
        <f t="shared" si="79"/>
        <v>0</v>
      </c>
      <c r="I964" s="142">
        <f t="shared" si="80"/>
        <v>0</v>
      </c>
      <c r="J964" s="142">
        <f>0</f>
        <v>0</v>
      </c>
      <c r="K964" s="142">
        <f t="shared" si="81"/>
        <v>0</v>
      </c>
      <c r="L964" s="142">
        <f t="shared" si="82"/>
        <v>0</v>
      </c>
      <c r="T964" s="144"/>
      <c r="U964" s="144"/>
    </row>
    <row r="965" spans="5:21" x14ac:dyDescent="0.35">
      <c r="E965" s="135">
        <v>953</v>
      </c>
      <c r="F965" s="135">
        <v>0</v>
      </c>
      <c r="G965" s="141">
        <f t="shared" si="78"/>
        <v>0</v>
      </c>
      <c r="H965" s="155">
        <f t="shared" si="79"/>
        <v>0</v>
      </c>
      <c r="I965" s="142">
        <f t="shared" si="80"/>
        <v>0</v>
      </c>
      <c r="J965" s="142">
        <f>0</f>
        <v>0</v>
      </c>
      <c r="K965" s="142">
        <f t="shared" si="81"/>
        <v>0</v>
      </c>
      <c r="L965" s="142">
        <f t="shared" si="82"/>
        <v>0</v>
      </c>
      <c r="T965" s="144"/>
      <c r="U965" s="144"/>
    </row>
    <row r="966" spans="5:21" x14ac:dyDescent="0.35">
      <c r="E966" s="135">
        <v>954</v>
      </c>
      <c r="F966" s="135">
        <v>0</v>
      </c>
      <c r="G966" s="141">
        <f t="shared" si="78"/>
        <v>0</v>
      </c>
      <c r="H966" s="155">
        <f t="shared" si="79"/>
        <v>0</v>
      </c>
      <c r="I966" s="142">
        <f t="shared" si="80"/>
        <v>0</v>
      </c>
      <c r="J966" s="142">
        <f>0</f>
        <v>0</v>
      </c>
      <c r="K966" s="142">
        <f t="shared" si="81"/>
        <v>0</v>
      </c>
      <c r="L966" s="142">
        <f t="shared" si="82"/>
        <v>0</v>
      </c>
      <c r="T966" s="144"/>
      <c r="U966" s="144"/>
    </row>
    <row r="967" spans="5:21" x14ac:dyDescent="0.35">
      <c r="E967" s="135">
        <v>955</v>
      </c>
      <c r="F967" s="135">
        <v>0</v>
      </c>
      <c r="G967" s="141">
        <f t="shared" si="78"/>
        <v>0</v>
      </c>
      <c r="H967" s="155">
        <f t="shared" si="79"/>
        <v>0</v>
      </c>
      <c r="I967" s="142">
        <f t="shared" si="80"/>
        <v>0</v>
      </c>
      <c r="J967" s="142">
        <f>0</f>
        <v>0</v>
      </c>
      <c r="K967" s="142">
        <f t="shared" si="81"/>
        <v>0</v>
      </c>
      <c r="L967" s="142">
        <f t="shared" si="82"/>
        <v>0</v>
      </c>
      <c r="T967" s="144"/>
      <c r="U967" s="144"/>
    </row>
    <row r="968" spans="5:21" x14ac:dyDescent="0.35">
      <c r="E968" s="135">
        <v>956</v>
      </c>
      <c r="F968" s="135">
        <v>1</v>
      </c>
      <c r="G968" s="141">
        <f t="shared" si="78"/>
        <v>23.813582244547764</v>
      </c>
      <c r="H968" s="155">
        <f t="shared" si="79"/>
        <v>0</v>
      </c>
      <c r="I968" s="142">
        <f t="shared" si="80"/>
        <v>0</v>
      </c>
      <c r="J968" s="142">
        <f>0</f>
        <v>0</v>
      </c>
      <c r="K968" s="142">
        <f t="shared" si="81"/>
        <v>136632.93323927111</v>
      </c>
      <c r="L968" s="142">
        <f t="shared" si="82"/>
        <v>136632.93323927111</v>
      </c>
      <c r="T968" s="144"/>
      <c r="U968" s="144"/>
    </row>
    <row r="969" spans="5:21" x14ac:dyDescent="0.35">
      <c r="E969" s="135">
        <v>957</v>
      </c>
      <c r="F969" s="135">
        <v>0</v>
      </c>
      <c r="G969" s="141">
        <f t="shared" si="78"/>
        <v>0</v>
      </c>
      <c r="H969" s="155">
        <f t="shared" si="79"/>
        <v>0</v>
      </c>
      <c r="I969" s="142">
        <f t="shared" si="80"/>
        <v>0</v>
      </c>
      <c r="J969" s="142">
        <f>0</f>
        <v>0</v>
      </c>
      <c r="K969" s="142">
        <f t="shared" si="81"/>
        <v>0</v>
      </c>
      <c r="L969" s="142">
        <f t="shared" si="82"/>
        <v>0</v>
      </c>
      <c r="T969" s="144"/>
      <c r="U969" s="144"/>
    </row>
    <row r="970" spans="5:21" x14ac:dyDescent="0.35">
      <c r="E970" s="135">
        <v>958</v>
      </c>
      <c r="F970" s="135">
        <v>0</v>
      </c>
      <c r="G970" s="141">
        <f t="shared" si="78"/>
        <v>0</v>
      </c>
      <c r="H970" s="155">
        <f t="shared" si="79"/>
        <v>0</v>
      </c>
      <c r="I970" s="142">
        <f t="shared" si="80"/>
        <v>0</v>
      </c>
      <c r="J970" s="142">
        <f>0</f>
        <v>0</v>
      </c>
      <c r="K970" s="142">
        <f t="shared" si="81"/>
        <v>0</v>
      </c>
      <c r="L970" s="142">
        <f t="shared" si="82"/>
        <v>0</v>
      </c>
      <c r="T970" s="144"/>
      <c r="U970" s="144"/>
    </row>
    <row r="971" spans="5:21" x14ac:dyDescent="0.35">
      <c r="E971" s="135">
        <v>959</v>
      </c>
      <c r="F971" s="135">
        <v>0</v>
      </c>
      <c r="G971" s="141">
        <f t="shared" si="78"/>
        <v>0</v>
      </c>
      <c r="H971" s="155">
        <f t="shared" si="79"/>
        <v>0</v>
      </c>
      <c r="I971" s="142">
        <f t="shared" si="80"/>
        <v>0</v>
      </c>
      <c r="J971" s="142">
        <f>0</f>
        <v>0</v>
      </c>
      <c r="K971" s="142">
        <f t="shared" si="81"/>
        <v>0</v>
      </c>
      <c r="L971" s="142">
        <f t="shared" si="82"/>
        <v>0</v>
      </c>
      <c r="T971" s="144"/>
      <c r="U971" s="144"/>
    </row>
    <row r="972" spans="5:21" x14ac:dyDescent="0.35">
      <c r="E972" s="135">
        <v>960</v>
      </c>
      <c r="F972" s="135">
        <v>0</v>
      </c>
      <c r="G972" s="141">
        <f t="shared" si="78"/>
        <v>0</v>
      </c>
      <c r="H972" s="155">
        <f t="shared" si="79"/>
        <v>0</v>
      </c>
      <c r="I972" s="142">
        <f t="shared" si="80"/>
        <v>0</v>
      </c>
      <c r="J972" s="142">
        <f>0</f>
        <v>0</v>
      </c>
      <c r="K972" s="142">
        <f t="shared" si="81"/>
        <v>0</v>
      </c>
      <c r="L972" s="142">
        <f t="shared" si="82"/>
        <v>0</v>
      </c>
      <c r="T972" s="144"/>
      <c r="U972" s="144"/>
    </row>
    <row r="973" spans="5:21" x14ac:dyDescent="0.35">
      <c r="E973" s="135">
        <v>961</v>
      </c>
      <c r="F973" s="135">
        <v>0</v>
      </c>
      <c r="G973" s="141">
        <f t="shared" ref="G973:G1012" si="83">F973*$C$9</f>
        <v>0</v>
      </c>
      <c r="H973" s="155">
        <f t="shared" ref="H973:H1012" si="84">IF(F973 &gt; 1,$C$13*20000,0)</f>
        <v>0</v>
      </c>
      <c r="I973" s="142">
        <f t="shared" ref="I973:I1012" si="85">IF(F973 &gt; 1,$C$4,0)</f>
        <v>0</v>
      </c>
      <c r="J973" s="142">
        <f>0</f>
        <v>0</v>
      </c>
      <c r="K973" s="142">
        <f t="shared" ref="K973:K1012" si="86">F973*$C$5</f>
        <v>0</v>
      </c>
      <c r="L973" s="142">
        <f t="shared" ref="L973:L1012" si="87">J973+I973+K973</f>
        <v>0</v>
      </c>
      <c r="T973" s="144"/>
      <c r="U973" s="144"/>
    </row>
    <row r="974" spans="5:21" x14ac:dyDescent="0.35">
      <c r="E974" s="135">
        <v>962</v>
      </c>
      <c r="F974" s="135">
        <v>0</v>
      </c>
      <c r="G974" s="141">
        <f t="shared" si="83"/>
        <v>0</v>
      </c>
      <c r="H974" s="155">
        <f t="shared" si="84"/>
        <v>0</v>
      </c>
      <c r="I974" s="142">
        <f t="shared" si="85"/>
        <v>0</v>
      </c>
      <c r="J974" s="142">
        <f>0</f>
        <v>0</v>
      </c>
      <c r="K974" s="142">
        <f t="shared" si="86"/>
        <v>0</v>
      </c>
      <c r="L974" s="142">
        <f t="shared" si="87"/>
        <v>0</v>
      </c>
      <c r="T974" s="144"/>
      <c r="U974" s="144"/>
    </row>
    <row r="975" spans="5:21" x14ac:dyDescent="0.35">
      <c r="E975" s="135">
        <v>963</v>
      </c>
      <c r="F975" s="135">
        <v>1</v>
      </c>
      <c r="G975" s="141">
        <f t="shared" si="83"/>
        <v>23.813582244547764</v>
      </c>
      <c r="H975" s="155">
        <f t="shared" si="84"/>
        <v>0</v>
      </c>
      <c r="I975" s="142">
        <f t="shared" si="85"/>
        <v>0</v>
      </c>
      <c r="J975" s="142">
        <f>0</f>
        <v>0</v>
      </c>
      <c r="K975" s="142">
        <f t="shared" si="86"/>
        <v>136632.93323927111</v>
      </c>
      <c r="L975" s="142">
        <f t="shared" si="87"/>
        <v>136632.93323927111</v>
      </c>
      <c r="T975" s="144"/>
      <c r="U975" s="144"/>
    </row>
    <row r="976" spans="5:21" x14ac:dyDescent="0.35">
      <c r="E976" s="135">
        <v>964</v>
      </c>
      <c r="F976" s="135">
        <v>1</v>
      </c>
      <c r="G976" s="141">
        <f t="shared" si="83"/>
        <v>23.813582244547764</v>
      </c>
      <c r="H976" s="155">
        <f t="shared" si="84"/>
        <v>0</v>
      </c>
      <c r="I976" s="142">
        <f t="shared" si="85"/>
        <v>0</v>
      </c>
      <c r="J976" s="142">
        <f>0</f>
        <v>0</v>
      </c>
      <c r="K976" s="142">
        <f t="shared" si="86"/>
        <v>136632.93323927111</v>
      </c>
      <c r="L976" s="142">
        <f t="shared" si="87"/>
        <v>136632.93323927111</v>
      </c>
      <c r="T976" s="144"/>
      <c r="U976" s="144"/>
    </row>
    <row r="977" spans="5:21" x14ac:dyDescent="0.35">
      <c r="E977" s="135">
        <v>965</v>
      </c>
      <c r="F977" s="135">
        <v>0</v>
      </c>
      <c r="G977" s="141">
        <f t="shared" si="83"/>
        <v>0</v>
      </c>
      <c r="H977" s="155">
        <f t="shared" si="84"/>
        <v>0</v>
      </c>
      <c r="I977" s="142">
        <f t="shared" si="85"/>
        <v>0</v>
      </c>
      <c r="J977" s="142">
        <f>0</f>
        <v>0</v>
      </c>
      <c r="K977" s="142">
        <f t="shared" si="86"/>
        <v>0</v>
      </c>
      <c r="L977" s="142">
        <f t="shared" si="87"/>
        <v>0</v>
      </c>
      <c r="T977" s="144"/>
      <c r="U977" s="144"/>
    </row>
    <row r="978" spans="5:21" x14ac:dyDescent="0.35">
      <c r="E978" s="135">
        <v>966</v>
      </c>
      <c r="F978" s="135">
        <v>1</v>
      </c>
      <c r="G978" s="141">
        <f t="shared" si="83"/>
        <v>23.813582244547764</v>
      </c>
      <c r="H978" s="155">
        <f t="shared" si="84"/>
        <v>0</v>
      </c>
      <c r="I978" s="142">
        <f t="shared" si="85"/>
        <v>0</v>
      </c>
      <c r="J978" s="142">
        <f>0</f>
        <v>0</v>
      </c>
      <c r="K978" s="142">
        <f t="shared" si="86"/>
        <v>136632.93323927111</v>
      </c>
      <c r="L978" s="142">
        <f t="shared" si="87"/>
        <v>136632.93323927111</v>
      </c>
      <c r="T978" s="144"/>
      <c r="U978" s="144"/>
    </row>
    <row r="979" spans="5:21" x14ac:dyDescent="0.35">
      <c r="E979" s="135">
        <v>967</v>
      </c>
      <c r="F979" s="135">
        <v>0</v>
      </c>
      <c r="G979" s="141">
        <f t="shared" si="83"/>
        <v>0</v>
      </c>
      <c r="H979" s="155">
        <f t="shared" si="84"/>
        <v>0</v>
      </c>
      <c r="I979" s="142">
        <f t="shared" si="85"/>
        <v>0</v>
      </c>
      <c r="J979" s="142">
        <f>0</f>
        <v>0</v>
      </c>
      <c r="K979" s="142">
        <f t="shared" si="86"/>
        <v>0</v>
      </c>
      <c r="L979" s="142">
        <f t="shared" si="87"/>
        <v>0</v>
      </c>
      <c r="T979" s="144"/>
      <c r="U979" s="144"/>
    </row>
    <row r="980" spans="5:21" x14ac:dyDescent="0.35">
      <c r="E980" s="135">
        <v>968</v>
      </c>
      <c r="F980" s="135">
        <v>1</v>
      </c>
      <c r="G980" s="141">
        <f t="shared" si="83"/>
        <v>23.813582244547764</v>
      </c>
      <c r="H980" s="155">
        <f t="shared" si="84"/>
        <v>0</v>
      </c>
      <c r="I980" s="142">
        <f t="shared" si="85"/>
        <v>0</v>
      </c>
      <c r="J980" s="142">
        <f>0</f>
        <v>0</v>
      </c>
      <c r="K980" s="142">
        <f t="shared" si="86"/>
        <v>136632.93323927111</v>
      </c>
      <c r="L980" s="142">
        <f t="shared" si="87"/>
        <v>136632.93323927111</v>
      </c>
      <c r="T980" s="144"/>
      <c r="U980" s="144"/>
    </row>
    <row r="981" spans="5:21" x14ac:dyDescent="0.35">
      <c r="E981" s="135">
        <v>969</v>
      </c>
      <c r="F981" s="135">
        <v>2</v>
      </c>
      <c r="G981" s="141">
        <f t="shared" si="83"/>
        <v>47.627164489095527</v>
      </c>
      <c r="H981" s="155">
        <f t="shared" si="84"/>
        <v>200</v>
      </c>
      <c r="I981" s="142">
        <f t="shared" si="85"/>
        <v>14500000</v>
      </c>
      <c r="J981" s="142">
        <f>0</f>
        <v>0</v>
      </c>
      <c r="K981" s="142">
        <f t="shared" si="86"/>
        <v>273265.86647854222</v>
      </c>
      <c r="L981" s="142">
        <f t="shared" si="87"/>
        <v>14773265.866478542</v>
      </c>
      <c r="T981" s="144"/>
      <c r="U981" s="144"/>
    </row>
    <row r="982" spans="5:21" x14ac:dyDescent="0.35">
      <c r="E982" s="135">
        <v>970</v>
      </c>
      <c r="F982" s="135">
        <v>1</v>
      </c>
      <c r="G982" s="141">
        <f t="shared" si="83"/>
        <v>23.813582244547764</v>
      </c>
      <c r="H982" s="155">
        <f t="shared" si="84"/>
        <v>0</v>
      </c>
      <c r="I982" s="142">
        <f t="shared" si="85"/>
        <v>0</v>
      </c>
      <c r="J982" s="142">
        <f>0</f>
        <v>0</v>
      </c>
      <c r="K982" s="142">
        <f t="shared" si="86"/>
        <v>136632.93323927111</v>
      </c>
      <c r="L982" s="142">
        <f t="shared" si="87"/>
        <v>136632.93323927111</v>
      </c>
      <c r="T982" s="144"/>
      <c r="U982" s="144"/>
    </row>
    <row r="983" spans="5:21" x14ac:dyDescent="0.35">
      <c r="E983" s="135">
        <v>971</v>
      </c>
      <c r="F983" s="135">
        <v>0</v>
      </c>
      <c r="G983" s="141">
        <f t="shared" si="83"/>
        <v>0</v>
      </c>
      <c r="H983" s="155">
        <f t="shared" si="84"/>
        <v>0</v>
      </c>
      <c r="I983" s="142">
        <f t="shared" si="85"/>
        <v>0</v>
      </c>
      <c r="J983" s="142">
        <f>0</f>
        <v>0</v>
      </c>
      <c r="K983" s="142">
        <f t="shared" si="86"/>
        <v>0</v>
      </c>
      <c r="L983" s="142">
        <f t="shared" si="87"/>
        <v>0</v>
      </c>
      <c r="T983" s="144"/>
      <c r="U983" s="144"/>
    </row>
    <row r="984" spans="5:21" x14ac:dyDescent="0.35">
      <c r="E984" s="135">
        <v>972</v>
      </c>
      <c r="F984" s="135">
        <v>1</v>
      </c>
      <c r="G984" s="141">
        <f t="shared" si="83"/>
        <v>23.813582244547764</v>
      </c>
      <c r="H984" s="155">
        <f t="shared" si="84"/>
        <v>0</v>
      </c>
      <c r="I984" s="142">
        <f t="shared" si="85"/>
        <v>0</v>
      </c>
      <c r="J984" s="142">
        <f>0</f>
        <v>0</v>
      </c>
      <c r="K984" s="142">
        <f t="shared" si="86"/>
        <v>136632.93323927111</v>
      </c>
      <c r="L984" s="142">
        <f t="shared" si="87"/>
        <v>136632.93323927111</v>
      </c>
      <c r="T984" s="144"/>
      <c r="U984" s="144"/>
    </row>
    <row r="985" spans="5:21" x14ac:dyDescent="0.35">
      <c r="E985" s="135">
        <v>973</v>
      </c>
      <c r="F985" s="135">
        <v>1</v>
      </c>
      <c r="G985" s="141">
        <f t="shared" si="83"/>
        <v>23.813582244547764</v>
      </c>
      <c r="H985" s="155">
        <f t="shared" si="84"/>
        <v>0</v>
      </c>
      <c r="I985" s="142">
        <f t="shared" si="85"/>
        <v>0</v>
      </c>
      <c r="J985" s="142">
        <f>0</f>
        <v>0</v>
      </c>
      <c r="K985" s="142">
        <f t="shared" si="86"/>
        <v>136632.93323927111</v>
      </c>
      <c r="L985" s="142">
        <f t="shared" si="87"/>
        <v>136632.93323927111</v>
      </c>
      <c r="T985" s="144"/>
      <c r="U985" s="144"/>
    </row>
    <row r="986" spans="5:21" x14ac:dyDescent="0.35">
      <c r="E986" s="135">
        <v>974</v>
      </c>
      <c r="F986" s="135">
        <v>0</v>
      </c>
      <c r="G986" s="141">
        <f t="shared" si="83"/>
        <v>0</v>
      </c>
      <c r="H986" s="155">
        <f t="shared" si="84"/>
        <v>0</v>
      </c>
      <c r="I986" s="142">
        <f t="shared" si="85"/>
        <v>0</v>
      </c>
      <c r="J986" s="142">
        <f>0</f>
        <v>0</v>
      </c>
      <c r="K986" s="142">
        <f t="shared" si="86"/>
        <v>0</v>
      </c>
      <c r="L986" s="142">
        <f t="shared" si="87"/>
        <v>0</v>
      </c>
      <c r="T986" s="144"/>
      <c r="U986" s="144"/>
    </row>
    <row r="987" spans="5:21" x14ac:dyDescent="0.35">
      <c r="E987" s="135">
        <v>975</v>
      </c>
      <c r="F987" s="135">
        <v>0</v>
      </c>
      <c r="G987" s="141">
        <f t="shared" si="83"/>
        <v>0</v>
      </c>
      <c r="H987" s="155">
        <f t="shared" si="84"/>
        <v>0</v>
      </c>
      <c r="I987" s="142">
        <f t="shared" si="85"/>
        <v>0</v>
      </c>
      <c r="J987" s="142">
        <f>0</f>
        <v>0</v>
      </c>
      <c r="K987" s="142">
        <f t="shared" si="86"/>
        <v>0</v>
      </c>
      <c r="L987" s="142">
        <f t="shared" si="87"/>
        <v>0</v>
      </c>
      <c r="T987" s="144"/>
      <c r="U987" s="144"/>
    </row>
    <row r="988" spans="5:21" x14ac:dyDescent="0.35">
      <c r="E988" s="135">
        <v>976</v>
      </c>
      <c r="F988" s="135">
        <v>0</v>
      </c>
      <c r="G988" s="141">
        <f t="shared" si="83"/>
        <v>0</v>
      </c>
      <c r="H988" s="155">
        <f t="shared" si="84"/>
        <v>0</v>
      </c>
      <c r="I988" s="142">
        <f t="shared" si="85"/>
        <v>0</v>
      </c>
      <c r="J988" s="142">
        <f>0</f>
        <v>0</v>
      </c>
      <c r="K988" s="142">
        <f t="shared" si="86"/>
        <v>0</v>
      </c>
      <c r="L988" s="142">
        <f t="shared" si="87"/>
        <v>0</v>
      </c>
      <c r="T988" s="144"/>
      <c r="U988" s="144"/>
    </row>
    <row r="989" spans="5:21" x14ac:dyDescent="0.35">
      <c r="E989" s="135">
        <v>977</v>
      </c>
      <c r="F989" s="135">
        <v>0</v>
      </c>
      <c r="G989" s="141">
        <f t="shared" si="83"/>
        <v>0</v>
      </c>
      <c r="H989" s="155">
        <f t="shared" si="84"/>
        <v>0</v>
      </c>
      <c r="I989" s="142">
        <f t="shared" si="85"/>
        <v>0</v>
      </c>
      <c r="J989" s="142">
        <f>0</f>
        <v>0</v>
      </c>
      <c r="K989" s="142">
        <f t="shared" si="86"/>
        <v>0</v>
      </c>
      <c r="L989" s="142">
        <f t="shared" si="87"/>
        <v>0</v>
      </c>
      <c r="T989" s="144"/>
      <c r="U989" s="144"/>
    </row>
    <row r="990" spans="5:21" x14ac:dyDescent="0.35">
      <c r="E990" s="135">
        <v>978</v>
      </c>
      <c r="F990" s="135">
        <v>0</v>
      </c>
      <c r="G990" s="141">
        <f t="shared" si="83"/>
        <v>0</v>
      </c>
      <c r="H990" s="155">
        <f t="shared" si="84"/>
        <v>0</v>
      </c>
      <c r="I990" s="142">
        <f t="shared" si="85"/>
        <v>0</v>
      </c>
      <c r="J990" s="142">
        <f>0</f>
        <v>0</v>
      </c>
      <c r="K990" s="142">
        <f t="shared" si="86"/>
        <v>0</v>
      </c>
      <c r="L990" s="142">
        <f t="shared" si="87"/>
        <v>0</v>
      </c>
      <c r="T990" s="144"/>
      <c r="U990" s="144"/>
    </row>
    <row r="991" spans="5:21" x14ac:dyDescent="0.35">
      <c r="E991" s="135">
        <v>979</v>
      </c>
      <c r="F991" s="135">
        <v>0</v>
      </c>
      <c r="G991" s="141">
        <f t="shared" si="83"/>
        <v>0</v>
      </c>
      <c r="H991" s="155">
        <f t="shared" si="84"/>
        <v>0</v>
      </c>
      <c r="I991" s="142">
        <f t="shared" si="85"/>
        <v>0</v>
      </c>
      <c r="J991" s="142">
        <f>0</f>
        <v>0</v>
      </c>
      <c r="K991" s="142">
        <f t="shared" si="86"/>
        <v>0</v>
      </c>
      <c r="L991" s="142">
        <f t="shared" si="87"/>
        <v>0</v>
      </c>
      <c r="T991" s="144"/>
      <c r="U991" s="144"/>
    </row>
    <row r="992" spans="5:21" x14ac:dyDescent="0.35">
      <c r="E992" s="135">
        <v>980</v>
      </c>
      <c r="F992" s="135">
        <v>0</v>
      </c>
      <c r="G992" s="141">
        <f t="shared" si="83"/>
        <v>0</v>
      </c>
      <c r="H992" s="155">
        <f t="shared" si="84"/>
        <v>0</v>
      </c>
      <c r="I992" s="142">
        <f t="shared" si="85"/>
        <v>0</v>
      </c>
      <c r="J992" s="142">
        <f>0</f>
        <v>0</v>
      </c>
      <c r="K992" s="142">
        <f t="shared" si="86"/>
        <v>0</v>
      </c>
      <c r="L992" s="142">
        <f t="shared" si="87"/>
        <v>0</v>
      </c>
      <c r="T992" s="144"/>
      <c r="U992" s="144"/>
    </row>
    <row r="993" spans="5:21" x14ac:dyDescent="0.35">
      <c r="E993" s="135">
        <v>981</v>
      </c>
      <c r="F993" s="135">
        <v>0</v>
      </c>
      <c r="G993" s="141">
        <f t="shared" si="83"/>
        <v>0</v>
      </c>
      <c r="H993" s="155">
        <f t="shared" si="84"/>
        <v>0</v>
      </c>
      <c r="I993" s="142">
        <f t="shared" si="85"/>
        <v>0</v>
      </c>
      <c r="J993" s="142">
        <f>0</f>
        <v>0</v>
      </c>
      <c r="K993" s="142">
        <f t="shared" si="86"/>
        <v>0</v>
      </c>
      <c r="L993" s="142">
        <f t="shared" si="87"/>
        <v>0</v>
      </c>
      <c r="T993" s="144"/>
      <c r="U993" s="144"/>
    </row>
    <row r="994" spans="5:21" x14ac:dyDescent="0.35">
      <c r="E994" s="135">
        <v>982</v>
      </c>
      <c r="F994" s="135">
        <v>0</v>
      </c>
      <c r="G994" s="141">
        <f t="shared" si="83"/>
        <v>0</v>
      </c>
      <c r="H994" s="155">
        <f t="shared" si="84"/>
        <v>0</v>
      </c>
      <c r="I994" s="142">
        <f t="shared" si="85"/>
        <v>0</v>
      </c>
      <c r="J994" s="142">
        <f>0</f>
        <v>0</v>
      </c>
      <c r="K994" s="142">
        <f t="shared" si="86"/>
        <v>0</v>
      </c>
      <c r="L994" s="142">
        <f t="shared" si="87"/>
        <v>0</v>
      </c>
      <c r="T994" s="144"/>
      <c r="U994" s="144"/>
    </row>
    <row r="995" spans="5:21" x14ac:dyDescent="0.35">
      <c r="E995" s="135">
        <v>983</v>
      </c>
      <c r="F995" s="135">
        <v>0</v>
      </c>
      <c r="G995" s="141">
        <f t="shared" si="83"/>
        <v>0</v>
      </c>
      <c r="H995" s="155">
        <f t="shared" si="84"/>
        <v>0</v>
      </c>
      <c r="I995" s="142">
        <f t="shared" si="85"/>
        <v>0</v>
      </c>
      <c r="J995" s="142">
        <f>0</f>
        <v>0</v>
      </c>
      <c r="K995" s="142">
        <f t="shared" si="86"/>
        <v>0</v>
      </c>
      <c r="L995" s="142">
        <f t="shared" si="87"/>
        <v>0</v>
      </c>
      <c r="T995" s="144"/>
      <c r="U995" s="144"/>
    </row>
    <row r="996" spans="5:21" x14ac:dyDescent="0.35">
      <c r="E996" s="135">
        <v>984</v>
      </c>
      <c r="F996" s="135">
        <v>2</v>
      </c>
      <c r="G996" s="141">
        <f t="shared" si="83"/>
        <v>47.627164489095527</v>
      </c>
      <c r="H996" s="155">
        <f t="shared" si="84"/>
        <v>200</v>
      </c>
      <c r="I996" s="142">
        <f t="shared" si="85"/>
        <v>14500000</v>
      </c>
      <c r="J996" s="142">
        <f>0</f>
        <v>0</v>
      </c>
      <c r="K996" s="142">
        <f t="shared" si="86"/>
        <v>273265.86647854222</v>
      </c>
      <c r="L996" s="142">
        <f t="shared" si="87"/>
        <v>14773265.866478542</v>
      </c>
      <c r="T996" s="144"/>
      <c r="U996" s="144"/>
    </row>
    <row r="997" spans="5:21" x14ac:dyDescent="0.35">
      <c r="E997" s="135">
        <v>985</v>
      </c>
      <c r="F997" s="135">
        <v>0</v>
      </c>
      <c r="G997" s="141">
        <f t="shared" si="83"/>
        <v>0</v>
      </c>
      <c r="H997" s="155">
        <f t="shared" si="84"/>
        <v>0</v>
      </c>
      <c r="I997" s="142">
        <f t="shared" si="85"/>
        <v>0</v>
      </c>
      <c r="J997" s="142">
        <f>0</f>
        <v>0</v>
      </c>
      <c r="K997" s="142">
        <f t="shared" si="86"/>
        <v>0</v>
      </c>
      <c r="L997" s="142">
        <f t="shared" si="87"/>
        <v>0</v>
      </c>
      <c r="T997" s="144"/>
      <c r="U997" s="144"/>
    </row>
    <row r="998" spans="5:21" x14ac:dyDescent="0.35">
      <c r="E998" s="135">
        <v>986</v>
      </c>
      <c r="F998" s="135">
        <v>0</v>
      </c>
      <c r="G998" s="141">
        <f t="shared" si="83"/>
        <v>0</v>
      </c>
      <c r="H998" s="155">
        <f t="shared" si="84"/>
        <v>0</v>
      </c>
      <c r="I998" s="142">
        <f t="shared" si="85"/>
        <v>0</v>
      </c>
      <c r="J998" s="142">
        <f>0</f>
        <v>0</v>
      </c>
      <c r="K998" s="142">
        <f t="shared" si="86"/>
        <v>0</v>
      </c>
      <c r="L998" s="142">
        <f t="shared" si="87"/>
        <v>0</v>
      </c>
      <c r="T998" s="144"/>
      <c r="U998" s="144"/>
    </row>
    <row r="999" spans="5:21" x14ac:dyDescent="0.35">
      <c r="E999" s="135">
        <v>987</v>
      </c>
      <c r="F999" s="135">
        <v>1</v>
      </c>
      <c r="G999" s="141">
        <f t="shared" si="83"/>
        <v>23.813582244547764</v>
      </c>
      <c r="H999" s="155">
        <f t="shared" si="84"/>
        <v>0</v>
      </c>
      <c r="I999" s="142">
        <f t="shared" si="85"/>
        <v>0</v>
      </c>
      <c r="J999" s="142">
        <f>0</f>
        <v>0</v>
      </c>
      <c r="K999" s="142">
        <f t="shared" si="86"/>
        <v>136632.93323927111</v>
      </c>
      <c r="L999" s="142">
        <f t="shared" si="87"/>
        <v>136632.93323927111</v>
      </c>
      <c r="T999" s="144"/>
      <c r="U999" s="144"/>
    </row>
    <row r="1000" spans="5:21" x14ac:dyDescent="0.35">
      <c r="E1000" s="135">
        <v>988</v>
      </c>
      <c r="F1000" s="135">
        <v>1</v>
      </c>
      <c r="G1000" s="141">
        <f t="shared" si="83"/>
        <v>23.813582244547764</v>
      </c>
      <c r="H1000" s="155">
        <f t="shared" si="84"/>
        <v>0</v>
      </c>
      <c r="I1000" s="142">
        <f t="shared" si="85"/>
        <v>0</v>
      </c>
      <c r="J1000" s="142">
        <f>0</f>
        <v>0</v>
      </c>
      <c r="K1000" s="142">
        <f t="shared" si="86"/>
        <v>136632.93323927111</v>
      </c>
      <c r="L1000" s="142">
        <f t="shared" si="87"/>
        <v>136632.93323927111</v>
      </c>
      <c r="T1000" s="144"/>
      <c r="U1000" s="144"/>
    </row>
    <row r="1001" spans="5:21" x14ac:dyDescent="0.35">
      <c r="E1001" s="135">
        <v>989</v>
      </c>
      <c r="F1001" s="135">
        <v>0</v>
      </c>
      <c r="G1001" s="141">
        <f t="shared" si="83"/>
        <v>0</v>
      </c>
      <c r="H1001" s="155">
        <f t="shared" si="84"/>
        <v>0</v>
      </c>
      <c r="I1001" s="142">
        <f t="shared" si="85"/>
        <v>0</v>
      </c>
      <c r="J1001" s="142">
        <f>0</f>
        <v>0</v>
      </c>
      <c r="K1001" s="142">
        <f t="shared" si="86"/>
        <v>0</v>
      </c>
      <c r="L1001" s="142">
        <f t="shared" si="87"/>
        <v>0</v>
      </c>
      <c r="T1001" s="144"/>
      <c r="U1001" s="144"/>
    </row>
    <row r="1002" spans="5:21" x14ac:dyDescent="0.35">
      <c r="E1002" s="135">
        <v>990</v>
      </c>
      <c r="F1002" s="135">
        <v>0</v>
      </c>
      <c r="G1002" s="141">
        <f t="shared" si="83"/>
        <v>0</v>
      </c>
      <c r="H1002" s="155">
        <f t="shared" si="84"/>
        <v>0</v>
      </c>
      <c r="I1002" s="142">
        <f t="shared" si="85"/>
        <v>0</v>
      </c>
      <c r="J1002" s="142">
        <f>0</f>
        <v>0</v>
      </c>
      <c r="K1002" s="142">
        <f t="shared" si="86"/>
        <v>0</v>
      </c>
      <c r="L1002" s="142">
        <f t="shared" si="87"/>
        <v>0</v>
      </c>
      <c r="T1002" s="144"/>
      <c r="U1002" s="144"/>
    </row>
    <row r="1003" spans="5:21" x14ac:dyDescent="0.35">
      <c r="E1003" s="135">
        <v>991</v>
      </c>
      <c r="F1003" s="135">
        <v>0</v>
      </c>
      <c r="G1003" s="141">
        <f t="shared" si="83"/>
        <v>0</v>
      </c>
      <c r="H1003" s="155">
        <f t="shared" si="84"/>
        <v>0</v>
      </c>
      <c r="I1003" s="142">
        <f t="shared" si="85"/>
        <v>0</v>
      </c>
      <c r="J1003" s="142">
        <f>0</f>
        <v>0</v>
      </c>
      <c r="K1003" s="142">
        <f t="shared" si="86"/>
        <v>0</v>
      </c>
      <c r="L1003" s="142">
        <f t="shared" si="87"/>
        <v>0</v>
      </c>
      <c r="T1003" s="144"/>
      <c r="U1003" s="144"/>
    </row>
    <row r="1004" spans="5:21" x14ac:dyDescent="0.35">
      <c r="E1004" s="135">
        <v>992</v>
      </c>
      <c r="F1004" s="135">
        <v>0</v>
      </c>
      <c r="G1004" s="141">
        <f t="shared" si="83"/>
        <v>0</v>
      </c>
      <c r="H1004" s="155">
        <f t="shared" si="84"/>
        <v>0</v>
      </c>
      <c r="I1004" s="142">
        <f t="shared" si="85"/>
        <v>0</v>
      </c>
      <c r="J1004" s="142">
        <f>0</f>
        <v>0</v>
      </c>
      <c r="K1004" s="142">
        <f t="shared" si="86"/>
        <v>0</v>
      </c>
      <c r="L1004" s="142">
        <f t="shared" si="87"/>
        <v>0</v>
      </c>
      <c r="T1004" s="144"/>
      <c r="U1004" s="144"/>
    </row>
    <row r="1005" spans="5:21" x14ac:dyDescent="0.35">
      <c r="E1005" s="135">
        <v>993</v>
      </c>
      <c r="F1005" s="135">
        <v>1</v>
      </c>
      <c r="G1005" s="141">
        <f t="shared" si="83"/>
        <v>23.813582244547764</v>
      </c>
      <c r="H1005" s="155">
        <f t="shared" si="84"/>
        <v>0</v>
      </c>
      <c r="I1005" s="142">
        <f t="shared" si="85"/>
        <v>0</v>
      </c>
      <c r="J1005" s="142">
        <f>0</f>
        <v>0</v>
      </c>
      <c r="K1005" s="142">
        <f t="shared" si="86"/>
        <v>136632.93323927111</v>
      </c>
      <c r="L1005" s="142">
        <f t="shared" si="87"/>
        <v>136632.93323927111</v>
      </c>
      <c r="T1005" s="144"/>
      <c r="U1005" s="144"/>
    </row>
    <row r="1006" spans="5:21" x14ac:dyDescent="0.35">
      <c r="E1006" s="135">
        <v>994</v>
      </c>
      <c r="F1006" s="135">
        <v>0</v>
      </c>
      <c r="G1006" s="141">
        <f t="shared" si="83"/>
        <v>0</v>
      </c>
      <c r="H1006" s="155">
        <f t="shared" si="84"/>
        <v>0</v>
      </c>
      <c r="I1006" s="142">
        <f t="shared" si="85"/>
        <v>0</v>
      </c>
      <c r="J1006" s="142">
        <f>0</f>
        <v>0</v>
      </c>
      <c r="K1006" s="142">
        <f t="shared" si="86"/>
        <v>0</v>
      </c>
      <c r="L1006" s="142">
        <f t="shared" si="87"/>
        <v>0</v>
      </c>
      <c r="T1006" s="144"/>
      <c r="U1006" s="144"/>
    </row>
    <row r="1007" spans="5:21" x14ac:dyDescent="0.35">
      <c r="E1007" s="135">
        <v>995</v>
      </c>
      <c r="F1007" s="135">
        <v>0</v>
      </c>
      <c r="G1007" s="141">
        <f t="shared" si="83"/>
        <v>0</v>
      </c>
      <c r="H1007" s="155">
        <f t="shared" si="84"/>
        <v>0</v>
      </c>
      <c r="I1007" s="142">
        <f t="shared" si="85"/>
        <v>0</v>
      </c>
      <c r="J1007" s="142">
        <f>0</f>
        <v>0</v>
      </c>
      <c r="K1007" s="142">
        <f t="shared" si="86"/>
        <v>0</v>
      </c>
      <c r="L1007" s="142">
        <f t="shared" si="87"/>
        <v>0</v>
      </c>
      <c r="T1007" s="144"/>
      <c r="U1007" s="144"/>
    </row>
    <row r="1008" spans="5:21" x14ac:dyDescent="0.35">
      <c r="E1008" s="135">
        <v>996</v>
      </c>
      <c r="F1008" s="135">
        <v>0</v>
      </c>
      <c r="G1008" s="141">
        <f t="shared" si="83"/>
        <v>0</v>
      </c>
      <c r="H1008" s="155">
        <f t="shared" si="84"/>
        <v>0</v>
      </c>
      <c r="I1008" s="142">
        <f t="shared" si="85"/>
        <v>0</v>
      </c>
      <c r="J1008" s="142">
        <f>0</f>
        <v>0</v>
      </c>
      <c r="K1008" s="142">
        <f t="shared" si="86"/>
        <v>0</v>
      </c>
      <c r="L1008" s="142">
        <f t="shared" si="87"/>
        <v>0</v>
      </c>
      <c r="T1008" s="144"/>
      <c r="U1008" s="144"/>
    </row>
    <row r="1009" spans="5:21" x14ac:dyDescent="0.35">
      <c r="E1009" s="135">
        <v>997</v>
      </c>
      <c r="F1009" s="135">
        <v>0</v>
      </c>
      <c r="G1009" s="141">
        <f t="shared" si="83"/>
        <v>0</v>
      </c>
      <c r="H1009" s="155">
        <f t="shared" si="84"/>
        <v>0</v>
      </c>
      <c r="I1009" s="142">
        <f t="shared" si="85"/>
        <v>0</v>
      </c>
      <c r="J1009" s="142">
        <f>0</f>
        <v>0</v>
      </c>
      <c r="K1009" s="142">
        <f t="shared" si="86"/>
        <v>0</v>
      </c>
      <c r="L1009" s="142">
        <f t="shared" si="87"/>
        <v>0</v>
      </c>
      <c r="T1009" s="144"/>
      <c r="U1009" s="144"/>
    </row>
    <row r="1010" spans="5:21" x14ac:dyDescent="0.35">
      <c r="E1010" s="135">
        <v>998</v>
      </c>
      <c r="F1010" s="135">
        <v>0</v>
      </c>
      <c r="G1010" s="141">
        <f t="shared" si="83"/>
        <v>0</v>
      </c>
      <c r="H1010" s="155">
        <f t="shared" si="84"/>
        <v>0</v>
      </c>
      <c r="I1010" s="142">
        <f t="shared" si="85"/>
        <v>0</v>
      </c>
      <c r="J1010" s="142">
        <f>0</f>
        <v>0</v>
      </c>
      <c r="K1010" s="142">
        <f t="shared" si="86"/>
        <v>0</v>
      </c>
      <c r="L1010" s="142">
        <f t="shared" si="87"/>
        <v>0</v>
      </c>
      <c r="T1010" s="144"/>
      <c r="U1010" s="144"/>
    </row>
    <row r="1011" spans="5:21" x14ac:dyDescent="0.35">
      <c r="E1011" s="135">
        <v>999</v>
      </c>
      <c r="F1011" s="135">
        <v>0</v>
      </c>
      <c r="G1011" s="141">
        <f t="shared" si="83"/>
        <v>0</v>
      </c>
      <c r="H1011" s="155">
        <f t="shared" si="84"/>
        <v>0</v>
      </c>
      <c r="I1011" s="142">
        <f t="shared" si="85"/>
        <v>0</v>
      </c>
      <c r="J1011" s="142">
        <f>0</f>
        <v>0</v>
      </c>
      <c r="K1011" s="142">
        <f t="shared" si="86"/>
        <v>0</v>
      </c>
      <c r="L1011" s="142">
        <f t="shared" si="87"/>
        <v>0</v>
      </c>
      <c r="T1011" s="144"/>
      <c r="U1011" s="144"/>
    </row>
    <row r="1012" spans="5:21" x14ac:dyDescent="0.35">
      <c r="E1012" s="135">
        <v>1000</v>
      </c>
      <c r="F1012" s="135">
        <v>0</v>
      </c>
      <c r="G1012" s="141">
        <f t="shared" si="83"/>
        <v>0</v>
      </c>
      <c r="H1012" s="155">
        <f t="shared" si="84"/>
        <v>0</v>
      </c>
      <c r="I1012" s="142">
        <f t="shared" si="85"/>
        <v>0</v>
      </c>
      <c r="J1012" s="142">
        <f>0</f>
        <v>0</v>
      </c>
      <c r="K1012" s="142">
        <f t="shared" si="86"/>
        <v>0</v>
      </c>
      <c r="L1012" s="142">
        <f t="shared" si="87"/>
        <v>0</v>
      </c>
      <c r="T1012" s="144"/>
      <c r="U1012" s="14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38611-286F-4BB7-A04C-098205DDDE8B}">
  <sheetPr codeName="Sheet11"/>
  <dimension ref="A1:M1013"/>
  <sheetViews>
    <sheetView topLeftCell="G1" workbookViewId="0">
      <selection activeCell="O11" sqref="O11"/>
    </sheetView>
  </sheetViews>
  <sheetFormatPr defaultRowHeight="15.5" x14ac:dyDescent="0.35"/>
  <cols>
    <col min="1" max="1" width="8.7265625" style="141"/>
    <col min="2" max="2" width="14.81640625" style="141" customWidth="1"/>
    <col min="3" max="3" width="15.81640625" style="141" customWidth="1"/>
    <col min="4" max="4" width="12.81640625" style="141" customWidth="1"/>
    <col min="5" max="5" width="11.81640625" style="141" customWidth="1"/>
    <col min="6" max="6" width="18" style="141" customWidth="1"/>
    <col min="7" max="7" width="24.36328125" style="141" customWidth="1"/>
    <col min="8" max="8" width="24.26953125" style="141" customWidth="1"/>
    <col min="9" max="9" width="20.81640625" style="141" customWidth="1"/>
    <col min="10" max="10" width="18.36328125" style="141" customWidth="1"/>
    <col min="11" max="11" width="19.6328125" style="141" customWidth="1"/>
    <col min="12" max="12" width="18.54296875" style="141" customWidth="1"/>
    <col min="13" max="13" width="8.7265625" style="141"/>
    <col min="14" max="16384" width="8.7265625" style="120"/>
  </cols>
  <sheetData>
    <row r="1" spans="1:12" x14ac:dyDescent="0.35">
      <c r="G1" s="141" t="s">
        <v>233</v>
      </c>
      <c r="I1" s="142"/>
      <c r="J1" s="142"/>
      <c r="K1" s="142"/>
      <c r="L1" s="142"/>
    </row>
    <row r="2" spans="1:12" x14ac:dyDescent="0.35">
      <c r="A2" s="141" t="s">
        <v>231</v>
      </c>
      <c r="G2" s="144">
        <f>40000*0.9*C4</f>
        <v>13430340</v>
      </c>
      <c r="J2" s="142"/>
      <c r="K2" s="142"/>
      <c r="L2" s="142"/>
    </row>
    <row r="3" spans="1:12" x14ac:dyDescent="0.35">
      <c r="A3" s="141" t="s">
        <v>230</v>
      </c>
      <c r="C3" s="141" t="s">
        <v>221</v>
      </c>
      <c r="I3" s="142"/>
      <c r="J3" s="142"/>
      <c r="K3" s="142"/>
      <c r="L3" s="142"/>
    </row>
    <row r="4" spans="1:12" ht="16" thickBot="1" x14ac:dyDescent="0.4">
      <c r="B4" s="141" t="s">
        <v>229</v>
      </c>
      <c r="C4" s="142">
        <f>ICER!H4</f>
        <v>373.065</v>
      </c>
      <c r="E4" s="121"/>
      <c r="I4" s="171" t="s">
        <v>224</v>
      </c>
      <c r="J4" s="142"/>
      <c r="K4" s="142"/>
      <c r="L4" s="142"/>
    </row>
    <row r="5" spans="1:12" ht="16" thickBot="1" x14ac:dyDescent="0.4">
      <c r="B5" s="141" t="s">
        <v>228</v>
      </c>
      <c r="C5" s="144">
        <f>ICER!H5</f>
        <v>14500000</v>
      </c>
      <c r="G5" s="142"/>
      <c r="H5" s="142"/>
      <c r="I5" s="174">
        <f>G11+H11</f>
        <v>4.4148336030139488</v>
      </c>
      <c r="J5" s="125"/>
      <c r="K5" s="142"/>
      <c r="L5" s="142"/>
    </row>
    <row r="6" spans="1:12" x14ac:dyDescent="0.35">
      <c r="B6" s="141" t="s">
        <v>225</v>
      </c>
      <c r="C6" s="142">
        <f>ICER!H6</f>
        <v>136632.93323927111</v>
      </c>
      <c r="I6" s="142"/>
      <c r="J6" s="124"/>
      <c r="K6" s="142"/>
      <c r="L6" s="142"/>
    </row>
    <row r="7" spans="1:12" x14ac:dyDescent="0.35">
      <c r="C7" s="142"/>
      <c r="I7" s="142"/>
      <c r="J7" s="142"/>
      <c r="K7" s="142"/>
      <c r="L7" s="142"/>
    </row>
    <row r="8" spans="1:12" x14ac:dyDescent="0.35">
      <c r="F8" s="141" t="s">
        <v>223</v>
      </c>
      <c r="G8" s="123"/>
      <c r="H8" s="123"/>
      <c r="I8" s="122"/>
      <c r="J8" s="122"/>
      <c r="K8" s="122"/>
      <c r="L8" s="122"/>
    </row>
    <row r="9" spans="1:12" x14ac:dyDescent="0.35">
      <c r="A9" s="141" t="s">
        <v>222</v>
      </c>
      <c r="C9" s="141" t="s">
        <v>221</v>
      </c>
      <c r="F9" s="150">
        <f t="shared" ref="F9" si="0">MAX(F14:F73253)</f>
        <v>2</v>
      </c>
      <c r="G9" s="151"/>
      <c r="H9" s="150"/>
      <c r="I9" s="142"/>
      <c r="J9" s="142"/>
      <c r="K9" s="142"/>
      <c r="L9" s="142"/>
    </row>
    <row r="10" spans="1:12" ht="16" thickBot="1" x14ac:dyDescent="0.4">
      <c r="B10" s="141" t="s">
        <v>220</v>
      </c>
      <c r="C10" s="143">
        <f>ICER!H9</f>
        <v>23.813582244547764</v>
      </c>
      <c r="E10" s="141" t="s">
        <v>232</v>
      </c>
      <c r="F10" s="141" t="s">
        <v>218</v>
      </c>
      <c r="G10" s="171" t="s">
        <v>217</v>
      </c>
      <c r="H10" s="171" t="s">
        <v>216</v>
      </c>
      <c r="I10" s="168" t="s">
        <v>215</v>
      </c>
      <c r="J10" s="168" t="s">
        <v>272</v>
      </c>
      <c r="K10" s="168" t="s">
        <v>213</v>
      </c>
      <c r="L10" s="168" t="s">
        <v>212</v>
      </c>
    </row>
    <row r="11" spans="1:12" ht="16" thickBot="1" x14ac:dyDescent="0.4">
      <c r="E11" s="141">
        <f>COUNTIF(F14:F1013,"&gt;1")</f>
        <v>6</v>
      </c>
      <c r="F11" s="137">
        <f>SUM(F14:F73254)</f>
        <v>135</v>
      </c>
      <c r="G11" s="172">
        <f t="shared" ref="G11:L11" si="1">AVERAGE(G14:G73254)</f>
        <v>3.214833603013949</v>
      </c>
      <c r="H11" s="173">
        <f t="shared" si="1"/>
        <v>1.2</v>
      </c>
      <c r="I11" s="175">
        <f t="shared" si="1"/>
        <v>13517340</v>
      </c>
      <c r="J11" s="176">
        <f t="shared" si="1"/>
        <v>0</v>
      </c>
      <c r="K11" s="175">
        <f t="shared" si="1"/>
        <v>18445.44598730162</v>
      </c>
      <c r="L11" s="177">
        <f t="shared" si="1"/>
        <v>13535785.445987279</v>
      </c>
    </row>
    <row r="12" spans="1:12" x14ac:dyDescent="0.35">
      <c r="B12" s="141" t="s">
        <v>211</v>
      </c>
      <c r="I12" s="156"/>
      <c r="J12" s="156"/>
      <c r="K12" s="156"/>
      <c r="L12" s="156"/>
    </row>
    <row r="13" spans="1:12" x14ac:dyDescent="0.35">
      <c r="B13" s="141" t="s">
        <v>210</v>
      </c>
      <c r="C13" s="141">
        <f>ICER!H11</f>
        <v>0.04</v>
      </c>
      <c r="E13" s="141" t="s">
        <v>209</v>
      </c>
      <c r="F13" s="141" t="s">
        <v>208</v>
      </c>
      <c r="G13" s="141" t="s">
        <v>207</v>
      </c>
      <c r="H13" s="141" t="s">
        <v>206</v>
      </c>
      <c r="I13" s="142" t="s">
        <v>205</v>
      </c>
      <c r="J13" s="142" t="s">
        <v>204</v>
      </c>
      <c r="K13" s="142" t="s">
        <v>203</v>
      </c>
      <c r="L13" s="142" t="s">
        <v>202</v>
      </c>
    </row>
    <row r="14" spans="1:12" x14ac:dyDescent="0.35">
      <c r="B14" s="141" t="s">
        <v>201</v>
      </c>
      <c r="C14" s="141">
        <f>ICER!H12</f>
        <v>0.01</v>
      </c>
      <c r="E14" s="135">
        <v>1</v>
      </c>
      <c r="F14" s="135">
        <v>0</v>
      </c>
      <c r="G14" s="141">
        <f t="shared" ref="G14:G77" si="2">F14*$C$10</f>
        <v>0</v>
      </c>
      <c r="H14" s="155">
        <f t="shared" ref="H14:H77" si="3">IF(F14 &gt; 1,$C$14*20000,0)</f>
        <v>0</v>
      </c>
      <c r="I14" s="142">
        <f t="shared" ref="I14:I77" si="4">IF(F14 &gt; 1,$C$5+$G$2,$G$2)</f>
        <v>13430340</v>
      </c>
      <c r="J14" s="142">
        <v>0</v>
      </c>
      <c r="K14" s="142">
        <f t="shared" ref="K14:K77" si="5">F14*$C$6</f>
        <v>0</v>
      </c>
      <c r="L14" s="142">
        <f t="shared" ref="L14:L77" si="6">J14+I14+K14</f>
        <v>13430340</v>
      </c>
    </row>
    <row r="15" spans="1:12" x14ac:dyDescent="0.35">
      <c r="E15" s="135">
        <v>2</v>
      </c>
      <c r="F15" s="135">
        <v>1</v>
      </c>
      <c r="G15" s="141">
        <f t="shared" si="2"/>
        <v>23.813582244547764</v>
      </c>
      <c r="H15" s="155">
        <f t="shared" si="3"/>
        <v>0</v>
      </c>
      <c r="I15" s="142">
        <f t="shared" si="4"/>
        <v>13430340</v>
      </c>
      <c r="J15" s="142">
        <v>0</v>
      </c>
      <c r="K15" s="142">
        <f t="shared" si="5"/>
        <v>136632.93323927111</v>
      </c>
      <c r="L15" s="142">
        <f t="shared" si="6"/>
        <v>13566972.933239272</v>
      </c>
    </row>
    <row r="16" spans="1:12" x14ac:dyDescent="0.35">
      <c r="E16" s="135">
        <v>3</v>
      </c>
      <c r="F16" s="135">
        <v>0</v>
      </c>
      <c r="G16" s="141">
        <f t="shared" si="2"/>
        <v>0</v>
      </c>
      <c r="H16" s="155">
        <f t="shared" si="3"/>
        <v>0</v>
      </c>
      <c r="I16" s="142">
        <f t="shared" si="4"/>
        <v>13430340</v>
      </c>
      <c r="J16" s="142">
        <v>0</v>
      </c>
      <c r="K16" s="142">
        <f t="shared" si="5"/>
        <v>0</v>
      </c>
      <c r="L16" s="142">
        <f t="shared" si="6"/>
        <v>13430340</v>
      </c>
    </row>
    <row r="17" spans="5:12" x14ac:dyDescent="0.35">
      <c r="E17" s="135">
        <v>4</v>
      </c>
      <c r="F17" s="135">
        <v>0</v>
      </c>
      <c r="G17" s="141">
        <f t="shared" si="2"/>
        <v>0</v>
      </c>
      <c r="H17" s="155">
        <f t="shared" si="3"/>
        <v>0</v>
      </c>
      <c r="I17" s="142">
        <f t="shared" si="4"/>
        <v>13430340</v>
      </c>
      <c r="J17" s="142">
        <v>0</v>
      </c>
      <c r="K17" s="142">
        <f t="shared" si="5"/>
        <v>0</v>
      </c>
      <c r="L17" s="142">
        <f t="shared" si="6"/>
        <v>13430340</v>
      </c>
    </row>
    <row r="18" spans="5:12" x14ac:dyDescent="0.35">
      <c r="E18" s="135">
        <v>5</v>
      </c>
      <c r="F18" s="135">
        <v>0</v>
      </c>
      <c r="G18" s="141">
        <f t="shared" si="2"/>
        <v>0</v>
      </c>
      <c r="H18" s="155">
        <f t="shared" si="3"/>
        <v>0</v>
      </c>
      <c r="I18" s="142">
        <f t="shared" si="4"/>
        <v>13430340</v>
      </c>
      <c r="J18" s="142">
        <v>0</v>
      </c>
      <c r="K18" s="142">
        <f t="shared" si="5"/>
        <v>0</v>
      </c>
      <c r="L18" s="142">
        <f t="shared" si="6"/>
        <v>13430340</v>
      </c>
    </row>
    <row r="19" spans="5:12" x14ac:dyDescent="0.35">
      <c r="E19" s="135">
        <v>6</v>
      </c>
      <c r="F19" s="135">
        <v>0</v>
      </c>
      <c r="G19" s="141">
        <f t="shared" si="2"/>
        <v>0</v>
      </c>
      <c r="H19" s="155">
        <f t="shared" si="3"/>
        <v>0</v>
      </c>
      <c r="I19" s="142">
        <f t="shared" si="4"/>
        <v>13430340</v>
      </c>
      <c r="J19" s="142">
        <v>0</v>
      </c>
      <c r="K19" s="142">
        <f t="shared" si="5"/>
        <v>0</v>
      </c>
      <c r="L19" s="142">
        <f t="shared" si="6"/>
        <v>13430340</v>
      </c>
    </row>
    <row r="20" spans="5:12" x14ac:dyDescent="0.35">
      <c r="E20" s="135">
        <v>7</v>
      </c>
      <c r="F20" s="135">
        <v>0</v>
      </c>
      <c r="G20" s="141">
        <f t="shared" si="2"/>
        <v>0</v>
      </c>
      <c r="H20" s="155">
        <f t="shared" si="3"/>
        <v>0</v>
      </c>
      <c r="I20" s="142">
        <f t="shared" si="4"/>
        <v>13430340</v>
      </c>
      <c r="J20" s="142">
        <v>0</v>
      </c>
      <c r="K20" s="142">
        <f t="shared" si="5"/>
        <v>0</v>
      </c>
      <c r="L20" s="142">
        <f t="shared" si="6"/>
        <v>13430340</v>
      </c>
    </row>
    <row r="21" spans="5:12" x14ac:dyDescent="0.35">
      <c r="E21" s="135">
        <v>8</v>
      </c>
      <c r="F21" s="135">
        <v>0</v>
      </c>
      <c r="G21" s="141">
        <f t="shared" si="2"/>
        <v>0</v>
      </c>
      <c r="H21" s="155">
        <f t="shared" si="3"/>
        <v>0</v>
      </c>
      <c r="I21" s="142">
        <f t="shared" si="4"/>
        <v>13430340</v>
      </c>
      <c r="J21" s="142">
        <v>0</v>
      </c>
      <c r="K21" s="142">
        <f t="shared" si="5"/>
        <v>0</v>
      </c>
      <c r="L21" s="142">
        <f t="shared" si="6"/>
        <v>13430340</v>
      </c>
    </row>
    <row r="22" spans="5:12" x14ac:dyDescent="0.35">
      <c r="E22" s="135">
        <v>9</v>
      </c>
      <c r="F22" s="135">
        <v>0</v>
      </c>
      <c r="G22" s="141">
        <f t="shared" si="2"/>
        <v>0</v>
      </c>
      <c r="H22" s="155">
        <f t="shared" si="3"/>
        <v>0</v>
      </c>
      <c r="I22" s="142">
        <f t="shared" si="4"/>
        <v>13430340</v>
      </c>
      <c r="J22" s="142">
        <v>0</v>
      </c>
      <c r="K22" s="142">
        <f t="shared" si="5"/>
        <v>0</v>
      </c>
      <c r="L22" s="142">
        <f t="shared" si="6"/>
        <v>13430340</v>
      </c>
    </row>
    <row r="23" spans="5:12" x14ac:dyDescent="0.35">
      <c r="E23" s="135">
        <v>10</v>
      </c>
      <c r="F23" s="135">
        <v>0</v>
      </c>
      <c r="G23" s="141">
        <f t="shared" si="2"/>
        <v>0</v>
      </c>
      <c r="H23" s="155">
        <f t="shared" si="3"/>
        <v>0</v>
      </c>
      <c r="I23" s="142">
        <f t="shared" si="4"/>
        <v>13430340</v>
      </c>
      <c r="J23" s="142">
        <v>0</v>
      </c>
      <c r="K23" s="142">
        <f t="shared" si="5"/>
        <v>0</v>
      </c>
      <c r="L23" s="142">
        <f t="shared" si="6"/>
        <v>13430340</v>
      </c>
    </row>
    <row r="24" spans="5:12" x14ac:dyDescent="0.35">
      <c r="E24" s="135">
        <v>11</v>
      </c>
      <c r="F24" s="135">
        <v>1</v>
      </c>
      <c r="G24" s="141">
        <f t="shared" si="2"/>
        <v>23.813582244547764</v>
      </c>
      <c r="H24" s="155">
        <f t="shared" si="3"/>
        <v>0</v>
      </c>
      <c r="I24" s="142">
        <f t="shared" si="4"/>
        <v>13430340</v>
      </c>
      <c r="J24" s="142">
        <v>0</v>
      </c>
      <c r="K24" s="142">
        <f t="shared" si="5"/>
        <v>136632.93323927111</v>
      </c>
      <c r="L24" s="142">
        <f t="shared" si="6"/>
        <v>13566972.933239272</v>
      </c>
    </row>
    <row r="25" spans="5:12" x14ac:dyDescent="0.35">
      <c r="E25" s="135">
        <v>12</v>
      </c>
      <c r="F25" s="135">
        <v>0</v>
      </c>
      <c r="G25" s="141">
        <f t="shared" si="2"/>
        <v>0</v>
      </c>
      <c r="H25" s="155">
        <f t="shared" si="3"/>
        <v>0</v>
      </c>
      <c r="I25" s="142">
        <f t="shared" si="4"/>
        <v>13430340</v>
      </c>
      <c r="J25" s="142">
        <v>0</v>
      </c>
      <c r="K25" s="142">
        <f t="shared" si="5"/>
        <v>0</v>
      </c>
      <c r="L25" s="142">
        <f t="shared" si="6"/>
        <v>13430340</v>
      </c>
    </row>
    <row r="26" spans="5:12" x14ac:dyDescent="0.35">
      <c r="E26" s="135">
        <v>13</v>
      </c>
      <c r="F26" s="135">
        <v>0</v>
      </c>
      <c r="G26" s="141">
        <f t="shared" si="2"/>
        <v>0</v>
      </c>
      <c r="H26" s="155">
        <f t="shared" si="3"/>
        <v>0</v>
      </c>
      <c r="I26" s="142">
        <f t="shared" si="4"/>
        <v>13430340</v>
      </c>
      <c r="J26" s="142">
        <v>0</v>
      </c>
      <c r="K26" s="142">
        <f t="shared" si="5"/>
        <v>0</v>
      </c>
      <c r="L26" s="142">
        <f t="shared" si="6"/>
        <v>13430340</v>
      </c>
    </row>
    <row r="27" spans="5:12" x14ac:dyDescent="0.35">
      <c r="E27" s="135">
        <v>14</v>
      </c>
      <c r="F27" s="135">
        <v>0</v>
      </c>
      <c r="G27" s="141">
        <f t="shared" si="2"/>
        <v>0</v>
      </c>
      <c r="H27" s="155">
        <f t="shared" si="3"/>
        <v>0</v>
      </c>
      <c r="I27" s="142">
        <f t="shared" si="4"/>
        <v>13430340</v>
      </c>
      <c r="J27" s="142">
        <v>0</v>
      </c>
      <c r="K27" s="142">
        <f t="shared" si="5"/>
        <v>0</v>
      </c>
      <c r="L27" s="142">
        <f t="shared" si="6"/>
        <v>13430340</v>
      </c>
    </row>
    <row r="28" spans="5:12" x14ac:dyDescent="0.35">
      <c r="E28" s="135">
        <v>15</v>
      </c>
      <c r="F28" s="135">
        <v>0</v>
      </c>
      <c r="G28" s="141">
        <f t="shared" si="2"/>
        <v>0</v>
      </c>
      <c r="H28" s="155">
        <f t="shared" si="3"/>
        <v>0</v>
      </c>
      <c r="I28" s="142">
        <f t="shared" si="4"/>
        <v>13430340</v>
      </c>
      <c r="J28" s="142">
        <v>0</v>
      </c>
      <c r="K28" s="142">
        <f t="shared" si="5"/>
        <v>0</v>
      </c>
      <c r="L28" s="142">
        <f t="shared" si="6"/>
        <v>13430340</v>
      </c>
    </row>
    <row r="29" spans="5:12" x14ac:dyDescent="0.35">
      <c r="E29" s="135">
        <v>16</v>
      </c>
      <c r="F29" s="135">
        <v>1</v>
      </c>
      <c r="G29" s="141">
        <f t="shared" si="2"/>
        <v>23.813582244547764</v>
      </c>
      <c r="H29" s="155">
        <f t="shared" si="3"/>
        <v>0</v>
      </c>
      <c r="I29" s="142">
        <f t="shared" si="4"/>
        <v>13430340</v>
      </c>
      <c r="J29" s="142">
        <v>0</v>
      </c>
      <c r="K29" s="142">
        <f t="shared" si="5"/>
        <v>136632.93323927111</v>
      </c>
      <c r="L29" s="142">
        <f t="shared" si="6"/>
        <v>13566972.933239272</v>
      </c>
    </row>
    <row r="30" spans="5:12" x14ac:dyDescent="0.35">
      <c r="E30" s="135">
        <v>17</v>
      </c>
      <c r="F30" s="135">
        <v>0</v>
      </c>
      <c r="G30" s="141">
        <f t="shared" si="2"/>
        <v>0</v>
      </c>
      <c r="H30" s="155">
        <f t="shared" si="3"/>
        <v>0</v>
      </c>
      <c r="I30" s="142">
        <f t="shared" si="4"/>
        <v>13430340</v>
      </c>
      <c r="J30" s="142">
        <v>0</v>
      </c>
      <c r="K30" s="142">
        <f t="shared" si="5"/>
        <v>0</v>
      </c>
      <c r="L30" s="142">
        <f t="shared" si="6"/>
        <v>13430340</v>
      </c>
    </row>
    <row r="31" spans="5:12" x14ac:dyDescent="0.35">
      <c r="E31" s="135">
        <v>18</v>
      </c>
      <c r="F31" s="135">
        <v>0</v>
      </c>
      <c r="G31" s="141">
        <f t="shared" si="2"/>
        <v>0</v>
      </c>
      <c r="H31" s="155">
        <f t="shared" si="3"/>
        <v>0</v>
      </c>
      <c r="I31" s="142">
        <f t="shared" si="4"/>
        <v>13430340</v>
      </c>
      <c r="J31" s="142">
        <v>0</v>
      </c>
      <c r="K31" s="142">
        <f t="shared" si="5"/>
        <v>0</v>
      </c>
      <c r="L31" s="142">
        <f t="shared" si="6"/>
        <v>13430340</v>
      </c>
    </row>
    <row r="32" spans="5:12" x14ac:dyDescent="0.35">
      <c r="E32" s="135">
        <v>19</v>
      </c>
      <c r="F32" s="135">
        <v>1</v>
      </c>
      <c r="G32" s="141">
        <f t="shared" si="2"/>
        <v>23.813582244547764</v>
      </c>
      <c r="H32" s="155">
        <f t="shared" si="3"/>
        <v>0</v>
      </c>
      <c r="I32" s="142">
        <f t="shared" si="4"/>
        <v>13430340</v>
      </c>
      <c r="J32" s="142">
        <v>0</v>
      </c>
      <c r="K32" s="142">
        <f t="shared" si="5"/>
        <v>136632.93323927111</v>
      </c>
      <c r="L32" s="142">
        <f t="shared" si="6"/>
        <v>13566972.933239272</v>
      </c>
    </row>
    <row r="33" spans="5:12" x14ac:dyDescent="0.35">
      <c r="E33" s="135">
        <v>20</v>
      </c>
      <c r="F33" s="135">
        <v>0</v>
      </c>
      <c r="G33" s="141">
        <f t="shared" si="2"/>
        <v>0</v>
      </c>
      <c r="H33" s="155">
        <f t="shared" si="3"/>
        <v>0</v>
      </c>
      <c r="I33" s="142">
        <f t="shared" si="4"/>
        <v>13430340</v>
      </c>
      <c r="J33" s="142">
        <v>0</v>
      </c>
      <c r="K33" s="142">
        <f t="shared" si="5"/>
        <v>0</v>
      </c>
      <c r="L33" s="142">
        <f t="shared" si="6"/>
        <v>13430340</v>
      </c>
    </row>
    <row r="34" spans="5:12" x14ac:dyDescent="0.35">
      <c r="E34" s="135">
        <v>21</v>
      </c>
      <c r="F34" s="135">
        <v>1</v>
      </c>
      <c r="G34" s="141">
        <f t="shared" si="2"/>
        <v>23.813582244547764</v>
      </c>
      <c r="H34" s="155">
        <f t="shared" si="3"/>
        <v>0</v>
      </c>
      <c r="I34" s="142">
        <f t="shared" si="4"/>
        <v>13430340</v>
      </c>
      <c r="J34" s="142">
        <v>0</v>
      </c>
      <c r="K34" s="142">
        <f t="shared" si="5"/>
        <v>136632.93323927111</v>
      </c>
      <c r="L34" s="142">
        <f t="shared" si="6"/>
        <v>13566972.933239272</v>
      </c>
    </row>
    <row r="35" spans="5:12" x14ac:dyDescent="0.35">
      <c r="E35" s="135">
        <v>22</v>
      </c>
      <c r="F35" s="135">
        <v>0</v>
      </c>
      <c r="G35" s="141">
        <f t="shared" si="2"/>
        <v>0</v>
      </c>
      <c r="H35" s="155">
        <f t="shared" si="3"/>
        <v>0</v>
      </c>
      <c r="I35" s="142">
        <f t="shared" si="4"/>
        <v>13430340</v>
      </c>
      <c r="J35" s="142">
        <v>0</v>
      </c>
      <c r="K35" s="142">
        <f t="shared" si="5"/>
        <v>0</v>
      </c>
      <c r="L35" s="142">
        <f t="shared" si="6"/>
        <v>13430340</v>
      </c>
    </row>
    <row r="36" spans="5:12" x14ac:dyDescent="0.35">
      <c r="E36" s="135">
        <v>23</v>
      </c>
      <c r="F36" s="135">
        <v>0</v>
      </c>
      <c r="G36" s="141">
        <f t="shared" si="2"/>
        <v>0</v>
      </c>
      <c r="H36" s="155">
        <f t="shared" si="3"/>
        <v>0</v>
      </c>
      <c r="I36" s="142">
        <f t="shared" si="4"/>
        <v>13430340</v>
      </c>
      <c r="J36" s="142">
        <v>0</v>
      </c>
      <c r="K36" s="142">
        <f t="shared" si="5"/>
        <v>0</v>
      </c>
      <c r="L36" s="142">
        <f t="shared" si="6"/>
        <v>13430340</v>
      </c>
    </row>
    <row r="37" spans="5:12" x14ac:dyDescent="0.35">
      <c r="E37" s="135">
        <v>24</v>
      </c>
      <c r="F37" s="135">
        <v>1</v>
      </c>
      <c r="G37" s="141">
        <f t="shared" si="2"/>
        <v>23.813582244547764</v>
      </c>
      <c r="H37" s="155">
        <f t="shared" si="3"/>
        <v>0</v>
      </c>
      <c r="I37" s="142">
        <f t="shared" si="4"/>
        <v>13430340</v>
      </c>
      <c r="J37" s="142">
        <v>0</v>
      </c>
      <c r="K37" s="142">
        <f t="shared" si="5"/>
        <v>136632.93323927111</v>
      </c>
      <c r="L37" s="142">
        <f t="shared" si="6"/>
        <v>13566972.933239272</v>
      </c>
    </row>
    <row r="38" spans="5:12" x14ac:dyDescent="0.35">
      <c r="E38" s="135">
        <v>25</v>
      </c>
      <c r="F38" s="135">
        <v>0</v>
      </c>
      <c r="G38" s="141">
        <f t="shared" si="2"/>
        <v>0</v>
      </c>
      <c r="H38" s="155">
        <f t="shared" si="3"/>
        <v>0</v>
      </c>
      <c r="I38" s="142">
        <f t="shared" si="4"/>
        <v>13430340</v>
      </c>
      <c r="J38" s="142">
        <v>0</v>
      </c>
      <c r="K38" s="142">
        <f t="shared" si="5"/>
        <v>0</v>
      </c>
      <c r="L38" s="142">
        <f t="shared" si="6"/>
        <v>13430340</v>
      </c>
    </row>
    <row r="39" spans="5:12" x14ac:dyDescent="0.35">
      <c r="E39" s="135">
        <v>26</v>
      </c>
      <c r="F39" s="135">
        <v>0</v>
      </c>
      <c r="G39" s="141">
        <f t="shared" si="2"/>
        <v>0</v>
      </c>
      <c r="H39" s="155">
        <f t="shared" si="3"/>
        <v>0</v>
      </c>
      <c r="I39" s="142">
        <f t="shared" si="4"/>
        <v>13430340</v>
      </c>
      <c r="J39" s="142">
        <v>0</v>
      </c>
      <c r="K39" s="142">
        <f t="shared" si="5"/>
        <v>0</v>
      </c>
      <c r="L39" s="142">
        <f t="shared" si="6"/>
        <v>13430340</v>
      </c>
    </row>
    <row r="40" spans="5:12" x14ac:dyDescent="0.35">
      <c r="E40" s="135">
        <v>27</v>
      </c>
      <c r="F40" s="135">
        <v>0</v>
      </c>
      <c r="G40" s="141">
        <f t="shared" si="2"/>
        <v>0</v>
      </c>
      <c r="H40" s="155">
        <f t="shared" si="3"/>
        <v>0</v>
      </c>
      <c r="I40" s="142">
        <f t="shared" si="4"/>
        <v>13430340</v>
      </c>
      <c r="J40" s="142">
        <v>0</v>
      </c>
      <c r="K40" s="142">
        <f t="shared" si="5"/>
        <v>0</v>
      </c>
      <c r="L40" s="142">
        <f t="shared" si="6"/>
        <v>13430340</v>
      </c>
    </row>
    <row r="41" spans="5:12" x14ac:dyDescent="0.35">
      <c r="E41" s="135">
        <v>28</v>
      </c>
      <c r="F41" s="135">
        <v>0</v>
      </c>
      <c r="G41" s="141">
        <f t="shared" si="2"/>
        <v>0</v>
      </c>
      <c r="H41" s="155">
        <f t="shared" si="3"/>
        <v>0</v>
      </c>
      <c r="I41" s="142">
        <f t="shared" si="4"/>
        <v>13430340</v>
      </c>
      <c r="J41" s="142">
        <v>0</v>
      </c>
      <c r="K41" s="142">
        <f t="shared" si="5"/>
        <v>0</v>
      </c>
      <c r="L41" s="142">
        <f t="shared" si="6"/>
        <v>13430340</v>
      </c>
    </row>
    <row r="42" spans="5:12" x14ac:dyDescent="0.35">
      <c r="E42" s="135">
        <v>29</v>
      </c>
      <c r="F42" s="135">
        <v>1</v>
      </c>
      <c r="G42" s="141">
        <f t="shared" si="2"/>
        <v>23.813582244547764</v>
      </c>
      <c r="H42" s="155">
        <f t="shared" si="3"/>
        <v>0</v>
      </c>
      <c r="I42" s="142">
        <f t="shared" si="4"/>
        <v>13430340</v>
      </c>
      <c r="J42" s="142">
        <v>0</v>
      </c>
      <c r="K42" s="142">
        <f t="shared" si="5"/>
        <v>136632.93323927111</v>
      </c>
      <c r="L42" s="142">
        <f t="shared" si="6"/>
        <v>13566972.933239272</v>
      </c>
    </row>
    <row r="43" spans="5:12" x14ac:dyDescent="0.35">
      <c r="E43" s="135">
        <v>30</v>
      </c>
      <c r="F43" s="135">
        <v>0</v>
      </c>
      <c r="G43" s="141">
        <f t="shared" si="2"/>
        <v>0</v>
      </c>
      <c r="H43" s="155">
        <f t="shared" si="3"/>
        <v>0</v>
      </c>
      <c r="I43" s="142">
        <f t="shared" si="4"/>
        <v>13430340</v>
      </c>
      <c r="J43" s="142">
        <v>0</v>
      </c>
      <c r="K43" s="142">
        <f t="shared" si="5"/>
        <v>0</v>
      </c>
      <c r="L43" s="142">
        <f t="shared" si="6"/>
        <v>13430340</v>
      </c>
    </row>
    <row r="44" spans="5:12" x14ac:dyDescent="0.35">
      <c r="E44" s="135">
        <v>31</v>
      </c>
      <c r="F44" s="135">
        <v>0</v>
      </c>
      <c r="G44" s="141">
        <f t="shared" si="2"/>
        <v>0</v>
      </c>
      <c r="H44" s="155">
        <f t="shared" si="3"/>
        <v>0</v>
      </c>
      <c r="I44" s="142">
        <f t="shared" si="4"/>
        <v>13430340</v>
      </c>
      <c r="J44" s="142">
        <v>0</v>
      </c>
      <c r="K44" s="142">
        <f t="shared" si="5"/>
        <v>0</v>
      </c>
      <c r="L44" s="142">
        <f t="shared" si="6"/>
        <v>13430340</v>
      </c>
    </row>
    <row r="45" spans="5:12" x14ac:dyDescent="0.35">
      <c r="E45" s="135">
        <v>32</v>
      </c>
      <c r="F45" s="135">
        <v>0</v>
      </c>
      <c r="G45" s="141">
        <f t="shared" si="2"/>
        <v>0</v>
      </c>
      <c r="H45" s="155">
        <f t="shared" si="3"/>
        <v>0</v>
      </c>
      <c r="I45" s="142">
        <f t="shared" si="4"/>
        <v>13430340</v>
      </c>
      <c r="J45" s="142">
        <v>0</v>
      </c>
      <c r="K45" s="142">
        <f t="shared" si="5"/>
        <v>0</v>
      </c>
      <c r="L45" s="142">
        <f t="shared" si="6"/>
        <v>13430340</v>
      </c>
    </row>
    <row r="46" spans="5:12" x14ac:dyDescent="0.35">
      <c r="E46" s="135">
        <v>33</v>
      </c>
      <c r="F46" s="135">
        <v>0</v>
      </c>
      <c r="G46" s="141">
        <f t="shared" si="2"/>
        <v>0</v>
      </c>
      <c r="H46" s="155">
        <f t="shared" si="3"/>
        <v>0</v>
      </c>
      <c r="I46" s="142">
        <f t="shared" si="4"/>
        <v>13430340</v>
      </c>
      <c r="J46" s="142">
        <v>0</v>
      </c>
      <c r="K46" s="142">
        <f t="shared" si="5"/>
        <v>0</v>
      </c>
      <c r="L46" s="142">
        <f t="shared" si="6"/>
        <v>13430340</v>
      </c>
    </row>
    <row r="47" spans="5:12" x14ac:dyDescent="0.35">
      <c r="E47" s="135">
        <v>34</v>
      </c>
      <c r="F47" s="135">
        <v>0</v>
      </c>
      <c r="G47" s="141">
        <f t="shared" si="2"/>
        <v>0</v>
      </c>
      <c r="H47" s="155">
        <f t="shared" si="3"/>
        <v>0</v>
      </c>
      <c r="I47" s="142">
        <f t="shared" si="4"/>
        <v>13430340</v>
      </c>
      <c r="J47" s="142">
        <v>0</v>
      </c>
      <c r="K47" s="142">
        <f t="shared" si="5"/>
        <v>0</v>
      </c>
      <c r="L47" s="142">
        <f t="shared" si="6"/>
        <v>13430340</v>
      </c>
    </row>
    <row r="48" spans="5:12" x14ac:dyDescent="0.35">
      <c r="E48" s="135">
        <v>35</v>
      </c>
      <c r="F48" s="135">
        <v>0</v>
      </c>
      <c r="G48" s="141">
        <f t="shared" si="2"/>
        <v>0</v>
      </c>
      <c r="H48" s="155">
        <f t="shared" si="3"/>
        <v>0</v>
      </c>
      <c r="I48" s="142">
        <f t="shared" si="4"/>
        <v>13430340</v>
      </c>
      <c r="J48" s="142">
        <v>0</v>
      </c>
      <c r="K48" s="142">
        <f t="shared" si="5"/>
        <v>0</v>
      </c>
      <c r="L48" s="142">
        <f t="shared" si="6"/>
        <v>13430340</v>
      </c>
    </row>
    <row r="49" spans="5:12" x14ac:dyDescent="0.35">
      <c r="E49" s="135">
        <v>36</v>
      </c>
      <c r="F49" s="135">
        <v>0</v>
      </c>
      <c r="G49" s="141">
        <f t="shared" si="2"/>
        <v>0</v>
      </c>
      <c r="H49" s="155">
        <f t="shared" si="3"/>
        <v>0</v>
      </c>
      <c r="I49" s="142">
        <f t="shared" si="4"/>
        <v>13430340</v>
      </c>
      <c r="J49" s="142">
        <v>0</v>
      </c>
      <c r="K49" s="142">
        <f t="shared" si="5"/>
        <v>0</v>
      </c>
      <c r="L49" s="142">
        <f t="shared" si="6"/>
        <v>13430340</v>
      </c>
    </row>
    <row r="50" spans="5:12" x14ac:dyDescent="0.35">
      <c r="E50" s="135">
        <v>37</v>
      </c>
      <c r="F50" s="135">
        <v>0</v>
      </c>
      <c r="G50" s="141">
        <f t="shared" si="2"/>
        <v>0</v>
      </c>
      <c r="H50" s="155">
        <f t="shared" si="3"/>
        <v>0</v>
      </c>
      <c r="I50" s="142">
        <f t="shared" si="4"/>
        <v>13430340</v>
      </c>
      <c r="J50" s="142">
        <v>0</v>
      </c>
      <c r="K50" s="142">
        <f t="shared" si="5"/>
        <v>0</v>
      </c>
      <c r="L50" s="142">
        <f t="shared" si="6"/>
        <v>13430340</v>
      </c>
    </row>
    <row r="51" spans="5:12" x14ac:dyDescent="0.35">
      <c r="E51" s="135">
        <v>38</v>
      </c>
      <c r="F51" s="135">
        <v>0</v>
      </c>
      <c r="G51" s="141">
        <f t="shared" si="2"/>
        <v>0</v>
      </c>
      <c r="H51" s="155">
        <f t="shared" si="3"/>
        <v>0</v>
      </c>
      <c r="I51" s="142">
        <f t="shared" si="4"/>
        <v>13430340</v>
      </c>
      <c r="J51" s="142">
        <v>0</v>
      </c>
      <c r="K51" s="142">
        <f t="shared" si="5"/>
        <v>0</v>
      </c>
      <c r="L51" s="142">
        <f t="shared" si="6"/>
        <v>13430340</v>
      </c>
    </row>
    <row r="52" spans="5:12" x14ac:dyDescent="0.35">
      <c r="E52" s="135">
        <v>39</v>
      </c>
      <c r="F52" s="135">
        <v>0</v>
      </c>
      <c r="G52" s="141">
        <f t="shared" si="2"/>
        <v>0</v>
      </c>
      <c r="H52" s="155">
        <f t="shared" si="3"/>
        <v>0</v>
      </c>
      <c r="I52" s="142">
        <f t="shared" si="4"/>
        <v>13430340</v>
      </c>
      <c r="J52" s="142">
        <v>0</v>
      </c>
      <c r="K52" s="142">
        <f t="shared" si="5"/>
        <v>0</v>
      </c>
      <c r="L52" s="142">
        <f t="shared" si="6"/>
        <v>13430340</v>
      </c>
    </row>
    <row r="53" spans="5:12" x14ac:dyDescent="0.35">
      <c r="E53" s="135">
        <v>40</v>
      </c>
      <c r="F53" s="135">
        <v>1</v>
      </c>
      <c r="G53" s="141">
        <f t="shared" si="2"/>
        <v>23.813582244547764</v>
      </c>
      <c r="H53" s="155">
        <f t="shared" si="3"/>
        <v>0</v>
      </c>
      <c r="I53" s="142">
        <f t="shared" si="4"/>
        <v>13430340</v>
      </c>
      <c r="J53" s="142">
        <v>0</v>
      </c>
      <c r="K53" s="142">
        <f t="shared" si="5"/>
        <v>136632.93323927111</v>
      </c>
      <c r="L53" s="142">
        <f t="shared" si="6"/>
        <v>13566972.933239272</v>
      </c>
    </row>
    <row r="54" spans="5:12" x14ac:dyDescent="0.35">
      <c r="E54" s="135">
        <v>41</v>
      </c>
      <c r="F54" s="135">
        <v>0</v>
      </c>
      <c r="G54" s="141">
        <f t="shared" si="2"/>
        <v>0</v>
      </c>
      <c r="H54" s="155">
        <f t="shared" si="3"/>
        <v>0</v>
      </c>
      <c r="I54" s="142">
        <f t="shared" si="4"/>
        <v>13430340</v>
      </c>
      <c r="J54" s="142">
        <v>0</v>
      </c>
      <c r="K54" s="142">
        <f t="shared" si="5"/>
        <v>0</v>
      </c>
      <c r="L54" s="142">
        <f t="shared" si="6"/>
        <v>13430340</v>
      </c>
    </row>
    <row r="55" spans="5:12" x14ac:dyDescent="0.35">
      <c r="E55" s="135">
        <v>42</v>
      </c>
      <c r="F55" s="135">
        <v>1</v>
      </c>
      <c r="G55" s="141">
        <f t="shared" si="2"/>
        <v>23.813582244547764</v>
      </c>
      <c r="H55" s="155">
        <f t="shared" si="3"/>
        <v>0</v>
      </c>
      <c r="I55" s="142">
        <f t="shared" si="4"/>
        <v>13430340</v>
      </c>
      <c r="J55" s="142">
        <v>0</v>
      </c>
      <c r="K55" s="142">
        <f t="shared" si="5"/>
        <v>136632.93323927111</v>
      </c>
      <c r="L55" s="142">
        <f t="shared" si="6"/>
        <v>13566972.933239272</v>
      </c>
    </row>
    <row r="56" spans="5:12" x14ac:dyDescent="0.35">
      <c r="E56" s="135">
        <v>43</v>
      </c>
      <c r="F56" s="135">
        <v>0</v>
      </c>
      <c r="G56" s="141">
        <f t="shared" si="2"/>
        <v>0</v>
      </c>
      <c r="H56" s="155">
        <f t="shared" si="3"/>
        <v>0</v>
      </c>
      <c r="I56" s="142">
        <f t="shared" si="4"/>
        <v>13430340</v>
      </c>
      <c r="J56" s="142">
        <v>0</v>
      </c>
      <c r="K56" s="142">
        <f t="shared" si="5"/>
        <v>0</v>
      </c>
      <c r="L56" s="142">
        <f t="shared" si="6"/>
        <v>13430340</v>
      </c>
    </row>
    <row r="57" spans="5:12" x14ac:dyDescent="0.35">
      <c r="E57" s="135">
        <v>44</v>
      </c>
      <c r="F57" s="135">
        <v>0</v>
      </c>
      <c r="G57" s="141">
        <f t="shared" si="2"/>
        <v>0</v>
      </c>
      <c r="H57" s="155">
        <f t="shared" si="3"/>
        <v>0</v>
      </c>
      <c r="I57" s="142">
        <f t="shared" si="4"/>
        <v>13430340</v>
      </c>
      <c r="J57" s="142">
        <v>0</v>
      </c>
      <c r="K57" s="142">
        <f t="shared" si="5"/>
        <v>0</v>
      </c>
      <c r="L57" s="142">
        <f t="shared" si="6"/>
        <v>13430340</v>
      </c>
    </row>
    <row r="58" spans="5:12" x14ac:dyDescent="0.35">
      <c r="E58" s="135">
        <v>45</v>
      </c>
      <c r="F58" s="135">
        <v>0</v>
      </c>
      <c r="G58" s="141">
        <f t="shared" si="2"/>
        <v>0</v>
      </c>
      <c r="H58" s="155">
        <f t="shared" si="3"/>
        <v>0</v>
      </c>
      <c r="I58" s="142">
        <f t="shared" si="4"/>
        <v>13430340</v>
      </c>
      <c r="J58" s="142">
        <v>0</v>
      </c>
      <c r="K58" s="142">
        <f t="shared" si="5"/>
        <v>0</v>
      </c>
      <c r="L58" s="142">
        <f t="shared" si="6"/>
        <v>13430340</v>
      </c>
    </row>
    <row r="59" spans="5:12" x14ac:dyDescent="0.35">
      <c r="E59" s="135">
        <v>46</v>
      </c>
      <c r="F59" s="135">
        <v>0</v>
      </c>
      <c r="G59" s="141">
        <f t="shared" si="2"/>
        <v>0</v>
      </c>
      <c r="H59" s="155">
        <f t="shared" si="3"/>
        <v>0</v>
      </c>
      <c r="I59" s="142">
        <f t="shared" si="4"/>
        <v>13430340</v>
      </c>
      <c r="J59" s="142">
        <v>0</v>
      </c>
      <c r="K59" s="142">
        <f t="shared" si="5"/>
        <v>0</v>
      </c>
      <c r="L59" s="142">
        <f t="shared" si="6"/>
        <v>13430340</v>
      </c>
    </row>
    <row r="60" spans="5:12" x14ac:dyDescent="0.35">
      <c r="E60" s="135">
        <v>47</v>
      </c>
      <c r="F60" s="135">
        <v>0</v>
      </c>
      <c r="G60" s="141">
        <f t="shared" si="2"/>
        <v>0</v>
      </c>
      <c r="H60" s="155">
        <f t="shared" si="3"/>
        <v>0</v>
      </c>
      <c r="I60" s="142">
        <f t="shared" si="4"/>
        <v>13430340</v>
      </c>
      <c r="J60" s="142">
        <v>0</v>
      </c>
      <c r="K60" s="142">
        <f t="shared" si="5"/>
        <v>0</v>
      </c>
      <c r="L60" s="142">
        <f t="shared" si="6"/>
        <v>13430340</v>
      </c>
    </row>
    <row r="61" spans="5:12" x14ac:dyDescent="0.35">
      <c r="E61" s="135">
        <v>48</v>
      </c>
      <c r="F61" s="135">
        <v>1</v>
      </c>
      <c r="G61" s="141">
        <f t="shared" si="2"/>
        <v>23.813582244547764</v>
      </c>
      <c r="H61" s="155">
        <f t="shared" si="3"/>
        <v>0</v>
      </c>
      <c r="I61" s="142">
        <f t="shared" si="4"/>
        <v>13430340</v>
      </c>
      <c r="J61" s="142">
        <v>0</v>
      </c>
      <c r="K61" s="142">
        <f t="shared" si="5"/>
        <v>136632.93323927111</v>
      </c>
      <c r="L61" s="142">
        <f t="shared" si="6"/>
        <v>13566972.933239272</v>
      </c>
    </row>
    <row r="62" spans="5:12" x14ac:dyDescent="0.35">
      <c r="E62" s="135">
        <v>49</v>
      </c>
      <c r="F62" s="135">
        <v>0</v>
      </c>
      <c r="G62" s="141">
        <f t="shared" si="2"/>
        <v>0</v>
      </c>
      <c r="H62" s="155">
        <f t="shared" si="3"/>
        <v>0</v>
      </c>
      <c r="I62" s="142">
        <f t="shared" si="4"/>
        <v>13430340</v>
      </c>
      <c r="J62" s="142">
        <v>0</v>
      </c>
      <c r="K62" s="142">
        <f t="shared" si="5"/>
        <v>0</v>
      </c>
      <c r="L62" s="142">
        <f t="shared" si="6"/>
        <v>13430340</v>
      </c>
    </row>
    <row r="63" spans="5:12" x14ac:dyDescent="0.35">
      <c r="E63" s="135">
        <v>50</v>
      </c>
      <c r="F63" s="135">
        <v>0</v>
      </c>
      <c r="G63" s="141">
        <f t="shared" si="2"/>
        <v>0</v>
      </c>
      <c r="H63" s="155">
        <f t="shared" si="3"/>
        <v>0</v>
      </c>
      <c r="I63" s="142">
        <f t="shared" si="4"/>
        <v>13430340</v>
      </c>
      <c r="J63" s="142">
        <v>0</v>
      </c>
      <c r="K63" s="142">
        <f t="shared" si="5"/>
        <v>0</v>
      </c>
      <c r="L63" s="142">
        <f t="shared" si="6"/>
        <v>13430340</v>
      </c>
    </row>
    <row r="64" spans="5:12" x14ac:dyDescent="0.35">
      <c r="E64" s="135">
        <v>51</v>
      </c>
      <c r="F64" s="135">
        <v>0</v>
      </c>
      <c r="G64" s="141">
        <f t="shared" si="2"/>
        <v>0</v>
      </c>
      <c r="H64" s="155">
        <f t="shared" si="3"/>
        <v>0</v>
      </c>
      <c r="I64" s="142">
        <f t="shared" si="4"/>
        <v>13430340</v>
      </c>
      <c r="J64" s="142">
        <v>0</v>
      </c>
      <c r="K64" s="142">
        <f t="shared" si="5"/>
        <v>0</v>
      </c>
      <c r="L64" s="142">
        <f t="shared" si="6"/>
        <v>13430340</v>
      </c>
    </row>
    <row r="65" spans="5:12" x14ac:dyDescent="0.35">
      <c r="E65" s="135">
        <v>52</v>
      </c>
      <c r="F65" s="135">
        <v>1</v>
      </c>
      <c r="G65" s="141">
        <f t="shared" si="2"/>
        <v>23.813582244547764</v>
      </c>
      <c r="H65" s="155">
        <f t="shared" si="3"/>
        <v>0</v>
      </c>
      <c r="I65" s="142">
        <f t="shared" si="4"/>
        <v>13430340</v>
      </c>
      <c r="J65" s="142">
        <v>0</v>
      </c>
      <c r="K65" s="142">
        <f t="shared" si="5"/>
        <v>136632.93323927111</v>
      </c>
      <c r="L65" s="142">
        <f t="shared" si="6"/>
        <v>13566972.933239272</v>
      </c>
    </row>
    <row r="66" spans="5:12" x14ac:dyDescent="0.35">
      <c r="E66" s="135">
        <v>53</v>
      </c>
      <c r="F66" s="135">
        <v>0</v>
      </c>
      <c r="G66" s="141">
        <f t="shared" si="2"/>
        <v>0</v>
      </c>
      <c r="H66" s="155">
        <f t="shared" si="3"/>
        <v>0</v>
      </c>
      <c r="I66" s="142">
        <f t="shared" si="4"/>
        <v>13430340</v>
      </c>
      <c r="J66" s="142">
        <v>0</v>
      </c>
      <c r="K66" s="142">
        <f t="shared" si="5"/>
        <v>0</v>
      </c>
      <c r="L66" s="142">
        <f t="shared" si="6"/>
        <v>13430340</v>
      </c>
    </row>
    <row r="67" spans="5:12" x14ac:dyDescent="0.35">
      <c r="E67" s="135">
        <v>54</v>
      </c>
      <c r="F67" s="135">
        <v>1</v>
      </c>
      <c r="G67" s="141">
        <f t="shared" si="2"/>
        <v>23.813582244547764</v>
      </c>
      <c r="H67" s="155">
        <f t="shared" si="3"/>
        <v>0</v>
      </c>
      <c r="I67" s="142">
        <f t="shared" si="4"/>
        <v>13430340</v>
      </c>
      <c r="J67" s="142">
        <v>0</v>
      </c>
      <c r="K67" s="142">
        <f t="shared" si="5"/>
        <v>136632.93323927111</v>
      </c>
      <c r="L67" s="142">
        <f t="shared" si="6"/>
        <v>13566972.933239272</v>
      </c>
    </row>
    <row r="68" spans="5:12" x14ac:dyDescent="0.35">
      <c r="E68" s="135">
        <v>55</v>
      </c>
      <c r="F68" s="135">
        <v>1</v>
      </c>
      <c r="G68" s="141">
        <f t="shared" si="2"/>
        <v>23.813582244547764</v>
      </c>
      <c r="H68" s="155">
        <f t="shared" si="3"/>
        <v>0</v>
      </c>
      <c r="I68" s="142">
        <f t="shared" si="4"/>
        <v>13430340</v>
      </c>
      <c r="J68" s="142">
        <v>0</v>
      </c>
      <c r="K68" s="142">
        <f t="shared" si="5"/>
        <v>136632.93323927111</v>
      </c>
      <c r="L68" s="142">
        <f t="shared" si="6"/>
        <v>13566972.933239272</v>
      </c>
    </row>
    <row r="69" spans="5:12" x14ac:dyDescent="0.35">
      <c r="E69" s="135">
        <v>56</v>
      </c>
      <c r="F69" s="135">
        <v>0</v>
      </c>
      <c r="G69" s="141">
        <f t="shared" si="2"/>
        <v>0</v>
      </c>
      <c r="H69" s="155">
        <f t="shared" si="3"/>
        <v>0</v>
      </c>
      <c r="I69" s="142">
        <f t="shared" si="4"/>
        <v>13430340</v>
      </c>
      <c r="J69" s="142">
        <v>0</v>
      </c>
      <c r="K69" s="142">
        <f t="shared" si="5"/>
        <v>0</v>
      </c>
      <c r="L69" s="142">
        <f t="shared" si="6"/>
        <v>13430340</v>
      </c>
    </row>
    <row r="70" spans="5:12" x14ac:dyDescent="0.35">
      <c r="E70" s="135">
        <v>57</v>
      </c>
      <c r="F70" s="135">
        <v>0</v>
      </c>
      <c r="G70" s="141">
        <f t="shared" si="2"/>
        <v>0</v>
      </c>
      <c r="H70" s="155">
        <f t="shared" si="3"/>
        <v>0</v>
      </c>
      <c r="I70" s="142">
        <f t="shared" si="4"/>
        <v>13430340</v>
      </c>
      <c r="J70" s="142">
        <v>0</v>
      </c>
      <c r="K70" s="142">
        <f t="shared" si="5"/>
        <v>0</v>
      </c>
      <c r="L70" s="142">
        <f t="shared" si="6"/>
        <v>13430340</v>
      </c>
    </row>
    <row r="71" spans="5:12" x14ac:dyDescent="0.35">
      <c r="E71" s="135">
        <v>58</v>
      </c>
      <c r="F71" s="135">
        <v>1</v>
      </c>
      <c r="G71" s="141">
        <f t="shared" si="2"/>
        <v>23.813582244547764</v>
      </c>
      <c r="H71" s="155">
        <f t="shared" si="3"/>
        <v>0</v>
      </c>
      <c r="I71" s="142">
        <f t="shared" si="4"/>
        <v>13430340</v>
      </c>
      <c r="J71" s="142">
        <v>0</v>
      </c>
      <c r="K71" s="142">
        <f t="shared" si="5"/>
        <v>136632.93323927111</v>
      </c>
      <c r="L71" s="142">
        <f t="shared" si="6"/>
        <v>13566972.933239272</v>
      </c>
    </row>
    <row r="72" spans="5:12" x14ac:dyDescent="0.35">
      <c r="E72" s="135">
        <v>59</v>
      </c>
      <c r="F72" s="135">
        <v>0</v>
      </c>
      <c r="G72" s="141">
        <f t="shared" si="2"/>
        <v>0</v>
      </c>
      <c r="H72" s="155">
        <f t="shared" si="3"/>
        <v>0</v>
      </c>
      <c r="I72" s="142">
        <f t="shared" si="4"/>
        <v>13430340</v>
      </c>
      <c r="J72" s="142">
        <v>0</v>
      </c>
      <c r="K72" s="142">
        <f t="shared" si="5"/>
        <v>0</v>
      </c>
      <c r="L72" s="142">
        <f t="shared" si="6"/>
        <v>13430340</v>
      </c>
    </row>
    <row r="73" spans="5:12" x14ac:dyDescent="0.35">
      <c r="E73" s="135">
        <v>60</v>
      </c>
      <c r="F73" s="135">
        <v>0</v>
      </c>
      <c r="G73" s="141">
        <f t="shared" si="2"/>
        <v>0</v>
      </c>
      <c r="H73" s="155">
        <f t="shared" si="3"/>
        <v>0</v>
      </c>
      <c r="I73" s="142">
        <f t="shared" si="4"/>
        <v>13430340</v>
      </c>
      <c r="J73" s="142">
        <v>0</v>
      </c>
      <c r="K73" s="142">
        <f t="shared" si="5"/>
        <v>0</v>
      </c>
      <c r="L73" s="142">
        <f t="shared" si="6"/>
        <v>13430340</v>
      </c>
    </row>
    <row r="74" spans="5:12" x14ac:dyDescent="0.35">
      <c r="E74" s="135">
        <v>61</v>
      </c>
      <c r="F74" s="135">
        <v>0</v>
      </c>
      <c r="G74" s="141">
        <f t="shared" si="2"/>
        <v>0</v>
      </c>
      <c r="H74" s="155">
        <f t="shared" si="3"/>
        <v>0</v>
      </c>
      <c r="I74" s="142">
        <f t="shared" si="4"/>
        <v>13430340</v>
      </c>
      <c r="J74" s="142">
        <v>0</v>
      </c>
      <c r="K74" s="142">
        <f t="shared" si="5"/>
        <v>0</v>
      </c>
      <c r="L74" s="142">
        <f t="shared" si="6"/>
        <v>13430340</v>
      </c>
    </row>
    <row r="75" spans="5:12" x14ac:dyDescent="0.35">
      <c r="E75" s="135">
        <v>62</v>
      </c>
      <c r="F75" s="135">
        <v>0</v>
      </c>
      <c r="G75" s="141">
        <f t="shared" si="2"/>
        <v>0</v>
      </c>
      <c r="H75" s="155">
        <f t="shared" si="3"/>
        <v>0</v>
      </c>
      <c r="I75" s="142">
        <f t="shared" si="4"/>
        <v>13430340</v>
      </c>
      <c r="J75" s="142">
        <v>0</v>
      </c>
      <c r="K75" s="142">
        <f t="shared" si="5"/>
        <v>0</v>
      </c>
      <c r="L75" s="142">
        <f t="shared" si="6"/>
        <v>13430340</v>
      </c>
    </row>
    <row r="76" spans="5:12" x14ac:dyDescent="0.35">
      <c r="E76" s="135">
        <v>63</v>
      </c>
      <c r="F76" s="135">
        <v>1</v>
      </c>
      <c r="G76" s="141">
        <f t="shared" si="2"/>
        <v>23.813582244547764</v>
      </c>
      <c r="H76" s="155">
        <f t="shared" si="3"/>
        <v>0</v>
      </c>
      <c r="I76" s="142">
        <f t="shared" si="4"/>
        <v>13430340</v>
      </c>
      <c r="J76" s="142">
        <v>0</v>
      </c>
      <c r="K76" s="142">
        <f t="shared" si="5"/>
        <v>136632.93323927111</v>
      </c>
      <c r="L76" s="142">
        <f t="shared" si="6"/>
        <v>13566972.933239272</v>
      </c>
    </row>
    <row r="77" spans="5:12" x14ac:dyDescent="0.35">
      <c r="E77" s="135">
        <v>64</v>
      </c>
      <c r="F77" s="135">
        <v>0</v>
      </c>
      <c r="G77" s="141">
        <f t="shared" si="2"/>
        <v>0</v>
      </c>
      <c r="H77" s="155">
        <f t="shared" si="3"/>
        <v>0</v>
      </c>
      <c r="I77" s="142">
        <f t="shared" si="4"/>
        <v>13430340</v>
      </c>
      <c r="J77" s="142">
        <v>0</v>
      </c>
      <c r="K77" s="142">
        <f t="shared" si="5"/>
        <v>0</v>
      </c>
      <c r="L77" s="142">
        <f t="shared" si="6"/>
        <v>13430340</v>
      </c>
    </row>
    <row r="78" spans="5:12" x14ac:dyDescent="0.35">
      <c r="E78" s="135">
        <v>65</v>
      </c>
      <c r="F78" s="135">
        <v>1</v>
      </c>
      <c r="G78" s="141">
        <f t="shared" ref="G78:G141" si="7">F78*$C$10</f>
        <v>23.813582244547764</v>
      </c>
      <c r="H78" s="155">
        <f t="shared" ref="H78:H141" si="8">IF(F78 &gt; 1,$C$14*20000,0)</f>
        <v>0</v>
      </c>
      <c r="I78" s="142">
        <f t="shared" ref="I78:I141" si="9">IF(F78 &gt; 1,$C$5+$G$2,$G$2)</f>
        <v>13430340</v>
      </c>
      <c r="J78" s="142">
        <v>0</v>
      </c>
      <c r="K78" s="142">
        <f t="shared" ref="K78:K141" si="10">F78*$C$6</f>
        <v>136632.93323927111</v>
      </c>
      <c r="L78" s="142">
        <f t="shared" ref="L78:L141" si="11">J78+I78+K78</f>
        <v>13566972.933239272</v>
      </c>
    </row>
    <row r="79" spans="5:12" x14ac:dyDescent="0.35">
      <c r="E79" s="135">
        <v>66</v>
      </c>
      <c r="F79" s="135">
        <v>0</v>
      </c>
      <c r="G79" s="141">
        <f t="shared" si="7"/>
        <v>0</v>
      </c>
      <c r="H79" s="155">
        <f t="shared" si="8"/>
        <v>0</v>
      </c>
      <c r="I79" s="142">
        <f t="shared" si="9"/>
        <v>13430340</v>
      </c>
      <c r="J79" s="142">
        <v>0</v>
      </c>
      <c r="K79" s="142">
        <f t="shared" si="10"/>
        <v>0</v>
      </c>
      <c r="L79" s="142">
        <f t="shared" si="11"/>
        <v>13430340</v>
      </c>
    </row>
    <row r="80" spans="5:12" x14ac:dyDescent="0.35">
      <c r="E80" s="135">
        <v>67</v>
      </c>
      <c r="F80" s="135">
        <v>1</v>
      </c>
      <c r="G80" s="141">
        <f t="shared" si="7"/>
        <v>23.813582244547764</v>
      </c>
      <c r="H80" s="155">
        <f t="shared" si="8"/>
        <v>0</v>
      </c>
      <c r="I80" s="142">
        <f t="shared" si="9"/>
        <v>13430340</v>
      </c>
      <c r="J80" s="142">
        <v>0</v>
      </c>
      <c r="K80" s="142">
        <f t="shared" si="10"/>
        <v>136632.93323927111</v>
      </c>
      <c r="L80" s="142">
        <f t="shared" si="11"/>
        <v>13566972.933239272</v>
      </c>
    </row>
    <row r="81" spans="5:12" x14ac:dyDescent="0.35">
      <c r="E81" s="135">
        <v>68</v>
      </c>
      <c r="F81" s="135">
        <v>0</v>
      </c>
      <c r="G81" s="141">
        <f t="shared" si="7"/>
        <v>0</v>
      </c>
      <c r="H81" s="155">
        <f t="shared" si="8"/>
        <v>0</v>
      </c>
      <c r="I81" s="142">
        <f t="shared" si="9"/>
        <v>13430340</v>
      </c>
      <c r="J81" s="142">
        <v>0</v>
      </c>
      <c r="K81" s="142">
        <f t="shared" si="10"/>
        <v>0</v>
      </c>
      <c r="L81" s="142">
        <f t="shared" si="11"/>
        <v>13430340</v>
      </c>
    </row>
    <row r="82" spans="5:12" x14ac:dyDescent="0.35">
      <c r="E82" s="135">
        <v>69</v>
      </c>
      <c r="F82" s="135">
        <v>0</v>
      </c>
      <c r="G82" s="141">
        <f t="shared" si="7"/>
        <v>0</v>
      </c>
      <c r="H82" s="155">
        <f t="shared" si="8"/>
        <v>0</v>
      </c>
      <c r="I82" s="142">
        <f t="shared" si="9"/>
        <v>13430340</v>
      </c>
      <c r="J82" s="142">
        <v>0</v>
      </c>
      <c r="K82" s="142">
        <f t="shared" si="10"/>
        <v>0</v>
      </c>
      <c r="L82" s="142">
        <f t="shared" si="11"/>
        <v>13430340</v>
      </c>
    </row>
    <row r="83" spans="5:12" x14ac:dyDescent="0.35">
      <c r="E83" s="135">
        <v>70</v>
      </c>
      <c r="F83" s="135">
        <v>1</v>
      </c>
      <c r="G83" s="141">
        <f t="shared" si="7"/>
        <v>23.813582244547764</v>
      </c>
      <c r="H83" s="155">
        <f t="shared" si="8"/>
        <v>0</v>
      </c>
      <c r="I83" s="142">
        <f t="shared" si="9"/>
        <v>13430340</v>
      </c>
      <c r="J83" s="142">
        <v>0</v>
      </c>
      <c r="K83" s="142">
        <f t="shared" si="10"/>
        <v>136632.93323927111</v>
      </c>
      <c r="L83" s="142">
        <f t="shared" si="11"/>
        <v>13566972.933239272</v>
      </c>
    </row>
    <row r="84" spans="5:12" x14ac:dyDescent="0.35">
      <c r="E84" s="135">
        <v>71</v>
      </c>
      <c r="F84" s="135">
        <v>0</v>
      </c>
      <c r="G84" s="141">
        <f t="shared" si="7"/>
        <v>0</v>
      </c>
      <c r="H84" s="155">
        <f t="shared" si="8"/>
        <v>0</v>
      </c>
      <c r="I84" s="142">
        <f t="shared" si="9"/>
        <v>13430340</v>
      </c>
      <c r="J84" s="142">
        <v>0</v>
      </c>
      <c r="K84" s="142">
        <f t="shared" si="10"/>
        <v>0</v>
      </c>
      <c r="L84" s="142">
        <f t="shared" si="11"/>
        <v>13430340</v>
      </c>
    </row>
    <row r="85" spans="5:12" x14ac:dyDescent="0.35">
      <c r="E85" s="135">
        <v>72</v>
      </c>
      <c r="F85" s="135">
        <v>0</v>
      </c>
      <c r="G85" s="141">
        <f t="shared" si="7"/>
        <v>0</v>
      </c>
      <c r="H85" s="155">
        <f t="shared" si="8"/>
        <v>0</v>
      </c>
      <c r="I85" s="142">
        <f t="shared" si="9"/>
        <v>13430340</v>
      </c>
      <c r="J85" s="142">
        <v>0</v>
      </c>
      <c r="K85" s="142">
        <f t="shared" si="10"/>
        <v>0</v>
      </c>
      <c r="L85" s="142">
        <f t="shared" si="11"/>
        <v>13430340</v>
      </c>
    </row>
    <row r="86" spans="5:12" x14ac:dyDescent="0.35">
      <c r="E86" s="135">
        <v>73</v>
      </c>
      <c r="F86" s="135">
        <v>0</v>
      </c>
      <c r="G86" s="141">
        <f t="shared" si="7"/>
        <v>0</v>
      </c>
      <c r="H86" s="155">
        <f t="shared" si="8"/>
        <v>0</v>
      </c>
      <c r="I86" s="142">
        <f t="shared" si="9"/>
        <v>13430340</v>
      </c>
      <c r="J86" s="142">
        <v>0</v>
      </c>
      <c r="K86" s="142">
        <f t="shared" si="10"/>
        <v>0</v>
      </c>
      <c r="L86" s="142">
        <f t="shared" si="11"/>
        <v>13430340</v>
      </c>
    </row>
    <row r="87" spans="5:12" x14ac:dyDescent="0.35">
      <c r="E87" s="135">
        <v>74</v>
      </c>
      <c r="F87" s="135">
        <v>0</v>
      </c>
      <c r="G87" s="141">
        <f t="shared" si="7"/>
        <v>0</v>
      </c>
      <c r="H87" s="155">
        <f t="shared" si="8"/>
        <v>0</v>
      </c>
      <c r="I87" s="142">
        <f t="shared" si="9"/>
        <v>13430340</v>
      </c>
      <c r="J87" s="142">
        <v>0</v>
      </c>
      <c r="K87" s="142">
        <f t="shared" si="10"/>
        <v>0</v>
      </c>
      <c r="L87" s="142">
        <f t="shared" si="11"/>
        <v>13430340</v>
      </c>
    </row>
    <row r="88" spans="5:12" x14ac:dyDescent="0.35">
      <c r="E88" s="135">
        <v>75</v>
      </c>
      <c r="F88" s="135">
        <v>0</v>
      </c>
      <c r="G88" s="141">
        <f t="shared" si="7"/>
        <v>0</v>
      </c>
      <c r="H88" s="155">
        <f t="shared" si="8"/>
        <v>0</v>
      </c>
      <c r="I88" s="142">
        <f t="shared" si="9"/>
        <v>13430340</v>
      </c>
      <c r="J88" s="142">
        <v>0</v>
      </c>
      <c r="K88" s="142">
        <f t="shared" si="10"/>
        <v>0</v>
      </c>
      <c r="L88" s="142">
        <f t="shared" si="11"/>
        <v>13430340</v>
      </c>
    </row>
    <row r="89" spans="5:12" x14ac:dyDescent="0.35">
      <c r="E89" s="135">
        <v>76</v>
      </c>
      <c r="F89" s="135">
        <v>0</v>
      </c>
      <c r="G89" s="141">
        <f t="shared" si="7"/>
        <v>0</v>
      </c>
      <c r="H89" s="155">
        <f t="shared" si="8"/>
        <v>0</v>
      </c>
      <c r="I89" s="142">
        <f t="shared" si="9"/>
        <v>13430340</v>
      </c>
      <c r="J89" s="142">
        <v>0</v>
      </c>
      <c r="K89" s="142">
        <f t="shared" si="10"/>
        <v>0</v>
      </c>
      <c r="L89" s="142">
        <f t="shared" si="11"/>
        <v>13430340</v>
      </c>
    </row>
    <row r="90" spans="5:12" x14ac:dyDescent="0.35">
      <c r="E90" s="135">
        <v>77</v>
      </c>
      <c r="F90" s="135">
        <v>0</v>
      </c>
      <c r="G90" s="141">
        <f t="shared" si="7"/>
        <v>0</v>
      </c>
      <c r="H90" s="155">
        <f t="shared" si="8"/>
        <v>0</v>
      </c>
      <c r="I90" s="142">
        <f t="shared" si="9"/>
        <v>13430340</v>
      </c>
      <c r="J90" s="142">
        <v>0</v>
      </c>
      <c r="K90" s="142">
        <f t="shared" si="10"/>
        <v>0</v>
      </c>
      <c r="L90" s="142">
        <f t="shared" si="11"/>
        <v>13430340</v>
      </c>
    </row>
    <row r="91" spans="5:12" x14ac:dyDescent="0.35">
      <c r="E91" s="135">
        <v>78</v>
      </c>
      <c r="F91" s="135">
        <v>0</v>
      </c>
      <c r="G91" s="141">
        <f t="shared" si="7"/>
        <v>0</v>
      </c>
      <c r="H91" s="155">
        <f t="shared" si="8"/>
        <v>0</v>
      </c>
      <c r="I91" s="142">
        <f t="shared" si="9"/>
        <v>13430340</v>
      </c>
      <c r="J91" s="142">
        <v>0</v>
      </c>
      <c r="K91" s="142">
        <f t="shared" si="10"/>
        <v>0</v>
      </c>
      <c r="L91" s="142">
        <f t="shared" si="11"/>
        <v>13430340</v>
      </c>
    </row>
    <row r="92" spans="5:12" x14ac:dyDescent="0.35">
      <c r="E92" s="135">
        <v>79</v>
      </c>
      <c r="F92" s="135">
        <v>0</v>
      </c>
      <c r="G92" s="141">
        <f t="shared" si="7"/>
        <v>0</v>
      </c>
      <c r="H92" s="155">
        <f t="shared" si="8"/>
        <v>0</v>
      </c>
      <c r="I92" s="142">
        <f t="shared" si="9"/>
        <v>13430340</v>
      </c>
      <c r="J92" s="142">
        <v>0</v>
      </c>
      <c r="K92" s="142">
        <f t="shared" si="10"/>
        <v>0</v>
      </c>
      <c r="L92" s="142">
        <f t="shared" si="11"/>
        <v>13430340</v>
      </c>
    </row>
    <row r="93" spans="5:12" x14ac:dyDescent="0.35">
      <c r="E93" s="135">
        <v>80</v>
      </c>
      <c r="F93" s="135">
        <v>1</v>
      </c>
      <c r="G93" s="141">
        <f t="shared" si="7"/>
        <v>23.813582244547764</v>
      </c>
      <c r="H93" s="155">
        <f t="shared" si="8"/>
        <v>0</v>
      </c>
      <c r="I93" s="142">
        <f t="shared" si="9"/>
        <v>13430340</v>
      </c>
      <c r="J93" s="142">
        <v>0</v>
      </c>
      <c r="K93" s="142">
        <f t="shared" si="10"/>
        <v>136632.93323927111</v>
      </c>
      <c r="L93" s="142">
        <f t="shared" si="11"/>
        <v>13566972.933239272</v>
      </c>
    </row>
    <row r="94" spans="5:12" x14ac:dyDescent="0.35">
      <c r="E94" s="135">
        <v>81</v>
      </c>
      <c r="F94" s="135">
        <v>0</v>
      </c>
      <c r="G94" s="141">
        <f t="shared" si="7"/>
        <v>0</v>
      </c>
      <c r="H94" s="155">
        <f t="shared" si="8"/>
        <v>0</v>
      </c>
      <c r="I94" s="142">
        <f t="shared" si="9"/>
        <v>13430340</v>
      </c>
      <c r="J94" s="142">
        <v>0</v>
      </c>
      <c r="K94" s="142">
        <f t="shared" si="10"/>
        <v>0</v>
      </c>
      <c r="L94" s="142">
        <f t="shared" si="11"/>
        <v>13430340</v>
      </c>
    </row>
    <row r="95" spans="5:12" x14ac:dyDescent="0.35">
      <c r="E95" s="135">
        <v>82</v>
      </c>
      <c r="F95" s="135">
        <v>0</v>
      </c>
      <c r="G95" s="141">
        <f t="shared" si="7"/>
        <v>0</v>
      </c>
      <c r="H95" s="155">
        <f t="shared" si="8"/>
        <v>0</v>
      </c>
      <c r="I95" s="142">
        <f t="shared" si="9"/>
        <v>13430340</v>
      </c>
      <c r="J95" s="142">
        <v>0</v>
      </c>
      <c r="K95" s="142">
        <f t="shared" si="10"/>
        <v>0</v>
      </c>
      <c r="L95" s="142">
        <f t="shared" si="11"/>
        <v>13430340</v>
      </c>
    </row>
    <row r="96" spans="5:12" x14ac:dyDescent="0.35">
      <c r="E96" s="135">
        <v>83</v>
      </c>
      <c r="F96" s="135">
        <v>1</v>
      </c>
      <c r="G96" s="141">
        <f t="shared" si="7"/>
        <v>23.813582244547764</v>
      </c>
      <c r="H96" s="155">
        <f t="shared" si="8"/>
        <v>0</v>
      </c>
      <c r="I96" s="142">
        <f t="shared" si="9"/>
        <v>13430340</v>
      </c>
      <c r="J96" s="142">
        <v>0</v>
      </c>
      <c r="K96" s="142">
        <f t="shared" si="10"/>
        <v>136632.93323927111</v>
      </c>
      <c r="L96" s="142">
        <f t="shared" si="11"/>
        <v>13566972.933239272</v>
      </c>
    </row>
    <row r="97" spans="5:12" x14ac:dyDescent="0.35">
      <c r="E97" s="135">
        <v>84</v>
      </c>
      <c r="F97" s="135">
        <v>0</v>
      </c>
      <c r="G97" s="141">
        <f t="shared" si="7"/>
        <v>0</v>
      </c>
      <c r="H97" s="155">
        <f t="shared" si="8"/>
        <v>0</v>
      </c>
      <c r="I97" s="142">
        <f t="shared" si="9"/>
        <v>13430340</v>
      </c>
      <c r="J97" s="142">
        <v>0</v>
      </c>
      <c r="K97" s="142">
        <f t="shared" si="10"/>
        <v>0</v>
      </c>
      <c r="L97" s="142">
        <f t="shared" si="11"/>
        <v>13430340</v>
      </c>
    </row>
    <row r="98" spans="5:12" x14ac:dyDescent="0.35">
      <c r="E98" s="135">
        <v>85</v>
      </c>
      <c r="F98" s="135">
        <v>0</v>
      </c>
      <c r="G98" s="141">
        <f t="shared" si="7"/>
        <v>0</v>
      </c>
      <c r="H98" s="155">
        <f t="shared" si="8"/>
        <v>0</v>
      </c>
      <c r="I98" s="142">
        <f t="shared" si="9"/>
        <v>13430340</v>
      </c>
      <c r="J98" s="142">
        <v>0</v>
      </c>
      <c r="K98" s="142">
        <f t="shared" si="10"/>
        <v>0</v>
      </c>
      <c r="L98" s="142">
        <f t="shared" si="11"/>
        <v>13430340</v>
      </c>
    </row>
    <row r="99" spans="5:12" x14ac:dyDescent="0.35">
      <c r="E99" s="135">
        <v>86</v>
      </c>
      <c r="F99" s="135">
        <v>0</v>
      </c>
      <c r="G99" s="141">
        <f t="shared" si="7"/>
        <v>0</v>
      </c>
      <c r="H99" s="155">
        <f t="shared" si="8"/>
        <v>0</v>
      </c>
      <c r="I99" s="142">
        <f t="shared" si="9"/>
        <v>13430340</v>
      </c>
      <c r="J99" s="142">
        <v>0</v>
      </c>
      <c r="K99" s="142">
        <f t="shared" si="10"/>
        <v>0</v>
      </c>
      <c r="L99" s="142">
        <f t="shared" si="11"/>
        <v>13430340</v>
      </c>
    </row>
    <row r="100" spans="5:12" x14ac:dyDescent="0.35">
      <c r="E100" s="135">
        <v>87</v>
      </c>
      <c r="F100" s="135">
        <v>0</v>
      </c>
      <c r="G100" s="141">
        <f t="shared" si="7"/>
        <v>0</v>
      </c>
      <c r="H100" s="155">
        <f t="shared" si="8"/>
        <v>0</v>
      </c>
      <c r="I100" s="142">
        <f t="shared" si="9"/>
        <v>13430340</v>
      </c>
      <c r="J100" s="142">
        <v>0</v>
      </c>
      <c r="K100" s="142">
        <f t="shared" si="10"/>
        <v>0</v>
      </c>
      <c r="L100" s="142">
        <f t="shared" si="11"/>
        <v>13430340</v>
      </c>
    </row>
    <row r="101" spans="5:12" x14ac:dyDescent="0.35">
      <c r="E101" s="135">
        <v>88</v>
      </c>
      <c r="F101" s="135">
        <v>0</v>
      </c>
      <c r="G101" s="141">
        <f t="shared" si="7"/>
        <v>0</v>
      </c>
      <c r="H101" s="155">
        <f t="shared" si="8"/>
        <v>0</v>
      </c>
      <c r="I101" s="142">
        <f t="shared" si="9"/>
        <v>13430340</v>
      </c>
      <c r="J101" s="142">
        <v>0</v>
      </c>
      <c r="K101" s="142">
        <f t="shared" si="10"/>
        <v>0</v>
      </c>
      <c r="L101" s="142">
        <f t="shared" si="11"/>
        <v>13430340</v>
      </c>
    </row>
    <row r="102" spans="5:12" x14ac:dyDescent="0.35">
      <c r="E102" s="135">
        <v>89</v>
      </c>
      <c r="F102" s="135">
        <v>0</v>
      </c>
      <c r="G102" s="141">
        <f t="shared" si="7"/>
        <v>0</v>
      </c>
      <c r="H102" s="155">
        <f t="shared" si="8"/>
        <v>0</v>
      </c>
      <c r="I102" s="142">
        <f t="shared" si="9"/>
        <v>13430340</v>
      </c>
      <c r="J102" s="142">
        <v>0</v>
      </c>
      <c r="K102" s="142">
        <f t="shared" si="10"/>
        <v>0</v>
      </c>
      <c r="L102" s="142">
        <f t="shared" si="11"/>
        <v>13430340</v>
      </c>
    </row>
    <row r="103" spans="5:12" x14ac:dyDescent="0.35">
      <c r="E103" s="135">
        <v>90</v>
      </c>
      <c r="F103" s="135">
        <v>0</v>
      </c>
      <c r="G103" s="141">
        <f t="shared" si="7"/>
        <v>0</v>
      </c>
      <c r="H103" s="155">
        <f t="shared" si="8"/>
        <v>0</v>
      </c>
      <c r="I103" s="142">
        <f t="shared" si="9"/>
        <v>13430340</v>
      </c>
      <c r="J103" s="142">
        <v>0</v>
      </c>
      <c r="K103" s="142">
        <f t="shared" si="10"/>
        <v>0</v>
      </c>
      <c r="L103" s="142">
        <f t="shared" si="11"/>
        <v>13430340</v>
      </c>
    </row>
    <row r="104" spans="5:12" x14ac:dyDescent="0.35">
      <c r="E104" s="135">
        <v>91</v>
      </c>
      <c r="F104" s="135">
        <v>0</v>
      </c>
      <c r="G104" s="141">
        <f t="shared" si="7"/>
        <v>0</v>
      </c>
      <c r="H104" s="155">
        <f t="shared" si="8"/>
        <v>0</v>
      </c>
      <c r="I104" s="142">
        <f t="shared" si="9"/>
        <v>13430340</v>
      </c>
      <c r="J104" s="142">
        <v>0</v>
      </c>
      <c r="K104" s="142">
        <f t="shared" si="10"/>
        <v>0</v>
      </c>
      <c r="L104" s="142">
        <f t="shared" si="11"/>
        <v>13430340</v>
      </c>
    </row>
    <row r="105" spans="5:12" x14ac:dyDescent="0.35">
      <c r="E105" s="135">
        <v>92</v>
      </c>
      <c r="F105" s="135">
        <v>0</v>
      </c>
      <c r="G105" s="141">
        <f t="shared" si="7"/>
        <v>0</v>
      </c>
      <c r="H105" s="155">
        <f t="shared" si="8"/>
        <v>0</v>
      </c>
      <c r="I105" s="142">
        <f t="shared" si="9"/>
        <v>13430340</v>
      </c>
      <c r="J105" s="142">
        <v>0</v>
      </c>
      <c r="K105" s="142">
        <f t="shared" si="10"/>
        <v>0</v>
      </c>
      <c r="L105" s="142">
        <f t="shared" si="11"/>
        <v>13430340</v>
      </c>
    </row>
    <row r="106" spans="5:12" x14ac:dyDescent="0.35">
      <c r="E106" s="135">
        <v>93</v>
      </c>
      <c r="F106" s="135">
        <v>0</v>
      </c>
      <c r="G106" s="141">
        <f t="shared" si="7"/>
        <v>0</v>
      </c>
      <c r="H106" s="155">
        <f t="shared" si="8"/>
        <v>0</v>
      </c>
      <c r="I106" s="142">
        <f t="shared" si="9"/>
        <v>13430340</v>
      </c>
      <c r="J106" s="142">
        <v>0</v>
      </c>
      <c r="K106" s="142">
        <f t="shared" si="10"/>
        <v>0</v>
      </c>
      <c r="L106" s="142">
        <f t="shared" si="11"/>
        <v>13430340</v>
      </c>
    </row>
    <row r="107" spans="5:12" x14ac:dyDescent="0.35">
      <c r="E107" s="135">
        <v>94</v>
      </c>
      <c r="F107" s="135">
        <v>0</v>
      </c>
      <c r="G107" s="141">
        <f t="shared" si="7"/>
        <v>0</v>
      </c>
      <c r="H107" s="155">
        <f t="shared" si="8"/>
        <v>0</v>
      </c>
      <c r="I107" s="142">
        <f t="shared" si="9"/>
        <v>13430340</v>
      </c>
      <c r="J107" s="142">
        <v>0</v>
      </c>
      <c r="K107" s="142">
        <f t="shared" si="10"/>
        <v>0</v>
      </c>
      <c r="L107" s="142">
        <f t="shared" si="11"/>
        <v>13430340</v>
      </c>
    </row>
    <row r="108" spans="5:12" x14ac:dyDescent="0.35">
      <c r="E108" s="135">
        <v>95</v>
      </c>
      <c r="F108" s="135">
        <v>0</v>
      </c>
      <c r="G108" s="141">
        <f t="shared" si="7"/>
        <v>0</v>
      </c>
      <c r="H108" s="155">
        <f t="shared" si="8"/>
        <v>0</v>
      </c>
      <c r="I108" s="142">
        <f t="shared" si="9"/>
        <v>13430340</v>
      </c>
      <c r="J108" s="142">
        <v>0</v>
      </c>
      <c r="K108" s="142">
        <f t="shared" si="10"/>
        <v>0</v>
      </c>
      <c r="L108" s="142">
        <f t="shared" si="11"/>
        <v>13430340</v>
      </c>
    </row>
    <row r="109" spans="5:12" x14ac:dyDescent="0.35">
      <c r="E109" s="135">
        <v>96</v>
      </c>
      <c r="F109" s="135">
        <v>0</v>
      </c>
      <c r="G109" s="141">
        <f t="shared" si="7"/>
        <v>0</v>
      </c>
      <c r="H109" s="155">
        <f t="shared" si="8"/>
        <v>0</v>
      </c>
      <c r="I109" s="142">
        <f t="shared" si="9"/>
        <v>13430340</v>
      </c>
      <c r="J109" s="142">
        <v>0</v>
      </c>
      <c r="K109" s="142">
        <f t="shared" si="10"/>
        <v>0</v>
      </c>
      <c r="L109" s="142">
        <f t="shared" si="11"/>
        <v>13430340</v>
      </c>
    </row>
    <row r="110" spans="5:12" x14ac:dyDescent="0.35">
      <c r="E110" s="135">
        <v>97</v>
      </c>
      <c r="F110" s="135">
        <v>0</v>
      </c>
      <c r="G110" s="141">
        <f t="shared" si="7"/>
        <v>0</v>
      </c>
      <c r="H110" s="155">
        <f t="shared" si="8"/>
        <v>0</v>
      </c>
      <c r="I110" s="142">
        <f t="shared" si="9"/>
        <v>13430340</v>
      </c>
      <c r="J110" s="142">
        <v>0</v>
      </c>
      <c r="K110" s="142">
        <f t="shared" si="10"/>
        <v>0</v>
      </c>
      <c r="L110" s="142">
        <f t="shared" si="11"/>
        <v>13430340</v>
      </c>
    </row>
    <row r="111" spans="5:12" x14ac:dyDescent="0.35">
      <c r="E111" s="135">
        <v>98</v>
      </c>
      <c r="F111" s="135">
        <v>0</v>
      </c>
      <c r="G111" s="141">
        <f t="shared" si="7"/>
        <v>0</v>
      </c>
      <c r="H111" s="155">
        <f t="shared" si="8"/>
        <v>0</v>
      </c>
      <c r="I111" s="142">
        <f t="shared" si="9"/>
        <v>13430340</v>
      </c>
      <c r="J111" s="142">
        <v>0</v>
      </c>
      <c r="K111" s="142">
        <f t="shared" si="10"/>
        <v>0</v>
      </c>
      <c r="L111" s="142">
        <f t="shared" si="11"/>
        <v>13430340</v>
      </c>
    </row>
    <row r="112" spans="5:12" x14ac:dyDescent="0.35">
      <c r="E112" s="135">
        <v>99</v>
      </c>
      <c r="F112" s="135">
        <v>0</v>
      </c>
      <c r="G112" s="141">
        <f t="shared" si="7"/>
        <v>0</v>
      </c>
      <c r="H112" s="155">
        <f t="shared" si="8"/>
        <v>0</v>
      </c>
      <c r="I112" s="142">
        <f t="shared" si="9"/>
        <v>13430340</v>
      </c>
      <c r="J112" s="142">
        <v>0</v>
      </c>
      <c r="K112" s="142">
        <f t="shared" si="10"/>
        <v>0</v>
      </c>
      <c r="L112" s="142">
        <f t="shared" si="11"/>
        <v>13430340</v>
      </c>
    </row>
    <row r="113" spans="5:12" x14ac:dyDescent="0.35">
      <c r="E113" s="135">
        <v>100</v>
      </c>
      <c r="F113" s="135">
        <v>0</v>
      </c>
      <c r="G113" s="141">
        <f t="shared" si="7"/>
        <v>0</v>
      </c>
      <c r="H113" s="155">
        <f t="shared" si="8"/>
        <v>0</v>
      </c>
      <c r="I113" s="142">
        <f t="shared" si="9"/>
        <v>13430340</v>
      </c>
      <c r="J113" s="142">
        <v>0</v>
      </c>
      <c r="K113" s="142">
        <f t="shared" si="10"/>
        <v>0</v>
      </c>
      <c r="L113" s="142">
        <f t="shared" si="11"/>
        <v>13430340</v>
      </c>
    </row>
    <row r="114" spans="5:12" x14ac:dyDescent="0.35">
      <c r="E114" s="135">
        <v>101</v>
      </c>
      <c r="F114" s="135">
        <v>0</v>
      </c>
      <c r="G114" s="141">
        <f t="shared" si="7"/>
        <v>0</v>
      </c>
      <c r="H114" s="155">
        <f t="shared" si="8"/>
        <v>0</v>
      </c>
      <c r="I114" s="142">
        <f t="shared" si="9"/>
        <v>13430340</v>
      </c>
      <c r="J114" s="142">
        <v>0</v>
      </c>
      <c r="K114" s="142">
        <f t="shared" si="10"/>
        <v>0</v>
      </c>
      <c r="L114" s="142">
        <f t="shared" si="11"/>
        <v>13430340</v>
      </c>
    </row>
    <row r="115" spans="5:12" x14ac:dyDescent="0.35">
      <c r="E115" s="135">
        <v>102</v>
      </c>
      <c r="F115" s="135">
        <v>0</v>
      </c>
      <c r="G115" s="141">
        <f t="shared" si="7"/>
        <v>0</v>
      </c>
      <c r="H115" s="155">
        <f t="shared" si="8"/>
        <v>0</v>
      </c>
      <c r="I115" s="142">
        <f t="shared" si="9"/>
        <v>13430340</v>
      </c>
      <c r="J115" s="142">
        <v>0</v>
      </c>
      <c r="K115" s="142">
        <f t="shared" si="10"/>
        <v>0</v>
      </c>
      <c r="L115" s="142">
        <f t="shared" si="11"/>
        <v>13430340</v>
      </c>
    </row>
    <row r="116" spans="5:12" x14ac:dyDescent="0.35">
      <c r="E116" s="135">
        <v>103</v>
      </c>
      <c r="F116" s="135">
        <v>0</v>
      </c>
      <c r="G116" s="141">
        <f t="shared" si="7"/>
        <v>0</v>
      </c>
      <c r="H116" s="155">
        <f t="shared" si="8"/>
        <v>0</v>
      </c>
      <c r="I116" s="142">
        <f t="shared" si="9"/>
        <v>13430340</v>
      </c>
      <c r="J116" s="142">
        <v>0</v>
      </c>
      <c r="K116" s="142">
        <f t="shared" si="10"/>
        <v>0</v>
      </c>
      <c r="L116" s="142">
        <f t="shared" si="11"/>
        <v>13430340</v>
      </c>
    </row>
    <row r="117" spans="5:12" x14ac:dyDescent="0.35">
      <c r="E117" s="135">
        <v>104</v>
      </c>
      <c r="F117" s="135">
        <v>0</v>
      </c>
      <c r="G117" s="141">
        <f t="shared" si="7"/>
        <v>0</v>
      </c>
      <c r="H117" s="155">
        <f t="shared" si="8"/>
        <v>0</v>
      </c>
      <c r="I117" s="142">
        <f t="shared" si="9"/>
        <v>13430340</v>
      </c>
      <c r="J117" s="142">
        <v>0</v>
      </c>
      <c r="K117" s="142">
        <f t="shared" si="10"/>
        <v>0</v>
      </c>
      <c r="L117" s="142">
        <f t="shared" si="11"/>
        <v>13430340</v>
      </c>
    </row>
    <row r="118" spans="5:12" x14ac:dyDescent="0.35">
      <c r="E118" s="135">
        <v>105</v>
      </c>
      <c r="F118" s="135">
        <v>1</v>
      </c>
      <c r="G118" s="141">
        <f t="shared" si="7"/>
        <v>23.813582244547764</v>
      </c>
      <c r="H118" s="155">
        <f t="shared" si="8"/>
        <v>0</v>
      </c>
      <c r="I118" s="142">
        <f t="shared" si="9"/>
        <v>13430340</v>
      </c>
      <c r="J118" s="142">
        <v>0</v>
      </c>
      <c r="K118" s="142">
        <f t="shared" si="10"/>
        <v>136632.93323927111</v>
      </c>
      <c r="L118" s="142">
        <f t="shared" si="11"/>
        <v>13566972.933239272</v>
      </c>
    </row>
    <row r="119" spans="5:12" x14ac:dyDescent="0.35">
      <c r="E119" s="135">
        <v>106</v>
      </c>
      <c r="F119" s="135">
        <v>0</v>
      </c>
      <c r="G119" s="141">
        <f t="shared" si="7"/>
        <v>0</v>
      </c>
      <c r="H119" s="155">
        <f t="shared" si="8"/>
        <v>0</v>
      </c>
      <c r="I119" s="142">
        <f t="shared" si="9"/>
        <v>13430340</v>
      </c>
      <c r="J119" s="142">
        <v>0</v>
      </c>
      <c r="K119" s="142">
        <f t="shared" si="10"/>
        <v>0</v>
      </c>
      <c r="L119" s="142">
        <f t="shared" si="11"/>
        <v>13430340</v>
      </c>
    </row>
    <row r="120" spans="5:12" x14ac:dyDescent="0.35">
      <c r="E120" s="135">
        <v>107</v>
      </c>
      <c r="F120" s="135">
        <v>0</v>
      </c>
      <c r="G120" s="141">
        <f t="shared" si="7"/>
        <v>0</v>
      </c>
      <c r="H120" s="155">
        <f t="shared" si="8"/>
        <v>0</v>
      </c>
      <c r="I120" s="142">
        <f t="shared" si="9"/>
        <v>13430340</v>
      </c>
      <c r="J120" s="142">
        <v>0</v>
      </c>
      <c r="K120" s="142">
        <f t="shared" si="10"/>
        <v>0</v>
      </c>
      <c r="L120" s="142">
        <f t="shared" si="11"/>
        <v>13430340</v>
      </c>
    </row>
    <row r="121" spans="5:12" x14ac:dyDescent="0.35">
      <c r="E121" s="135">
        <v>108</v>
      </c>
      <c r="F121" s="135">
        <v>0</v>
      </c>
      <c r="G121" s="141">
        <f t="shared" si="7"/>
        <v>0</v>
      </c>
      <c r="H121" s="155">
        <f t="shared" si="8"/>
        <v>0</v>
      </c>
      <c r="I121" s="142">
        <f t="shared" si="9"/>
        <v>13430340</v>
      </c>
      <c r="J121" s="142">
        <v>0</v>
      </c>
      <c r="K121" s="142">
        <f t="shared" si="10"/>
        <v>0</v>
      </c>
      <c r="L121" s="142">
        <f t="shared" si="11"/>
        <v>13430340</v>
      </c>
    </row>
    <row r="122" spans="5:12" x14ac:dyDescent="0.35">
      <c r="E122" s="135">
        <v>109</v>
      </c>
      <c r="F122" s="135">
        <v>0</v>
      </c>
      <c r="G122" s="141">
        <f t="shared" si="7"/>
        <v>0</v>
      </c>
      <c r="H122" s="155">
        <f t="shared" si="8"/>
        <v>0</v>
      </c>
      <c r="I122" s="142">
        <f t="shared" si="9"/>
        <v>13430340</v>
      </c>
      <c r="J122" s="142">
        <v>0</v>
      </c>
      <c r="K122" s="142">
        <f t="shared" si="10"/>
        <v>0</v>
      </c>
      <c r="L122" s="142">
        <f t="shared" si="11"/>
        <v>13430340</v>
      </c>
    </row>
    <row r="123" spans="5:12" x14ac:dyDescent="0.35">
      <c r="E123" s="135">
        <v>110</v>
      </c>
      <c r="F123" s="135">
        <v>0</v>
      </c>
      <c r="G123" s="141">
        <f t="shared" si="7"/>
        <v>0</v>
      </c>
      <c r="H123" s="155">
        <f t="shared" si="8"/>
        <v>0</v>
      </c>
      <c r="I123" s="142">
        <f t="shared" si="9"/>
        <v>13430340</v>
      </c>
      <c r="J123" s="142">
        <v>0</v>
      </c>
      <c r="K123" s="142">
        <f t="shared" si="10"/>
        <v>0</v>
      </c>
      <c r="L123" s="142">
        <f t="shared" si="11"/>
        <v>13430340</v>
      </c>
    </row>
    <row r="124" spans="5:12" x14ac:dyDescent="0.35">
      <c r="E124" s="135">
        <v>111</v>
      </c>
      <c r="F124" s="135">
        <v>0</v>
      </c>
      <c r="G124" s="141">
        <f t="shared" si="7"/>
        <v>0</v>
      </c>
      <c r="H124" s="155">
        <f t="shared" si="8"/>
        <v>0</v>
      </c>
      <c r="I124" s="142">
        <f t="shared" si="9"/>
        <v>13430340</v>
      </c>
      <c r="J124" s="142">
        <v>0</v>
      </c>
      <c r="K124" s="142">
        <f t="shared" si="10"/>
        <v>0</v>
      </c>
      <c r="L124" s="142">
        <f t="shared" si="11"/>
        <v>13430340</v>
      </c>
    </row>
    <row r="125" spans="5:12" x14ac:dyDescent="0.35">
      <c r="E125" s="135">
        <v>112</v>
      </c>
      <c r="F125" s="135">
        <v>0</v>
      </c>
      <c r="G125" s="141">
        <f t="shared" si="7"/>
        <v>0</v>
      </c>
      <c r="H125" s="155">
        <f t="shared" si="8"/>
        <v>0</v>
      </c>
      <c r="I125" s="142">
        <f t="shared" si="9"/>
        <v>13430340</v>
      </c>
      <c r="J125" s="142">
        <v>0</v>
      </c>
      <c r="K125" s="142">
        <f t="shared" si="10"/>
        <v>0</v>
      </c>
      <c r="L125" s="142">
        <f t="shared" si="11"/>
        <v>13430340</v>
      </c>
    </row>
    <row r="126" spans="5:12" x14ac:dyDescent="0.35">
      <c r="E126" s="135">
        <v>113</v>
      </c>
      <c r="F126" s="135">
        <v>0</v>
      </c>
      <c r="G126" s="141">
        <f t="shared" si="7"/>
        <v>0</v>
      </c>
      <c r="H126" s="155">
        <f t="shared" si="8"/>
        <v>0</v>
      </c>
      <c r="I126" s="142">
        <f t="shared" si="9"/>
        <v>13430340</v>
      </c>
      <c r="J126" s="142">
        <v>0</v>
      </c>
      <c r="K126" s="142">
        <f t="shared" si="10"/>
        <v>0</v>
      </c>
      <c r="L126" s="142">
        <f t="shared" si="11"/>
        <v>13430340</v>
      </c>
    </row>
    <row r="127" spans="5:12" x14ac:dyDescent="0.35">
      <c r="E127" s="135">
        <v>114</v>
      </c>
      <c r="F127" s="135">
        <v>1</v>
      </c>
      <c r="G127" s="141">
        <f t="shared" si="7"/>
        <v>23.813582244547764</v>
      </c>
      <c r="H127" s="155">
        <f t="shared" si="8"/>
        <v>0</v>
      </c>
      <c r="I127" s="142">
        <f t="shared" si="9"/>
        <v>13430340</v>
      </c>
      <c r="J127" s="142">
        <v>0</v>
      </c>
      <c r="K127" s="142">
        <f t="shared" si="10"/>
        <v>136632.93323927111</v>
      </c>
      <c r="L127" s="142">
        <f t="shared" si="11"/>
        <v>13566972.933239272</v>
      </c>
    </row>
    <row r="128" spans="5:12" x14ac:dyDescent="0.35">
      <c r="E128" s="135">
        <v>115</v>
      </c>
      <c r="F128" s="135">
        <v>0</v>
      </c>
      <c r="G128" s="141">
        <f t="shared" si="7"/>
        <v>0</v>
      </c>
      <c r="H128" s="155">
        <f t="shared" si="8"/>
        <v>0</v>
      </c>
      <c r="I128" s="142">
        <f t="shared" si="9"/>
        <v>13430340</v>
      </c>
      <c r="J128" s="142">
        <v>0</v>
      </c>
      <c r="K128" s="142">
        <f t="shared" si="10"/>
        <v>0</v>
      </c>
      <c r="L128" s="142">
        <f t="shared" si="11"/>
        <v>13430340</v>
      </c>
    </row>
    <row r="129" spans="5:12" x14ac:dyDescent="0.35">
      <c r="E129" s="135">
        <v>116</v>
      </c>
      <c r="F129" s="135">
        <v>1</v>
      </c>
      <c r="G129" s="141">
        <f t="shared" si="7"/>
        <v>23.813582244547764</v>
      </c>
      <c r="H129" s="155">
        <f t="shared" si="8"/>
        <v>0</v>
      </c>
      <c r="I129" s="142">
        <f t="shared" si="9"/>
        <v>13430340</v>
      </c>
      <c r="J129" s="142">
        <v>0</v>
      </c>
      <c r="K129" s="142">
        <f t="shared" si="10"/>
        <v>136632.93323927111</v>
      </c>
      <c r="L129" s="142">
        <f t="shared" si="11"/>
        <v>13566972.933239272</v>
      </c>
    </row>
    <row r="130" spans="5:12" x14ac:dyDescent="0.35">
      <c r="E130" s="135">
        <v>117</v>
      </c>
      <c r="F130" s="135">
        <v>0</v>
      </c>
      <c r="G130" s="141">
        <f t="shared" si="7"/>
        <v>0</v>
      </c>
      <c r="H130" s="155">
        <f t="shared" si="8"/>
        <v>0</v>
      </c>
      <c r="I130" s="142">
        <f t="shared" si="9"/>
        <v>13430340</v>
      </c>
      <c r="J130" s="142">
        <v>0</v>
      </c>
      <c r="K130" s="142">
        <f t="shared" si="10"/>
        <v>0</v>
      </c>
      <c r="L130" s="142">
        <f t="shared" si="11"/>
        <v>13430340</v>
      </c>
    </row>
    <row r="131" spans="5:12" x14ac:dyDescent="0.35">
      <c r="E131" s="135">
        <v>118</v>
      </c>
      <c r="F131" s="135">
        <v>0</v>
      </c>
      <c r="G131" s="141">
        <f t="shared" si="7"/>
        <v>0</v>
      </c>
      <c r="H131" s="155">
        <f t="shared" si="8"/>
        <v>0</v>
      </c>
      <c r="I131" s="142">
        <f t="shared" si="9"/>
        <v>13430340</v>
      </c>
      <c r="J131" s="142">
        <v>0</v>
      </c>
      <c r="K131" s="142">
        <f t="shared" si="10"/>
        <v>0</v>
      </c>
      <c r="L131" s="142">
        <f t="shared" si="11"/>
        <v>13430340</v>
      </c>
    </row>
    <row r="132" spans="5:12" x14ac:dyDescent="0.35">
      <c r="E132" s="135">
        <v>119</v>
      </c>
      <c r="F132" s="135">
        <v>0</v>
      </c>
      <c r="G132" s="141">
        <f t="shared" si="7"/>
        <v>0</v>
      </c>
      <c r="H132" s="155">
        <f t="shared" si="8"/>
        <v>0</v>
      </c>
      <c r="I132" s="142">
        <f t="shared" si="9"/>
        <v>13430340</v>
      </c>
      <c r="J132" s="142">
        <v>0</v>
      </c>
      <c r="K132" s="142">
        <f t="shared" si="10"/>
        <v>0</v>
      </c>
      <c r="L132" s="142">
        <f t="shared" si="11"/>
        <v>13430340</v>
      </c>
    </row>
    <row r="133" spans="5:12" x14ac:dyDescent="0.35">
      <c r="E133" s="135">
        <v>120</v>
      </c>
      <c r="F133" s="135">
        <v>0</v>
      </c>
      <c r="G133" s="141">
        <f t="shared" si="7"/>
        <v>0</v>
      </c>
      <c r="H133" s="155">
        <f t="shared" si="8"/>
        <v>0</v>
      </c>
      <c r="I133" s="142">
        <f t="shared" si="9"/>
        <v>13430340</v>
      </c>
      <c r="J133" s="142">
        <v>0</v>
      </c>
      <c r="K133" s="142">
        <f t="shared" si="10"/>
        <v>0</v>
      </c>
      <c r="L133" s="142">
        <f t="shared" si="11"/>
        <v>13430340</v>
      </c>
    </row>
    <row r="134" spans="5:12" x14ac:dyDescent="0.35">
      <c r="E134" s="135">
        <v>121</v>
      </c>
      <c r="F134" s="135">
        <v>0</v>
      </c>
      <c r="G134" s="141">
        <f t="shared" si="7"/>
        <v>0</v>
      </c>
      <c r="H134" s="155">
        <f t="shared" si="8"/>
        <v>0</v>
      </c>
      <c r="I134" s="142">
        <f t="shared" si="9"/>
        <v>13430340</v>
      </c>
      <c r="J134" s="142">
        <v>0</v>
      </c>
      <c r="K134" s="142">
        <f t="shared" si="10"/>
        <v>0</v>
      </c>
      <c r="L134" s="142">
        <f t="shared" si="11"/>
        <v>13430340</v>
      </c>
    </row>
    <row r="135" spans="5:12" x14ac:dyDescent="0.35">
      <c r="E135" s="135">
        <v>122</v>
      </c>
      <c r="F135" s="135">
        <v>0</v>
      </c>
      <c r="G135" s="141">
        <f t="shared" si="7"/>
        <v>0</v>
      </c>
      <c r="H135" s="155">
        <f t="shared" si="8"/>
        <v>0</v>
      </c>
      <c r="I135" s="142">
        <f t="shared" si="9"/>
        <v>13430340</v>
      </c>
      <c r="J135" s="142">
        <v>0</v>
      </c>
      <c r="K135" s="142">
        <f t="shared" si="10"/>
        <v>0</v>
      </c>
      <c r="L135" s="142">
        <f t="shared" si="11"/>
        <v>13430340</v>
      </c>
    </row>
    <row r="136" spans="5:12" x14ac:dyDescent="0.35">
      <c r="E136" s="135">
        <v>123</v>
      </c>
      <c r="F136" s="135">
        <v>0</v>
      </c>
      <c r="G136" s="141">
        <f t="shared" si="7"/>
        <v>0</v>
      </c>
      <c r="H136" s="155">
        <f t="shared" si="8"/>
        <v>0</v>
      </c>
      <c r="I136" s="142">
        <f t="shared" si="9"/>
        <v>13430340</v>
      </c>
      <c r="J136" s="142">
        <v>0</v>
      </c>
      <c r="K136" s="142">
        <f t="shared" si="10"/>
        <v>0</v>
      </c>
      <c r="L136" s="142">
        <f t="shared" si="11"/>
        <v>13430340</v>
      </c>
    </row>
    <row r="137" spans="5:12" x14ac:dyDescent="0.35">
      <c r="E137" s="135">
        <v>124</v>
      </c>
      <c r="F137" s="135">
        <v>0</v>
      </c>
      <c r="G137" s="141">
        <f t="shared" si="7"/>
        <v>0</v>
      </c>
      <c r="H137" s="155">
        <f t="shared" si="8"/>
        <v>0</v>
      </c>
      <c r="I137" s="142">
        <f t="shared" si="9"/>
        <v>13430340</v>
      </c>
      <c r="J137" s="142">
        <v>0</v>
      </c>
      <c r="K137" s="142">
        <f t="shared" si="10"/>
        <v>0</v>
      </c>
      <c r="L137" s="142">
        <f t="shared" si="11"/>
        <v>13430340</v>
      </c>
    </row>
    <row r="138" spans="5:12" x14ac:dyDescent="0.35">
      <c r="E138" s="135">
        <v>125</v>
      </c>
      <c r="F138" s="135">
        <v>0</v>
      </c>
      <c r="G138" s="141">
        <f t="shared" si="7"/>
        <v>0</v>
      </c>
      <c r="H138" s="155">
        <f t="shared" si="8"/>
        <v>0</v>
      </c>
      <c r="I138" s="142">
        <f t="shared" si="9"/>
        <v>13430340</v>
      </c>
      <c r="J138" s="142">
        <v>0</v>
      </c>
      <c r="K138" s="142">
        <f t="shared" si="10"/>
        <v>0</v>
      </c>
      <c r="L138" s="142">
        <f t="shared" si="11"/>
        <v>13430340</v>
      </c>
    </row>
    <row r="139" spans="5:12" x14ac:dyDescent="0.35">
      <c r="E139" s="135">
        <v>126</v>
      </c>
      <c r="F139" s="135">
        <v>0</v>
      </c>
      <c r="G139" s="141">
        <f t="shared" si="7"/>
        <v>0</v>
      </c>
      <c r="H139" s="155">
        <f t="shared" si="8"/>
        <v>0</v>
      </c>
      <c r="I139" s="142">
        <f t="shared" si="9"/>
        <v>13430340</v>
      </c>
      <c r="J139" s="142">
        <v>0</v>
      </c>
      <c r="K139" s="142">
        <f t="shared" si="10"/>
        <v>0</v>
      </c>
      <c r="L139" s="142">
        <f t="shared" si="11"/>
        <v>13430340</v>
      </c>
    </row>
    <row r="140" spans="5:12" x14ac:dyDescent="0.35">
      <c r="E140" s="135">
        <v>127</v>
      </c>
      <c r="F140" s="135">
        <v>1</v>
      </c>
      <c r="G140" s="141">
        <f t="shared" si="7"/>
        <v>23.813582244547764</v>
      </c>
      <c r="H140" s="155">
        <f t="shared" si="8"/>
        <v>0</v>
      </c>
      <c r="I140" s="142">
        <f t="shared" si="9"/>
        <v>13430340</v>
      </c>
      <c r="J140" s="142">
        <v>0</v>
      </c>
      <c r="K140" s="142">
        <f t="shared" si="10"/>
        <v>136632.93323927111</v>
      </c>
      <c r="L140" s="142">
        <f t="shared" si="11"/>
        <v>13566972.933239272</v>
      </c>
    </row>
    <row r="141" spans="5:12" x14ac:dyDescent="0.35">
      <c r="E141" s="135">
        <v>128</v>
      </c>
      <c r="F141" s="135">
        <v>0</v>
      </c>
      <c r="G141" s="141">
        <f t="shared" si="7"/>
        <v>0</v>
      </c>
      <c r="H141" s="155">
        <f t="shared" si="8"/>
        <v>0</v>
      </c>
      <c r="I141" s="142">
        <f t="shared" si="9"/>
        <v>13430340</v>
      </c>
      <c r="J141" s="142">
        <v>0</v>
      </c>
      <c r="K141" s="142">
        <f t="shared" si="10"/>
        <v>0</v>
      </c>
      <c r="L141" s="142">
        <f t="shared" si="11"/>
        <v>13430340</v>
      </c>
    </row>
    <row r="142" spans="5:12" x14ac:dyDescent="0.35">
      <c r="E142" s="135">
        <v>129</v>
      </c>
      <c r="F142" s="135">
        <v>1</v>
      </c>
      <c r="G142" s="141">
        <f t="shared" ref="G142:G205" si="12">F142*$C$10</f>
        <v>23.813582244547764</v>
      </c>
      <c r="H142" s="155">
        <f t="shared" ref="H142:H205" si="13">IF(F142 &gt; 1,$C$14*20000,0)</f>
        <v>0</v>
      </c>
      <c r="I142" s="142">
        <f t="shared" ref="I142:I205" si="14">IF(F142 &gt; 1,$C$5+$G$2,$G$2)</f>
        <v>13430340</v>
      </c>
      <c r="J142" s="142">
        <v>0</v>
      </c>
      <c r="K142" s="142">
        <f t="shared" ref="K142:K205" si="15">F142*$C$6</f>
        <v>136632.93323927111</v>
      </c>
      <c r="L142" s="142">
        <f t="shared" ref="L142:L205" si="16">J142+I142+K142</f>
        <v>13566972.933239272</v>
      </c>
    </row>
    <row r="143" spans="5:12" x14ac:dyDescent="0.35">
      <c r="E143" s="135">
        <v>130</v>
      </c>
      <c r="F143" s="135">
        <v>0</v>
      </c>
      <c r="G143" s="141">
        <f t="shared" si="12"/>
        <v>0</v>
      </c>
      <c r="H143" s="155">
        <f t="shared" si="13"/>
        <v>0</v>
      </c>
      <c r="I143" s="142">
        <f t="shared" si="14"/>
        <v>13430340</v>
      </c>
      <c r="J143" s="142">
        <v>0</v>
      </c>
      <c r="K143" s="142">
        <f t="shared" si="15"/>
        <v>0</v>
      </c>
      <c r="L143" s="142">
        <f t="shared" si="16"/>
        <v>13430340</v>
      </c>
    </row>
    <row r="144" spans="5:12" x14ac:dyDescent="0.35">
      <c r="E144" s="135">
        <v>131</v>
      </c>
      <c r="F144" s="135">
        <v>0</v>
      </c>
      <c r="G144" s="141">
        <f t="shared" si="12"/>
        <v>0</v>
      </c>
      <c r="H144" s="155">
        <f t="shared" si="13"/>
        <v>0</v>
      </c>
      <c r="I144" s="142">
        <f t="shared" si="14"/>
        <v>13430340</v>
      </c>
      <c r="J144" s="142">
        <v>0</v>
      </c>
      <c r="K144" s="142">
        <f t="shared" si="15"/>
        <v>0</v>
      </c>
      <c r="L144" s="142">
        <f t="shared" si="16"/>
        <v>13430340</v>
      </c>
    </row>
    <row r="145" spans="5:12" x14ac:dyDescent="0.35">
      <c r="E145" s="135">
        <v>132</v>
      </c>
      <c r="F145" s="135">
        <v>0</v>
      </c>
      <c r="G145" s="141">
        <f t="shared" si="12"/>
        <v>0</v>
      </c>
      <c r="H145" s="155">
        <f t="shared" si="13"/>
        <v>0</v>
      </c>
      <c r="I145" s="142">
        <f t="shared" si="14"/>
        <v>13430340</v>
      </c>
      <c r="J145" s="142">
        <v>0</v>
      </c>
      <c r="K145" s="142">
        <f t="shared" si="15"/>
        <v>0</v>
      </c>
      <c r="L145" s="142">
        <f t="shared" si="16"/>
        <v>13430340</v>
      </c>
    </row>
    <row r="146" spans="5:12" x14ac:dyDescent="0.35">
      <c r="E146" s="135">
        <v>133</v>
      </c>
      <c r="F146" s="135">
        <v>0</v>
      </c>
      <c r="G146" s="141">
        <f t="shared" si="12"/>
        <v>0</v>
      </c>
      <c r="H146" s="155">
        <f t="shared" si="13"/>
        <v>0</v>
      </c>
      <c r="I146" s="142">
        <f t="shared" si="14"/>
        <v>13430340</v>
      </c>
      <c r="J146" s="142">
        <v>0</v>
      </c>
      <c r="K146" s="142">
        <f t="shared" si="15"/>
        <v>0</v>
      </c>
      <c r="L146" s="142">
        <f t="shared" si="16"/>
        <v>13430340</v>
      </c>
    </row>
    <row r="147" spans="5:12" x14ac:dyDescent="0.35">
      <c r="E147" s="135">
        <v>134</v>
      </c>
      <c r="F147" s="135">
        <v>0</v>
      </c>
      <c r="G147" s="141">
        <f t="shared" si="12"/>
        <v>0</v>
      </c>
      <c r="H147" s="155">
        <f t="shared" si="13"/>
        <v>0</v>
      </c>
      <c r="I147" s="142">
        <f t="shared" si="14"/>
        <v>13430340</v>
      </c>
      <c r="J147" s="142">
        <v>0</v>
      </c>
      <c r="K147" s="142">
        <f t="shared" si="15"/>
        <v>0</v>
      </c>
      <c r="L147" s="142">
        <f t="shared" si="16"/>
        <v>13430340</v>
      </c>
    </row>
    <row r="148" spans="5:12" x14ac:dyDescent="0.35">
      <c r="E148" s="135">
        <v>135</v>
      </c>
      <c r="F148" s="135">
        <v>0</v>
      </c>
      <c r="G148" s="141">
        <f t="shared" si="12"/>
        <v>0</v>
      </c>
      <c r="H148" s="155">
        <f t="shared" si="13"/>
        <v>0</v>
      </c>
      <c r="I148" s="142">
        <f t="shared" si="14"/>
        <v>13430340</v>
      </c>
      <c r="J148" s="142">
        <v>0</v>
      </c>
      <c r="K148" s="142">
        <f t="shared" si="15"/>
        <v>0</v>
      </c>
      <c r="L148" s="142">
        <f t="shared" si="16"/>
        <v>13430340</v>
      </c>
    </row>
    <row r="149" spans="5:12" x14ac:dyDescent="0.35">
      <c r="E149" s="135">
        <v>136</v>
      </c>
      <c r="F149" s="135">
        <v>0</v>
      </c>
      <c r="G149" s="141">
        <f t="shared" si="12"/>
        <v>0</v>
      </c>
      <c r="H149" s="155">
        <f t="shared" si="13"/>
        <v>0</v>
      </c>
      <c r="I149" s="142">
        <f t="shared" si="14"/>
        <v>13430340</v>
      </c>
      <c r="J149" s="142">
        <v>0</v>
      </c>
      <c r="K149" s="142">
        <f t="shared" si="15"/>
        <v>0</v>
      </c>
      <c r="L149" s="142">
        <f t="shared" si="16"/>
        <v>13430340</v>
      </c>
    </row>
    <row r="150" spans="5:12" x14ac:dyDescent="0.35">
      <c r="E150" s="135">
        <v>137</v>
      </c>
      <c r="F150" s="135">
        <v>0</v>
      </c>
      <c r="G150" s="141">
        <f t="shared" si="12"/>
        <v>0</v>
      </c>
      <c r="H150" s="155">
        <f t="shared" si="13"/>
        <v>0</v>
      </c>
      <c r="I150" s="142">
        <f t="shared" si="14"/>
        <v>13430340</v>
      </c>
      <c r="J150" s="142">
        <v>0</v>
      </c>
      <c r="K150" s="142">
        <f t="shared" si="15"/>
        <v>0</v>
      </c>
      <c r="L150" s="142">
        <f t="shared" si="16"/>
        <v>13430340</v>
      </c>
    </row>
    <row r="151" spans="5:12" x14ac:dyDescent="0.35">
      <c r="E151" s="135">
        <v>138</v>
      </c>
      <c r="F151" s="135">
        <v>1</v>
      </c>
      <c r="G151" s="141">
        <f t="shared" si="12"/>
        <v>23.813582244547764</v>
      </c>
      <c r="H151" s="155">
        <f t="shared" si="13"/>
        <v>0</v>
      </c>
      <c r="I151" s="142">
        <f t="shared" si="14"/>
        <v>13430340</v>
      </c>
      <c r="J151" s="142">
        <v>0</v>
      </c>
      <c r="K151" s="142">
        <f t="shared" si="15"/>
        <v>136632.93323927111</v>
      </c>
      <c r="L151" s="142">
        <f t="shared" si="16"/>
        <v>13566972.933239272</v>
      </c>
    </row>
    <row r="152" spans="5:12" x14ac:dyDescent="0.35">
      <c r="E152" s="135">
        <v>139</v>
      </c>
      <c r="F152" s="135">
        <v>0</v>
      </c>
      <c r="G152" s="141">
        <f t="shared" si="12"/>
        <v>0</v>
      </c>
      <c r="H152" s="155">
        <f t="shared" si="13"/>
        <v>0</v>
      </c>
      <c r="I152" s="142">
        <f t="shared" si="14"/>
        <v>13430340</v>
      </c>
      <c r="J152" s="142">
        <v>0</v>
      </c>
      <c r="K152" s="142">
        <f t="shared" si="15"/>
        <v>0</v>
      </c>
      <c r="L152" s="142">
        <f t="shared" si="16"/>
        <v>13430340</v>
      </c>
    </row>
    <row r="153" spans="5:12" x14ac:dyDescent="0.35">
      <c r="E153" s="135">
        <v>140</v>
      </c>
      <c r="F153" s="135">
        <v>0</v>
      </c>
      <c r="G153" s="141">
        <f t="shared" si="12"/>
        <v>0</v>
      </c>
      <c r="H153" s="155">
        <f t="shared" si="13"/>
        <v>0</v>
      </c>
      <c r="I153" s="142">
        <f t="shared" si="14"/>
        <v>13430340</v>
      </c>
      <c r="J153" s="142">
        <v>0</v>
      </c>
      <c r="K153" s="142">
        <f t="shared" si="15"/>
        <v>0</v>
      </c>
      <c r="L153" s="142">
        <f t="shared" si="16"/>
        <v>13430340</v>
      </c>
    </row>
    <row r="154" spans="5:12" x14ac:dyDescent="0.35">
      <c r="E154" s="135">
        <v>141</v>
      </c>
      <c r="F154" s="135">
        <v>0</v>
      </c>
      <c r="G154" s="141">
        <f t="shared" si="12"/>
        <v>0</v>
      </c>
      <c r="H154" s="155">
        <f t="shared" si="13"/>
        <v>0</v>
      </c>
      <c r="I154" s="142">
        <f t="shared" si="14"/>
        <v>13430340</v>
      </c>
      <c r="J154" s="142">
        <v>0</v>
      </c>
      <c r="K154" s="142">
        <f t="shared" si="15"/>
        <v>0</v>
      </c>
      <c r="L154" s="142">
        <f t="shared" si="16"/>
        <v>13430340</v>
      </c>
    </row>
    <row r="155" spans="5:12" x14ac:dyDescent="0.35">
      <c r="E155" s="135">
        <v>142</v>
      </c>
      <c r="F155" s="135">
        <v>0</v>
      </c>
      <c r="G155" s="141">
        <f t="shared" si="12"/>
        <v>0</v>
      </c>
      <c r="H155" s="155">
        <f t="shared" si="13"/>
        <v>0</v>
      </c>
      <c r="I155" s="142">
        <f t="shared" si="14"/>
        <v>13430340</v>
      </c>
      <c r="J155" s="142">
        <v>0</v>
      </c>
      <c r="K155" s="142">
        <f t="shared" si="15"/>
        <v>0</v>
      </c>
      <c r="L155" s="142">
        <f t="shared" si="16"/>
        <v>13430340</v>
      </c>
    </row>
    <row r="156" spans="5:12" x14ac:dyDescent="0.35">
      <c r="E156" s="135">
        <v>143</v>
      </c>
      <c r="F156" s="135">
        <v>0</v>
      </c>
      <c r="G156" s="141">
        <f t="shared" si="12"/>
        <v>0</v>
      </c>
      <c r="H156" s="155">
        <f t="shared" si="13"/>
        <v>0</v>
      </c>
      <c r="I156" s="142">
        <f t="shared" si="14"/>
        <v>13430340</v>
      </c>
      <c r="J156" s="142">
        <v>0</v>
      </c>
      <c r="K156" s="142">
        <f t="shared" si="15"/>
        <v>0</v>
      </c>
      <c r="L156" s="142">
        <f t="shared" si="16"/>
        <v>13430340</v>
      </c>
    </row>
    <row r="157" spans="5:12" x14ac:dyDescent="0.35">
      <c r="E157" s="135">
        <v>144</v>
      </c>
      <c r="F157" s="135">
        <v>0</v>
      </c>
      <c r="G157" s="141">
        <f t="shared" si="12"/>
        <v>0</v>
      </c>
      <c r="H157" s="155">
        <f t="shared" si="13"/>
        <v>0</v>
      </c>
      <c r="I157" s="142">
        <f t="shared" si="14"/>
        <v>13430340</v>
      </c>
      <c r="J157" s="142">
        <v>0</v>
      </c>
      <c r="K157" s="142">
        <f t="shared" si="15"/>
        <v>0</v>
      </c>
      <c r="L157" s="142">
        <f t="shared" si="16"/>
        <v>13430340</v>
      </c>
    </row>
    <row r="158" spans="5:12" x14ac:dyDescent="0.35">
      <c r="E158" s="135">
        <v>145</v>
      </c>
      <c r="F158" s="135">
        <v>0</v>
      </c>
      <c r="G158" s="141">
        <f t="shared" si="12"/>
        <v>0</v>
      </c>
      <c r="H158" s="155">
        <f t="shared" si="13"/>
        <v>0</v>
      </c>
      <c r="I158" s="142">
        <f t="shared" si="14"/>
        <v>13430340</v>
      </c>
      <c r="J158" s="142">
        <v>0</v>
      </c>
      <c r="K158" s="142">
        <f t="shared" si="15"/>
        <v>0</v>
      </c>
      <c r="L158" s="142">
        <f t="shared" si="16"/>
        <v>13430340</v>
      </c>
    </row>
    <row r="159" spans="5:12" x14ac:dyDescent="0.35">
      <c r="E159" s="135">
        <v>146</v>
      </c>
      <c r="F159" s="135">
        <v>0</v>
      </c>
      <c r="G159" s="141">
        <f t="shared" si="12"/>
        <v>0</v>
      </c>
      <c r="H159" s="155">
        <f t="shared" si="13"/>
        <v>0</v>
      </c>
      <c r="I159" s="142">
        <f t="shared" si="14"/>
        <v>13430340</v>
      </c>
      <c r="J159" s="142">
        <v>0</v>
      </c>
      <c r="K159" s="142">
        <f t="shared" si="15"/>
        <v>0</v>
      </c>
      <c r="L159" s="142">
        <f t="shared" si="16"/>
        <v>13430340</v>
      </c>
    </row>
    <row r="160" spans="5:12" x14ac:dyDescent="0.35">
      <c r="E160" s="135">
        <v>147</v>
      </c>
      <c r="F160" s="135">
        <v>0</v>
      </c>
      <c r="G160" s="141">
        <f t="shared" si="12"/>
        <v>0</v>
      </c>
      <c r="H160" s="155">
        <f t="shared" si="13"/>
        <v>0</v>
      </c>
      <c r="I160" s="142">
        <f t="shared" si="14"/>
        <v>13430340</v>
      </c>
      <c r="J160" s="142">
        <v>0</v>
      </c>
      <c r="K160" s="142">
        <f t="shared" si="15"/>
        <v>0</v>
      </c>
      <c r="L160" s="142">
        <f t="shared" si="16"/>
        <v>13430340</v>
      </c>
    </row>
    <row r="161" spans="5:12" x14ac:dyDescent="0.35">
      <c r="E161" s="135">
        <v>148</v>
      </c>
      <c r="F161" s="135">
        <v>0</v>
      </c>
      <c r="G161" s="141">
        <f t="shared" si="12"/>
        <v>0</v>
      </c>
      <c r="H161" s="155">
        <f t="shared" si="13"/>
        <v>0</v>
      </c>
      <c r="I161" s="142">
        <f t="shared" si="14"/>
        <v>13430340</v>
      </c>
      <c r="J161" s="142">
        <v>0</v>
      </c>
      <c r="K161" s="142">
        <f t="shared" si="15"/>
        <v>0</v>
      </c>
      <c r="L161" s="142">
        <f t="shared" si="16"/>
        <v>13430340</v>
      </c>
    </row>
    <row r="162" spans="5:12" x14ac:dyDescent="0.35">
      <c r="E162" s="135">
        <v>149</v>
      </c>
      <c r="F162" s="135">
        <v>0</v>
      </c>
      <c r="G162" s="141">
        <f t="shared" si="12"/>
        <v>0</v>
      </c>
      <c r="H162" s="155">
        <f t="shared" si="13"/>
        <v>0</v>
      </c>
      <c r="I162" s="142">
        <f t="shared" si="14"/>
        <v>13430340</v>
      </c>
      <c r="J162" s="142">
        <v>0</v>
      </c>
      <c r="K162" s="142">
        <f t="shared" si="15"/>
        <v>0</v>
      </c>
      <c r="L162" s="142">
        <f t="shared" si="16"/>
        <v>13430340</v>
      </c>
    </row>
    <row r="163" spans="5:12" x14ac:dyDescent="0.35">
      <c r="E163" s="135">
        <v>150</v>
      </c>
      <c r="F163" s="135">
        <v>1</v>
      </c>
      <c r="G163" s="141">
        <f t="shared" si="12"/>
        <v>23.813582244547764</v>
      </c>
      <c r="H163" s="155">
        <f t="shared" si="13"/>
        <v>0</v>
      </c>
      <c r="I163" s="142">
        <f t="shared" si="14"/>
        <v>13430340</v>
      </c>
      <c r="J163" s="142">
        <v>0</v>
      </c>
      <c r="K163" s="142">
        <f t="shared" si="15"/>
        <v>136632.93323927111</v>
      </c>
      <c r="L163" s="142">
        <f t="shared" si="16"/>
        <v>13566972.933239272</v>
      </c>
    </row>
    <row r="164" spans="5:12" x14ac:dyDescent="0.35">
      <c r="E164" s="135">
        <v>151</v>
      </c>
      <c r="F164" s="135">
        <v>0</v>
      </c>
      <c r="G164" s="141">
        <f t="shared" si="12"/>
        <v>0</v>
      </c>
      <c r="H164" s="155">
        <f t="shared" si="13"/>
        <v>0</v>
      </c>
      <c r="I164" s="142">
        <f t="shared" si="14"/>
        <v>13430340</v>
      </c>
      <c r="J164" s="142">
        <v>0</v>
      </c>
      <c r="K164" s="142">
        <f t="shared" si="15"/>
        <v>0</v>
      </c>
      <c r="L164" s="142">
        <f t="shared" si="16"/>
        <v>13430340</v>
      </c>
    </row>
    <row r="165" spans="5:12" x14ac:dyDescent="0.35">
      <c r="E165" s="135">
        <v>152</v>
      </c>
      <c r="F165" s="135">
        <v>0</v>
      </c>
      <c r="G165" s="141">
        <f t="shared" si="12"/>
        <v>0</v>
      </c>
      <c r="H165" s="155">
        <f t="shared" si="13"/>
        <v>0</v>
      </c>
      <c r="I165" s="142">
        <f t="shared" si="14"/>
        <v>13430340</v>
      </c>
      <c r="J165" s="142">
        <v>0</v>
      </c>
      <c r="K165" s="142">
        <f t="shared" si="15"/>
        <v>0</v>
      </c>
      <c r="L165" s="142">
        <f t="shared" si="16"/>
        <v>13430340</v>
      </c>
    </row>
    <row r="166" spans="5:12" x14ac:dyDescent="0.35">
      <c r="E166" s="135">
        <v>153</v>
      </c>
      <c r="F166" s="135">
        <v>0</v>
      </c>
      <c r="G166" s="141">
        <f t="shared" si="12"/>
        <v>0</v>
      </c>
      <c r="H166" s="155">
        <f t="shared" si="13"/>
        <v>0</v>
      </c>
      <c r="I166" s="142">
        <f t="shared" si="14"/>
        <v>13430340</v>
      </c>
      <c r="J166" s="142">
        <v>0</v>
      </c>
      <c r="K166" s="142">
        <f t="shared" si="15"/>
        <v>0</v>
      </c>
      <c r="L166" s="142">
        <f t="shared" si="16"/>
        <v>13430340</v>
      </c>
    </row>
    <row r="167" spans="5:12" x14ac:dyDescent="0.35">
      <c r="E167" s="135">
        <v>154</v>
      </c>
      <c r="F167" s="135">
        <v>0</v>
      </c>
      <c r="G167" s="141">
        <f t="shared" si="12"/>
        <v>0</v>
      </c>
      <c r="H167" s="155">
        <f t="shared" si="13"/>
        <v>0</v>
      </c>
      <c r="I167" s="142">
        <f t="shared" si="14"/>
        <v>13430340</v>
      </c>
      <c r="J167" s="142">
        <v>0</v>
      </c>
      <c r="K167" s="142">
        <f t="shared" si="15"/>
        <v>0</v>
      </c>
      <c r="L167" s="142">
        <f t="shared" si="16"/>
        <v>13430340</v>
      </c>
    </row>
    <row r="168" spans="5:12" x14ac:dyDescent="0.35">
      <c r="E168" s="135">
        <v>155</v>
      </c>
      <c r="F168" s="135">
        <v>0</v>
      </c>
      <c r="G168" s="141">
        <f t="shared" si="12"/>
        <v>0</v>
      </c>
      <c r="H168" s="155">
        <f t="shared" si="13"/>
        <v>0</v>
      </c>
      <c r="I168" s="142">
        <f t="shared" si="14"/>
        <v>13430340</v>
      </c>
      <c r="J168" s="142">
        <v>0</v>
      </c>
      <c r="K168" s="142">
        <f t="shared" si="15"/>
        <v>0</v>
      </c>
      <c r="L168" s="142">
        <f t="shared" si="16"/>
        <v>13430340</v>
      </c>
    </row>
    <row r="169" spans="5:12" x14ac:dyDescent="0.35">
      <c r="E169" s="135">
        <v>156</v>
      </c>
      <c r="F169" s="135">
        <v>1</v>
      </c>
      <c r="G169" s="141">
        <f t="shared" si="12"/>
        <v>23.813582244547764</v>
      </c>
      <c r="H169" s="155">
        <f t="shared" si="13"/>
        <v>0</v>
      </c>
      <c r="I169" s="142">
        <f t="shared" si="14"/>
        <v>13430340</v>
      </c>
      <c r="J169" s="142">
        <v>0</v>
      </c>
      <c r="K169" s="142">
        <f t="shared" si="15"/>
        <v>136632.93323927111</v>
      </c>
      <c r="L169" s="142">
        <f t="shared" si="16"/>
        <v>13566972.933239272</v>
      </c>
    </row>
    <row r="170" spans="5:12" x14ac:dyDescent="0.35">
      <c r="E170" s="135">
        <v>157</v>
      </c>
      <c r="F170" s="135">
        <v>0</v>
      </c>
      <c r="G170" s="141">
        <f t="shared" si="12"/>
        <v>0</v>
      </c>
      <c r="H170" s="155">
        <f t="shared" si="13"/>
        <v>0</v>
      </c>
      <c r="I170" s="142">
        <f t="shared" si="14"/>
        <v>13430340</v>
      </c>
      <c r="J170" s="142">
        <v>0</v>
      </c>
      <c r="K170" s="142">
        <f t="shared" si="15"/>
        <v>0</v>
      </c>
      <c r="L170" s="142">
        <f t="shared" si="16"/>
        <v>13430340</v>
      </c>
    </row>
    <row r="171" spans="5:12" x14ac:dyDescent="0.35">
      <c r="E171" s="135">
        <v>158</v>
      </c>
      <c r="F171" s="135">
        <v>0</v>
      </c>
      <c r="G171" s="141">
        <f t="shared" si="12"/>
        <v>0</v>
      </c>
      <c r="H171" s="155">
        <f t="shared" si="13"/>
        <v>0</v>
      </c>
      <c r="I171" s="142">
        <f t="shared" si="14"/>
        <v>13430340</v>
      </c>
      <c r="J171" s="142">
        <v>0</v>
      </c>
      <c r="K171" s="142">
        <f t="shared" si="15"/>
        <v>0</v>
      </c>
      <c r="L171" s="142">
        <f t="shared" si="16"/>
        <v>13430340</v>
      </c>
    </row>
    <row r="172" spans="5:12" x14ac:dyDescent="0.35">
      <c r="E172" s="135">
        <v>159</v>
      </c>
      <c r="F172" s="135">
        <v>0</v>
      </c>
      <c r="G172" s="141">
        <f t="shared" si="12"/>
        <v>0</v>
      </c>
      <c r="H172" s="155">
        <f t="shared" si="13"/>
        <v>0</v>
      </c>
      <c r="I172" s="142">
        <f t="shared" si="14"/>
        <v>13430340</v>
      </c>
      <c r="J172" s="142">
        <v>0</v>
      </c>
      <c r="K172" s="142">
        <f t="shared" si="15"/>
        <v>0</v>
      </c>
      <c r="L172" s="142">
        <f t="shared" si="16"/>
        <v>13430340</v>
      </c>
    </row>
    <row r="173" spans="5:12" x14ac:dyDescent="0.35">
      <c r="E173" s="135">
        <v>160</v>
      </c>
      <c r="F173" s="135">
        <v>0</v>
      </c>
      <c r="G173" s="141">
        <f t="shared" si="12"/>
        <v>0</v>
      </c>
      <c r="H173" s="155">
        <f t="shared" si="13"/>
        <v>0</v>
      </c>
      <c r="I173" s="142">
        <f t="shared" si="14"/>
        <v>13430340</v>
      </c>
      <c r="J173" s="142">
        <v>0</v>
      </c>
      <c r="K173" s="142">
        <f t="shared" si="15"/>
        <v>0</v>
      </c>
      <c r="L173" s="142">
        <f t="shared" si="16"/>
        <v>13430340</v>
      </c>
    </row>
    <row r="174" spans="5:12" x14ac:dyDescent="0.35">
      <c r="E174" s="135">
        <v>161</v>
      </c>
      <c r="F174" s="135">
        <v>0</v>
      </c>
      <c r="G174" s="141">
        <f t="shared" si="12"/>
        <v>0</v>
      </c>
      <c r="H174" s="155">
        <f t="shared" si="13"/>
        <v>0</v>
      </c>
      <c r="I174" s="142">
        <f t="shared" si="14"/>
        <v>13430340</v>
      </c>
      <c r="J174" s="142">
        <v>0</v>
      </c>
      <c r="K174" s="142">
        <f t="shared" si="15"/>
        <v>0</v>
      </c>
      <c r="L174" s="142">
        <f t="shared" si="16"/>
        <v>13430340</v>
      </c>
    </row>
    <row r="175" spans="5:12" x14ac:dyDescent="0.35">
      <c r="E175" s="135">
        <v>162</v>
      </c>
      <c r="F175" s="135">
        <v>1</v>
      </c>
      <c r="G175" s="141">
        <f t="shared" si="12"/>
        <v>23.813582244547764</v>
      </c>
      <c r="H175" s="155">
        <f t="shared" si="13"/>
        <v>0</v>
      </c>
      <c r="I175" s="142">
        <f t="shared" si="14"/>
        <v>13430340</v>
      </c>
      <c r="J175" s="142">
        <v>0</v>
      </c>
      <c r="K175" s="142">
        <f t="shared" si="15"/>
        <v>136632.93323927111</v>
      </c>
      <c r="L175" s="142">
        <f t="shared" si="16"/>
        <v>13566972.933239272</v>
      </c>
    </row>
    <row r="176" spans="5:12" x14ac:dyDescent="0.35">
      <c r="E176" s="135">
        <v>163</v>
      </c>
      <c r="F176" s="135">
        <v>0</v>
      </c>
      <c r="G176" s="141">
        <f t="shared" si="12"/>
        <v>0</v>
      </c>
      <c r="H176" s="155">
        <f t="shared" si="13"/>
        <v>0</v>
      </c>
      <c r="I176" s="142">
        <f t="shared" si="14"/>
        <v>13430340</v>
      </c>
      <c r="J176" s="142">
        <v>0</v>
      </c>
      <c r="K176" s="142">
        <f t="shared" si="15"/>
        <v>0</v>
      </c>
      <c r="L176" s="142">
        <f t="shared" si="16"/>
        <v>13430340</v>
      </c>
    </row>
    <row r="177" spans="5:12" x14ac:dyDescent="0.35">
      <c r="E177" s="135">
        <v>164</v>
      </c>
      <c r="F177" s="135">
        <v>2</v>
      </c>
      <c r="G177" s="141">
        <f t="shared" si="12"/>
        <v>47.627164489095527</v>
      </c>
      <c r="H177" s="155">
        <f t="shared" si="13"/>
        <v>200</v>
      </c>
      <c r="I177" s="142">
        <f t="shared" si="14"/>
        <v>27930340</v>
      </c>
      <c r="J177" s="142">
        <v>0</v>
      </c>
      <c r="K177" s="142">
        <f t="shared" si="15"/>
        <v>273265.86647854222</v>
      </c>
      <c r="L177" s="142">
        <f t="shared" si="16"/>
        <v>28203605.866478544</v>
      </c>
    </row>
    <row r="178" spans="5:12" x14ac:dyDescent="0.35">
      <c r="E178" s="135">
        <v>165</v>
      </c>
      <c r="F178" s="135">
        <v>0</v>
      </c>
      <c r="G178" s="141">
        <f t="shared" si="12"/>
        <v>0</v>
      </c>
      <c r="H178" s="155">
        <f t="shared" si="13"/>
        <v>0</v>
      </c>
      <c r="I178" s="142">
        <f t="shared" si="14"/>
        <v>13430340</v>
      </c>
      <c r="J178" s="142">
        <v>0</v>
      </c>
      <c r="K178" s="142">
        <f t="shared" si="15"/>
        <v>0</v>
      </c>
      <c r="L178" s="142">
        <f t="shared" si="16"/>
        <v>13430340</v>
      </c>
    </row>
    <row r="179" spans="5:12" x14ac:dyDescent="0.35">
      <c r="E179" s="135">
        <v>166</v>
      </c>
      <c r="F179" s="135">
        <v>0</v>
      </c>
      <c r="G179" s="141">
        <f t="shared" si="12"/>
        <v>0</v>
      </c>
      <c r="H179" s="155">
        <f t="shared" si="13"/>
        <v>0</v>
      </c>
      <c r="I179" s="142">
        <f t="shared" si="14"/>
        <v>13430340</v>
      </c>
      <c r="J179" s="142">
        <v>0</v>
      </c>
      <c r="K179" s="142">
        <f t="shared" si="15"/>
        <v>0</v>
      </c>
      <c r="L179" s="142">
        <f t="shared" si="16"/>
        <v>13430340</v>
      </c>
    </row>
    <row r="180" spans="5:12" x14ac:dyDescent="0.35">
      <c r="E180" s="135">
        <v>167</v>
      </c>
      <c r="F180" s="135">
        <v>0</v>
      </c>
      <c r="G180" s="141">
        <f t="shared" si="12"/>
        <v>0</v>
      </c>
      <c r="H180" s="155">
        <f t="shared" si="13"/>
        <v>0</v>
      </c>
      <c r="I180" s="142">
        <f t="shared" si="14"/>
        <v>13430340</v>
      </c>
      <c r="J180" s="142">
        <v>0</v>
      </c>
      <c r="K180" s="142">
        <f t="shared" si="15"/>
        <v>0</v>
      </c>
      <c r="L180" s="142">
        <f t="shared" si="16"/>
        <v>13430340</v>
      </c>
    </row>
    <row r="181" spans="5:12" x14ac:dyDescent="0.35">
      <c r="E181" s="135">
        <v>168</v>
      </c>
      <c r="F181" s="135">
        <v>0</v>
      </c>
      <c r="G181" s="141">
        <f t="shared" si="12"/>
        <v>0</v>
      </c>
      <c r="H181" s="155">
        <f t="shared" si="13"/>
        <v>0</v>
      </c>
      <c r="I181" s="142">
        <f t="shared" si="14"/>
        <v>13430340</v>
      </c>
      <c r="J181" s="142">
        <v>0</v>
      </c>
      <c r="K181" s="142">
        <f t="shared" si="15"/>
        <v>0</v>
      </c>
      <c r="L181" s="142">
        <f t="shared" si="16"/>
        <v>13430340</v>
      </c>
    </row>
    <row r="182" spans="5:12" x14ac:dyDescent="0.35">
      <c r="E182" s="135">
        <v>169</v>
      </c>
      <c r="F182" s="135">
        <v>0</v>
      </c>
      <c r="G182" s="141">
        <f t="shared" si="12"/>
        <v>0</v>
      </c>
      <c r="H182" s="155">
        <f t="shared" si="13"/>
        <v>0</v>
      </c>
      <c r="I182" s="142">
        <f t="shared" si="14"/>
        <v>13430340</v>
      </c>
      <c r="J182" s="142">
        <v>0</v>
      </c>
      <c r="K182" s="142">
        <f t="shared" si="15"/>
        <v>0</v>
      </c>
      <c r="L182" s="142">
        <f t="shared" si="16"/>
        <v>13430340</v>
      </c>
    </row>
    <row r="183" spans="5:12" x14ac:dyDescent="0.35">
      <c r="E183" s="135">
        <v>170</v>
      </c>
      <c r="F183" s="135">
        <v>0</v>
      </c>
      <c r="G183" s="141">
        <f t="shared" si="12"/>
        <v>0</v>
      </c>
      <c r="H183" s="155">
        <f t="shared" si="13"/>
        <v>0</v>
      </c>
      <c r="I183" s="142">
        <f t="shared" si="14"/>
        <v>13430340</v>
      </c>
      <c r="J183" s="142">
        <v>0</v>
      </c>
      <c r="K183" s="142">
        <f t="shared" si="15"/>
        <v>0</v>
      </c>
      <c r="L183" s="142">
        <f t="shared" si="16"/>
        <v>13430340</v>
      </c>
    </row>
    <row r="184" spans="5:12" x14ac:dyDescent="0.35">
      <c r="E184" s="135">
        <v>171</v>
      </c>
      <c r="F184" s="135">
        <v>0</v>
      </c>
      <c r="G184" s="141">
        <f t="shared" si="12"/>
        <v>0</v>
      </c>
      <c r="H184" s="155">
        <f t="shared" si="13"/>
        <v>0</v>
      </c>
      <c r="I184" s="142">
        <f t="shared" si="14"/>
        <v>13430340</v>
      </c>
      <c r="J184" s="142">
        <v>0</v>
      </c>
      <c r="K184" s="142">
        <f t="shared" si="15"/>
        <v>0</v>
      </c>
      <c r="L184" s="142">
        <f t="shared" si="16"/>
        <v>13430340</v>
      </c>
    </row>
    <row r="185" spans="5:12" x14ac:dyDescent="0.35">
      <c r="E185" s="135">
        <v>172</v>
      </c>
      <c r="F185" s="135">
        <v>1</v>
      </c>
      <c r="G185" s="141">
        <f t="shared" si="12"/>
        <v>23.813582244547764</v>
      </c>
      <c r="H185" s="155">
        <f t="shared" si="13"/>
        <v>0</v>
      </c>
      <c r="I185" s="142">
        <f t="shared" si="14"/>
        <v>13430340</v>
      </c>
      <c r="J185" s="142">
        <v>0</v>
      </c>
      <c r="K185" s="142">
        <f t="shared" si="15"/>
        <v>136632.93323927111</v>
      </c>
      <c r="L185" s="142">
        <f t="shared" si="16"/>
        <v>13566972.933239272</v>
      </c>
    </row>
    <row r="186" spans="5:12" x14ac:dyDescent="0.35">
      <c r="E186" s="135">
        <v>173</v>
      </c>
      <c r="F186" s="135">
        <v>0</v>
      </c>
      <c r="G186" s="141">
        <f t="shared" si="12"/>
        <v>0</v>
      </c>
      <c r="H186" s="155">
        <f t="shared" si="13"/>
        <v>0</v>
      </c>
      <c r="I186" s="142">
        <f t="shared" si="14"/>
        <v>13430340</v>
      </c>
      <c r="J186" s="142">
        <v>0</v>
      </c>
      <c r="K186" s="142">
        <f t="shared" si="15"/>
        <v>0</v>
      </c>
      <c r="L186" s="142">
        <f t="shared" si="16"/>
        <v>13430340</v>
      </c>
    </row>
    <row r="187" spans="5:12" x14ac:dyDescent="0.35">
      <c r="E187" s="135">
        <v>174</v>
      </c>
      <c r="F187" s="135">
        <v>0</v>
      </c>
      <c r="G187" s="141">
        <f t="shared" si="12"/>
        <v>0</v>
      </c>
      <c r="H187" s="155">
        <f t="shared" si="13"/>
        <v>0</v>
      </c>
      <c r="I187" s="142">
        <f t="shared" si="14"/>
        <v>13430340</v>
      </c>
      <c r="J187" s="142">
        <v>0</v>
      </c>
      <c r="K187" s="142">
        <f t="shared" si="15"/>
        <v>0</v>
      </c>
      <c r="L187" s="142">
        <f t="shared" si="16"/>
        <v>13430340</v>
      </c>
    </row>
    <row r="188" spans="5:12" x14ac:dyDescent="0.35">
      <c r="E188" s="135">
        <v>175</v>
      </c>
      <c r="F188" s="135">
        <v>0</v>
      </c>
      <c r="G188" s="141">
        <f t="shared" si="12"/>
        <v>0</v>
      </c>
      <c r="H188" s="155">
        <f t="shared" si="13"/>
        <v>0</v>
      </c>
      <c r="I188" s="142">
        <f t="shared" si="14"/>
        <v>13430340</v>
      </c>
      <c r="J188" s="142">
        <v>0</v>
      </c>
      <c r="K188" s="142">
        <f t="shared" si="15"/>
        <v>0</v>
      </c>
      <c r="L188" s="142">
        <f t="shared" si="16"/>
        <v>13430340</v>
      </c>
    </row>
    <row r="189" spans="5:12" x14ac:dyDescent="0.35">
      <c r="E189" s="135">
        <v>176</v>
      </c>
      <c r="F189" s="135">
        <v>0</v>
      </c>
      <c r="G189" s="141">
        <f t="shared" si="12"/>
        <v>0</v>
      </c>
      <c r="H189" s="155">
        <f t="shared" si="13"/>
        <v>0</v>
      </c>
      <c r="I189" s="142">
        <f t="shared" si="14"/>
        <v>13430340</v>
      </c>
      <c r="J189" s="142">
        <v>0</v>
      </c>
      <c r="K189" s="142">
        <f t="shared" si="15"/>
        <v>0</v>
      </c>
      <c r="L189" s="142">
        <f t="shared" si="16"/>
        <v>13430340</v>
      </c>
    </row>
    <row r="190" spans="5:12" x14ac:dyDescent="0.35">
      <c r="E190" s="135">
        <v>177</v>
      </c>
      <c r="F190" s="135">
        <v>0</v>
      </c>
      <c r="G190" s="141">
        <f t="shared" si="12"/>
        <v>0</v>
      </c>
      <c r="H190" s="155">
        <f t="shared" si="13"/>
        <v>0</v>
      </c>
      <c r="I190" s="142">
        <f t="shared" si="14"/>
        <v>13430340</v>
      </c>
      <c r="J190" s="142">
        <v>0</v>
      </c>
      <c r="K190" s="142">
        <f t="shared" si="15"/>
        <v>0</v>
      </c>
      <c r="L190" s="142">
        <f t="shared" si="16"/>
        <v>13430340</v>
      </c>
    </row>
    <row r="191" spans="5:12" x14ac:dyDescent="0.35">
      <c r="E191" s="135">
        <v>178</v>
      </c>
      <c r="F191" s="135">
        <v>0</v>
      </c>
      <c r="G191" s="141">
        <f t="shared" si="12"/>
        <v>0</v>
      </c>
      <c r="H191" s="155">
        <f t="shared" si="13"/>
        <v>0</v>
      </c>
      <c r="I191" s="142">
        <f t="shared" si="14"/>
        <v>13430340</v>
      </c>
      <c r="J191" s="142">
        <v>0</v>
      </c>
      <c r="K191" s="142">
        <f t="shared" si="15"/>
        <v>0</v>
      </c>
      <c r="L191" s="142">
        <f t="shared" si="16"/>
        <v>13430340</v>
      </c>
    </row>
    <row r="192" spans="5:12" x14ac:dyDescent="0.35">
      <c r="E192" s="135">
        <v>179</v>
      </c>
      <c r="F192" s="135">
        <v>0</v>
      </c>
      <c r="G192" s="141">
        <f t="shared" si="12"/>
        <v>0</v>
      </c>
      <c r="H192" s="155">
        <f t="shared" si="13"/>
        <v>0</v>
      </c>
      <c r="I192" s="142">
        <f t="shared" si="14"/>
        <v>13430340</v>
      </c>
      <c r="J192" s="142">
        <v>0</v>
      </c>
      <c r="K192" s="142">
        <f t="shared" si="15"/>
        <v>0</v>
      </c>
      <c r="L192" s="142">
        <f t="shared" si="16"/>
        <v>13430340</v>
      </c>
    </row>
    <row r="193" spans="5:12" x14ac:dyDescent="0.35">
      <c r="E193" s="135">
        <v>180</v>
      </c>
      <c r="F193" s="135">
        <v>0</v>
      </c>
      <c r="G193" s="141">
        <f t="shared" si="12"/>
        <v>0</v>
      </c>
      <c r="H193" s="155">
        <f t="shared" si="13"/>
        <v>0</v>
      </c>
      <c r="I193" s="142">
        <f t="shared" si="14"/>
        <v>13430340</v>
      </c>
      <c r="J193" s="142">
        <v>0</v>
      </c>
      <c r="K193" s="142">
        <f t="shared" si="15"/>
        <v>0</v>
      </c>
      <c r="L193" s="142">
        <f t="shared" si="16"/>
        <v>13430340</v>
      </c>
    </row>
    <row r="194" spans="5:12" x14ac:dyDescent="0.35">
      <c r="E194" s="135">
        <v>181</v>
      </c>
      <c r="F194" s="135">
        <v>0</v>
      </c>
      <c r="G194" s="141">
        <f t="shared" si="12"/>
        <v>0</v>
      </c>
      <c r="H194" s="155">
        <f t="shared" si="13"/>
        <v>0</v>
      </c>
      <c r="I194" s="142">
        <f t="shared" si="14"/>
        <v>13430340</v>
      </c>
      <c r="J194" s="142">
        <v>0</v>
      </c>
      <c r="K194" s="142">
        <f t="shared" si="15"/>
        <v>0</v>
      </c>
      <c r="L194" s="142">
        <f t="shared" si="16"/>
        <v>13430340</v>
      </c>
    </row>
    <row r="195" spans="5:12" x14ac:dyDescent="0.35">
      <c r="E195" s="135">
        <v>182</v>
      </c>
      <c r="F195" s="135">
        <v>1</v>
      </c>
      <c r="G195" s="141">
        <f t="shared" si="12"/>
        <v>23.813582244547764</v>
      </c>
      <c r="H195" s="155">
        <f t="shared" si="13"/>
        <v>0</v>
      </c>
      <c r="I195" s="142">
        <f t="shared" si="14"/>
        <v>13430340</v>
      </c>
      <c r="J195" s="142">
        <v>0</v>
      </c>
      <c r="K195" s="142">
        <f t="shared" si="15"/>
        <v>136632.93323927111</v>
      </c>
      <c r="L195" s="142">
        <f t="shared" si="16"/>
        <v>13566972.933239272</v>
      </c>
    </row>
    <row r="196" spans="5:12" x14ac:dyDescent="0.35">
      <c r="E196" s="135">
        <v>183</v>
      </c>
      <c r="F196" s="135">
        <v>0</v>
      </c>
      <c r="G196" s="141">
        <f t="shared" si="12"/>
        <v>0</v>
      </c>
      <c r="H196" s="155">
        <f t="shared" si="13"/>
        <v>0</v>
      </c>
      <c r="I196" s="142">
        <f t="shared" si="14"/>
        <v>13430340</v>
      </c>
      <c r="J196" s="142">
        <v>0</v>
      </c>
      <c r="K196" s="142">
        <f t="shared" si="15"/>
        <v>0</v>
      </c>
      <c r="L196" s="142">
        <f t="shared" si="16"/>
        <v>13430340</v>
      </c>
    </row>
    <row r="197" spans="5:12" x14ac:dyDescent="0.35">
      <c r="E197" s="135">
        <v>184</v>
      </c>
      <c r="F197" s="135">
        <v>0</v>
      </c>
      <c r="G197" s="141">
        <f t="shared" si="12"/>
        <v>0</v>
      </c>
      <c r="H197" s="155">
        <f t="shared" si="13"/>
        <v>0</v>
      </c>
      <c r="I197" s="142">
        <f t="shared" si="14"/>
        <v>13430340</v>
      </c>
      <c r="J197" s="142">
        <v>0</v>
      </c>
      <c r="K197" s="142">
        <f t="shared" si="15"/>
        <v>0</v>
      </c>
      <c r="L197" s="142">
        <f t="shared" si="16"/>
        <v>13430340</v>
      </c>
    </row>
    <row r="198" spans="5:12" x14ac:dyDescent="0.35">
      <c r="E198" s="135">
        <v>185</v>
      </c>
      <c r="F198" s="135">
        <v>1</v>
      </c>
      <c r="G198" s="141">
        <f t="shared" si="12"/>
        <v>23.813582244547764</v>
      </c>
      <c r="H198" s="155">
        <f t="shared" si="13"/>
        <v>0</v>
      </c>
      <c r="I198" s="142">
        <f t="shared" si="14"/>
        <v>13430340</v>
      </c>
      <c r="J198" s="142">
        <v>0</v>
      </c>
      <c r="K198" s="142">
        <f t="shared" si="15"/>
        <v>136632.93323927111</v>
      </c>
      <c r="L198" s="142">
        <f t="shared" si="16"/>
        <v>13566972.933239272</v>
      </c>
    </row>
    <row r="199" spans="5:12" x14ac:dyDescent="0.35">
      <c r="E199" s="135">
        <v>186</v>
      </c>
      <c r="F199" s="135">
        <v>0</v>
      </c>
      <c r="G199" s="141">
        <f t="shared" si="12"/>
        <v>0</v>
      </c>
      <c r="H199" s="155">
        <f t="shared" si="13"/>
        <v>0</v>
      </c>
      <c r="I199" s="142">
        <f t="shared" si="14"/>
        <v>13430340</v>
      </c>
      <c r="J199" s="142">
        <v>0</v>
      </c>
      <c r="K199" s="142">
        <f t="shared" si="15"/>
        <v>0</v>
      </c>
      <c r="L199" s="142">
        <f t="shared" si="16"/>
        <v>13430340</v>
      </c>
    </row>
    <row r="200" spans="5:12" x14ac:dyDescent="0.35">
      <c r="E200" s="135">
        <v>187</v>
      </c>
      <c r="F200" s="135">
        <v>1</v>
      </c>
      <c r="G200" s="141">
        <f t="shared" si="12"/>
        <v>23.813582244547764</v>
      </c>
      <c r="H200" s="155">
        <f t="shared" si="13"/>
        <v>0</v>
      </c>
      <c r="I200" s="142">
        <f t="shared" si="14"/>
        <v>13430340</v>
      </c>
      <c r="J200" s="142">
        <v>0</v>
      </c>
      <c r="K200" s="142">
        <f t="shared" si="15"/>
        <v>136632.93323927111</v>
      </c>
      <c r="L200" s="142">
        <f t="shared" si="16"/>
        <v>13566972.933239272</v>
      </c>
    </row>
    <row r="201" spans="5:12" x14ac:dyDescent="0.35">
      <c r="E201" s="135">
        <v>188</v>
      </c>
      <c r="F201" s="135">
        <v>0</v>
      </c>
      <c r="G201" s="141">
        <f t="shared" si="12"/>
        <v>0</v>
      </c>
      <c r="H201" s="155">
        <f t="shared" si="13"/>
        <v>0</v>
      </c>
      <c r="I201" s="142">
        <f t="shared" si="14"/>
        <v>13430340</v>
      </c>
      <c r="J201" s="142">
        <v>0</v>
      </c>
      <c r="K201" s="142">
        <f t="shared" si="15"/>
        <v>0</v>
      </c>
      <c r="L201" s="142">
        <f t="shared" si="16"/>
        <v>13430340</v>
      </c>
    </row>
    <row r="202" spans="5:12" x14ac:dyDescent="0.35">
      <c r="E202" s="135">
        <v>189</v>
      </c>
      <c r="F202" s="135">
        <v>0</v>
      </c>
      <c r="G202" s="141">
        <f t="shared" si="12"/>
        <v>0</v>
      </c>
      <c r="H202" s="155">
        <f t="shared" si="13"/>
        <v>0</v>
      </c>
      <c r="I202" s="142">
        <f t="shared" si="14"/>
        <v>13430340</v>
      </c>
      <c r="J202" s="142">
        <v>0</v>
      </c>
      <c r="K202" s="142">
        <f t="shared" si="15"/>
        <v>0</v>
      </c>
      <c r="L202" s="142">
        <f t="shared" si="16"/>
        <v>13430340</v>
      </c>
    </row>
    <row r="203" spans="5:12" x14ac:dyDescent="0.35">
      <c r="E203" s="135">
        <v>190</v>
      </c>
      <c r="F203" s="135">
        <v>0</v>
      </c>
      <c r="G203" s="141">
        <f t="shared" si="12"/>
        <v>0</v>
      </c>
      <c r="H203" s="155">
        <f t="shared" si="13"/>
        <v>0</v>
      </c>
      <c r="I203" s="142">
        <f t="shared" si="14"/>
        <v>13430340</v>
      </c>
      <c r="J203" s="142">
        <v>0</v>
      </c>
      <c r="K203" s="142">
        <f t="shared" si="15"/>
        <v>0</v>
      </c>
      <c r="L203" s="142">
        <f t="shared" si="16"/>
        <v>13430340</v>
      </c>
    </row>
    <row r="204" spans="5:12" x14ac:dyDescent="0.35">
      <c r="E204" s="135">
        <v>191</v>
      </c>
      <c r="F204" s="135">
        <v>0</v>
      </c>
      <c r="G204" s="141">
        <f t="shared" si="12"/>
        <v>0</v>
      </c>
      <c r="H204" s="155">
        <f t="shared" si="13"/>
        <v>0</v>
      </c>
      <c r="I204" s="142">
        <f t="shared" si="14"/>
        <v>13430340</v>
      </c>
      <c r="J204" s="142">
        <v>0</v>
      </c>
      <c r="K204" s="142">
        <f t="shared" si="15"/>
        <v>0</v>
      </c>
      <c r="L204" s="142">
        <f t="shared" si="16"/>
        <v>13430340</v>
      </c>
    </row>
    <row r="205" spans="5:12" x14ac:dyDescent="0.35">
      <c r="E205" s="135">
        <v>192</v>
      </c>
      <c r="F205" s="135">
        <v>0</v>
      </c>
      <c r="G205" s="141">
        <f t="shared" si="12"/>
        <v>0</v>
      </c>
      <c r="H205" s="155">
        <f t="shared" si="13"/>
        <v>0</v>
      </c>
      <c r="I205" s="142">
        <f t="shared" si="14"/>
        <v>13430340</v>
      </c>
      <c r="J205" s="142">
        <v>0</v>
      </c>
      <c r="K205" s="142">
        <f t="shared" si="15"/>
        <v>0</v>
      </c>
      <c r="L205" s="142">
        <f t="shared" si="16"/>
        <v>13430340</v>
      </c>
    </row>
    <row r="206" spans="5:12" x14ac:dyDescent="0.35">
      <c r="E206" s="135">
        <v>193</v>
      </c>
      <c r="F206" s="135">
        <v>0</v>
      </c>
      <c r="G206" s="141">
        <f t="shared" ref="G206:G269" si="17">F206*$C$10</f>
        <v>0</v>
      </c>
      <c r="H206" s="155">
        <f t="shared" ref="H206:H269" si="18">IF(F206 &gt; 1,$C$14*20000,0)</f>
        <v>0</v>
      </c>
      <c r="I206" s="142">
        <f t="shared" ref="I206:I269" si="19">IF(F206 &gt; 1,$C$5+$G$2,$G$2)</f>
        <v>13430340</v>
      </c>
      <c r="J206" s="142">
        <v>0</v>
      </c>
      <c r="K206" s="142">
        <f t="shared" ref="K206:K269" si="20">F206*$C$6</f>
        <v>0</v>
      </c>
      <c r="L206" s="142">
        <f t="shared" ref="L206:L269" si="21">J206+I206+K206</f>
        <v>13430340</v>
      </c>
    </row>
    <row r="207" spans="5:12" x14ac:dyDescent="0.35">
      <c r="E207" s="135">
        <v>194</v>
      </c>
      <c r="F207" s="135">
        <v>0</v>
      </c>
      <c r="G207" s="141">
        <f t="shared" si="17"/>
        <v>0</v>
      </c>
      <c r="H207" s="155">
        <f t="shared" si="18"/>
        <v>0</v>
      </c>
      <c r="I207" s="142">
        <f t="shared" si="19"/>
        <v>13430340</v>
      </c>
      <c r="J207" s="142">
        <v>0</v>
      </c>
      <c r="K207" s="142">
        <f t="shared" si="20"/>
        <v>0</v>
      </c>
      <c r="L207" s="142">
        <f t="shared" si="21"/>
        <v>13430340</v>
      </c>
    </row>
    <row r="208" spans="5:12" x14ac:dyDescent="0.35">
      <c r="E208" s="135">
        <v>195</v>
      </c>
      <c r="F208" s="135">
        <v>0</v>
      </c>
      <c r="G208" s="141">
        <f t="shared" si="17"/>
        <v>0</v>
      </c>
      <c r="H208" s="155">
        <f t="shared" si="18"/>
        <v>0</v>
      </c>
      <c r="I208" s="142">
        <f t="shared" si="19"/>
        <v>13430340</v>
      </c>
      <c r="J208" s="142">
        <v>0</v>
      </c>
      <c r="K208" s="142">
        <f t="shared" si="20"/>
        <v>0</v>
      </c>
      <c r="L208" s="142">
        <f t="shared" si="21"/>
        <v>13430340</v>
      </c>
    </row>
    <row r="209" spans="5:12" x14ac:dyDescent="0.35">
      <c r="E209" s="135">
        <v>196</v>
      </c>
      <c r="F209" s="135">
        <v>0</v>
      </c>
      <c r="G209" s="141">
        <f t="shared" si="17"/>
        <v>0</v>
      </c>
      <c r="H209" s="155">
        <f t="shared" si="18"/>
        <v>0</v>
      </c>
      <c r="I209" s="142">
        <f t="shared" si="19"/>
        <v>13430340</v>
      </c>
      <c r="J209" s="142">
        <v>0</v>
      </c>
      <c r="K209" s="142">
        <f t="shared" si="20"/>
        <v>0</v>
      </c>
      <c r="L209" s="142">
        <f t="shared" si="21"/>
        <v>13430340</v>
      </c>
    </row>
    <row r="210" spans="5:12" x14ac:dyDescent="0.35">
      <c r="E210" s="135">
        <v>197</v>
      </c>
      <c r="F210" s="135">
        <v>0</v>
      </c>
      <c r="G210" s="141">
        <f t="shared" si="17"/>
        <v>0</v>
      </c>
      <c r="H210" s="155">
        <f t="shared" si="18"/>
        <v>0</v>
      </c>
      <c r="I210" s="142">
        <f t="shared" si="19"/>
        <v>13430340</v>
      </c>
      <c r="J210" s="142">
        <v>0</v>
      </c>
      <c r="K210" s="142">
        <f t="shared" si="20"/>
        <v>0</v>
      </c>
      <c r="L210" s="142">
        <f t="shared" si="21"/>
        <v>13430340</v>
      </c>
    </row>
    <row r="211" spans="5:12" x14ac:dyDescent="0.35">
      <c r="E211" s="135">
        <v>198</v>
      </c>
      <c r="F211" s="135">
        <v>0</v>
      </c>
      <c r="G211" s="141">
        <f t="shared" si="17"/>
        <v>0</v>
      </c>
      <c r="H211" s="155">
        <f t="shared" si="18"/>
        <v>0</v>
      </c>
      <c r="I211" s="142">
        <f t="shared" si="19"/>
        <v>13430340</v>
      </c>
      <c r="J211" s="142">
        <v>0</v>
      </c>
      <c r="K211" s="142">
        <f t="shared" si="20"/>
        <v>0</v>
      </c>
      <c r="L211" s="142">
        <f t="shared" si="21"/>
        <v>13430340</v>
      </c>
    </row>
    <row r="212" spans="5:12" x14ac:dyDescent="0.35">
      <c r="E212" s="135">
        <v>199</v>
      </c>
      <c r="F212" s="135">
        <v>0</v>
      </c>
      <c r="G212" s="141">
        <f t="shared" si="17"/>
        <v>0</v>
      </c>
      <c r="H212" s="155">
        <f t="shared" si="18"/>
        <v>0</v>
      </c>
      <c r="I212" s="142">
        <f t="shared" si="19"/>
        <v>13430340</v>
      </c>
      <c r="J212" s="142">
        <v>0</v>
      </c>
      <c r="K212" s="142">
        <f t="shared" si="20"/>
        <v>0</v>
      </c>
      <c r="L212" s="142">
        <f t="shared" si="21"/>
        <v>13430340</v>
      </c>
    </row>
    <row r="213" spans="5:12" x14ac:dyDescent="0.35">
      <c r="E213" s="135">
        <v>200</v>
      </c>
      <c r="F213" s="135">
        <v>0</v>
      </c>
      <c r="G213" s="141">
        <f t="shared" si="17"/>
        <v>0</v>
      </c>
      <c r="H213" s="155">
        <f t="shared" si="18"/>
        <v>0</v>
      </c>
      <c r="I213" s="142">
        <f t="shared" si="19"/>
        <v>13430340</v>
      </c>
      <c r="J213" s="142">
        <v>0</v>
      </c>
      <c r="K213" s="142">
        <f t="shared" si="20"/>
        <v>0</v>
      </c>
      <c r="L213" s="142">
        <f t="shared" si="21"/>
        <v>13430340</v>
      </c>
    </row>
    <row r="214" spans="5:12" x14ac:dyDescent="0.35">
      <c r="E214" s="135">
        <v>201</v>
      </c>
      <c r="F214" s="135">
        <v>0</v>
      </c>
      <c r="G214" s="141">
        <f t="shared" si="17"/>
        <v>0</v>
      </c>
      <c r="H214" s="155">
        <f t="shared" si="18"/>
        <v>0</v>
      </c>
      <c r="I214" s="142">
        <f t="shared" si="19"/>
        <v>13430340</v>
      </c>
      <c r="J214" s="142">
        <v>0</v>
      </c>
      <c r="K214" s="142">
        <f t="shared" si="20"/>
        <v>0</v>
      </c>
      <c r="L214" s="142">
        <f t="shared" si="21"/>
        <v>13430340</v>
      </c>
    </row>
    <row r="215" spans="5:12" x14ac:dyDescent="0.35">
      <c r="E215" s="135">
        <v>202</v>
      </c>
      <c r="F215" s="135">
        <v>0</v>
      </c>
      <c r="G215" s="141">
        <f t="shared" si="17"/>
        <v>0</v>
      </c>
      <c r="H215" s="155">
        <f t="shared" si="18"/>
        <v>0</v>
      </c>
      <c r="I215" s="142">
        <f t="shared" si="19"/>
        <v>13430340</v>
      </c>
      <c r="J215" s="142">
        <v>0</v>
      </c>
      <c r="K215" s="142">
        <f t="shared" si="20"/>
        <v>0</v>
      </c>
      <c r="L215" s="142">
        <f t="shared" si="21"/>
        <v>13430340</v>
      </c>
    </row>
    <row r="216" spans="5:12" x14ac:dyDescent="0.35">
      <c r="E216" s="135">
        <v>203</v>
      </c>
      <c r="F216" s="135">
        <v>0</v>
      </c>
      <c r="G216" s="141">
        <f t="shared" si="17"/>
        <v>0</v>
      </c>
      <c r="H216" s="155">
        <f t="shared" si="18"/>
        <v>0</v>
      </c>
      <c r="I216" s="142">
        <f t="shared" si="19"/>
        <v>13430340</v>
      </c>
      <c r="J216" s="142">
        <v>0</v>
      </c>
      <c r="K216" s="142">
        <f t="shared" si="20"/>
        <v>0</v>
      </c>
      <c r="L216" s="142">
        <f t="shared" si="21"/>
        <v>13430340</v>
      </c>
    </row>
    <row r="217" spans="5:12" x14ac:dyDescent="0.35">
      <c r="E217" s="135">
        <v>204</v>
      </c>
      <c r="F217" s="135">
        <v>0</v>
      </c>
      <c r="G217" s="141">
        <f t="shared" si="17"/>
        <v>0</v>
      </c>
      <c r="H217" s="155">
        <f t="shared" si="18"/>
        <v>0</v>
      </c>
      <c r="I217" s="142">
        <f t="shared" si="19"/>
        <v>13430340</v>
      </c>
      <c r="J217" s="142">
        <v>0</v>
      </c>
      <c r="K217" s="142">
        <f t="shared" si="20"/>
        <v>0</v>
      </c>
      <c r="L217" s="142">
        <f t="shared" si="21"/>
        <v>13430340</v>
      </c>
    </row>
    <row r="218" spans="5:12" x14ac:dyDescent="0.35">
      <c r="E218" s="135">
        <v>205</v>
      </c>
      <c r="F218" s="135">
        <v>0</v>
      </c>
      <c r="G218" s="141">
        <f t="shared" si="17"/>
        <v>0</v>
      </c>
      <c r="H218" s="155">
        <f t="shared" si="18"/>
        <v>0</v>
      </c>
      <c r="I218" s="142">
        <f t="shared" si="19"/>
        <v>13430340</v>
      </c>
      <c r="J218" s="142">
        <v>0</v>
      </c>
      <c r="K218" s="142">
        <f t="shared" si="20"/>
        <v>0</v>
      </c>
      <c r="L218" s="142">
        <f t="shared" si="21"/>
        <v>13430340</v>
      </c>
    </row>
    <row r="219" spans="5:12" x14ac:dyDescent="0.35">
      <c r="E219" s="135">
        <v>206</v>
      </c>
      <c r="F219" s="135">
        <v>1</v>
      </c>
      <c r="G219" s="141">
        <f t="shared" si="17"/>
        <v>23.813582244547764</v>
      </c>
      <c r="H219" s="155">
        <f t="shared" si="18"/>
        <v>0</v>
      </c>
      <c r="I219" s="142">
        <f t="shared" si="19"/>
        <v>13430340</v>
      </c>
      <c r="J219" s="142">
        <v>0</v>
      </c>
      <c r="K219" s="142">
        <f t="shared" si="20"/>
        <v>136632.93323927111</v>
      </c>
      <c r="L219" s="142">
        <f t="shared" si="21"/>
        <v>13566972.933239272</v>
      </c>
    </row>
    <row r="220" spans="5:12" x14ac:dyDescent="0.35">
      <c r="E220" s="135">
        <v>207</v>
      </c>
      <c r="F220" s="135">
        <v>0</v>
      </c>
      <c r="G220" s="141">
        <f t="shared" si="17"/>
        <v>0</v>
      </c>
      <c r="H220" s="155">
        <f t="shared" si="18"/>
        <v>0</v>
      </c>
      <c r="I220" s="142">
        <f t="shared" si="19"/>
        <v>13430340</v>
      </c>
      <c r="J220" s="142">
        <v>0</v>
      </c>
      <c r="K220" s="142">
        <f t="shared" si="20"/>
        <v>0</v>
      </c>
      <c r="L220" s="142">
        <f t="shared" si="21"/>
        <v>13430340</v>
      </c>
    </row>
    <row r="221" spans="5:12" x14ac:dyDescent="0.35">
      <c r="E221" s="135">
        <v>208</v>
      </c>
      <c r="F221" s="135">
        <v>0</v>
      </c>
      <c r="G221" s="141">
        <f t="shared" si="17"/>
        <v>0</v>
      </c>
      <c r="H221" s="155">
        <f t="shared" si="18"/>
        <v>0</v>
      </c>
      <c r="I221" s="142">
        <f t="shared" si="19"/>
        <v>13430340</v>
      </c>
      <c r="J221" s="142">
        <v>0</v>
      </c>
      <c r="K221" s="142">
        <f t="shared" si="20"/>
        <v>0</v>
      </c>
      <c r="L221" s="142">
        <f t="shared" si="21"/>
        <v>13430340</v>
      </c>
    </row>
    <row r="222" spans="5:12" x14ac:dyDescent="0.35">
      <c r="E222" s="135">
        <v>209</v>
      </c>
      <c r="F222" s="135">
        <v>0</v>
      </c>
      <c r="G222" s="141">
        <f t="shared" si="17"/>
        <v>0</v>
      </c>
      <c r="H222" s="155">
        <f t="shared" si="18"/>
        <v>0</v>
      </c>
      <c r="I222" s="142">
        <f t="shared" si="19"/>
        <v>13430340</v>
      </c>
      <c r="J222" s="142">
        <v>0</v>
      </c>
      <c r="K222" s="142">
        <f t="shared" si="20"/>
        <v>0</v>
      </c>
      <c r="L222" s="142">
        <f t="shared" si="21"/>
        <v>13430340</v>
      </c>
    </row>
    <row r="223" spans="5:12" x14ac:dyDescent="0.35">
      <c r="E223" s="135">
        <v>210</v>
      </c>
      <c r="F223" s="135">
        <v>0</v>
      </c>
      <c r="G223" s="141">
        <f t="shared" si="17"/>
        <v>0</v>
      </c>
      <c r="H223" s="155">
        <f t="shared" si="18"/>
        <v>0</v>
      </c>
      <c r="I223" s="142">
        <f t="shared" si="19"/>
        <v>13430340</v>
      </c>
      <c r="J223" s="142">
        <v>0</v>
      </c>
      <c r="K223" s="142">
        <f t="shared" si="20"/>
        <v>0</v>
      </c>
      <c r="L223" s="142">
        <f t="shared" si="21"/>
        <v>13430340</v>
      </c>
    </row>
    <row r="224" spans="5:12" x14ac:dyDescent="0.35">
      <c r="E224" s="135">
        <v>211</v>
      </c>
      <c r="F224" s="135">
        <v>0</v>
      </c>
      <c r="G224" s="141">
        <f t="shared" si="17"/>
        <v>0</v>
      </c>
      <c r="H224" s="155">
        <f t="shared" si="18"/>
        <v>0</v>
      </c>
      <c r="I224" s="142">
        <f t="shared" si="19"/>
        <v>13430340</v>
      </c>
      <c r="J224" s="142">
        <v>0</v>
      </c>
      <c r="K224" s="142">
        <f t="shared" si="20"/>
        <v>0</v>
      </c>
      <c r="L224" s="142">
        <f t="shared" si="21"/>
        <v>13430340</v>
      </c>
    </row>
    <row r="225" spans="5:12" x14ac:dyDescent="0.35">
      <c r="E225" s="135">
        <v>212</v>
      </c>
      <c r="F225" s="135">
        <v>0</v>
      </c>
      <c r="G225" s="141">
        <f t="shared" si="17"/>
        <v>0</v>
      </c>
      <c r="H225" s="155">
        <f t="shared" si="18"/>
        <v>0</v>
      </c>
      <c r="I225" s="142">
        <f t="shared" si="19"/>
        <v>13430340</v>
      </c>
      <c r="J225" s="142">
        <v>0</v>
      </c>
      <c r="K225" s="142">
        <f t="shared" si="20"/>
        <v>0</v>
      </c>
      <c r="L225" s="142">
        <f t="shared" si="21"/>
        <v>13430340</v>
      </c>
    </row>
    <row r="226" spans="5:12" x14ac:dyDescent="0.35">
      <c r="E226" s="135">
        <v>213</v>
      </c>
      <c r="F226" s="135">
        <v>0</v>
      </c>
      <c r="G226" s="141">
        <f t="shared" si="17"/>
        <v>0</v>
      </c>
      <c r="H226" s="155">
        <f t="shared" si="18"/>
        <v>0</v>
      </c>
      <c r="I226" s="142">
        <f t="shared" si="19"/>
        <v>13430340</v>
      </c>
      <c r="J226" s="142">
        <v>0</v>
      </c>
      <c r="K226" s="142">
        <f t="shared" si="20"/>
        <v>0</v>
      </c>
      <c r="L226" s="142">
        <f t="shared" si="21"/>
        <v>13430340</v>
      </c>
    </row>
    <row r="227" spans="5:12" x14ac:dyDescent="0.35">
      <c r="E227" s="135">
        <v>214</v>
      </c>
      <c r="F227" s="135">
        <v>0</v>
      </c>
      <c r="G227" s="141">
        <f t="shared" si="17"/>
        <v>0</v>
      </c>
      <c r="H227" s="155">
        <f t="shared" si="18"/>
        <v>0</v>
      </c>
      <c r="I227" s="142">
        <f t="shared" si="19"/>
        <v>13430340</v>
      </c>
      <c r="J227" s="142">
        <v>0</v>
      </c>
      <c r="K227" s="142">
        <f t="shared" si="20"/>
        <v>0</v>
      </c>
      <c r="L227" s="142">
        <f t="shared" si="21"/>
        <v>13430340</v>
      </c>
    </row>
    <row r="228" spans="5:12" x14ac:dyDescent="0.35">
      <c r="E228" s="135">
        <v>215</v>
      </c>
      <c r="F228" s="135">
        <v>0</v>
      </c>
      <c r="G228" s="141">
        <f t="shared" si="17"/>
        <v>0</v>
      </c>
      <c r="H228" s="155">
        <f t="shared" si="18"/>
        <v>0</v>
      </c>
      <c r="I228" s="142">
        <f t="shared" si="19"/>
        <v>13430340</v>
      </c>
      <c r="J228" s="142">
        <v>0</v>
      </c>
      <c r="K228" s="142">
        <f t="shared" si="20"/>
        <v>0</v>
      </c>
      <c r="L228" s="142">
        <f t="shared" si="21"/>
        <v>13430340</v>
      </c>
    </row>
    <row r="229" spans="5:12" x14ac:dyDescent="0.35">
      <c r="E229" s="135">
        <v>216</v>
      </c>
      <c r="F229" s="135">
        <v>0</v>
      </c>
      <c r="G229" s="141">
        <f t="shared" si="17"/>
        <v>0</v>
      </c>
      <c r="H229" s="155">
        <f t="shared" si="18"/>
        <v>0</v>
      </c>
      <c r="I229" s="142">
        <f t="shared" si="19"/>
        <v>13430340</v>
      </c>
      <c r="J229" s="142">
        <v>0</v>
      </c>
      <c r="K229" s="142">
        <f t="shared" si="20"/>
        <v>0</v>
      </c>
      <c r="L229" s="142">
        <f t="shared" si="21"/>
        <v>13430340</v>
      </c>
    </row>
    <row r="230" spans="5:12" x14ac:dyDescent="0.35">
      <c r="E230" s="135">
        <v>217</v>
      </c>
      <c r="F230" s="135">
        <v>1</v>
      </c>
      <c r="G230" s="141">
        <f t="shared" si="17"/>
        <v>23.813582244547764</v>
      </c>
      <c r="H230" s="155">
        <f t="shared" si="18"/>
        <v>0</v>
      </c>
      <c r="I230" s="142">
        <f t="shared" si="19"/>
        <v>13430340</v>
      </c>
      <c r="J230" s="142">
        <v>0</v>
      </c>
      <c r="K230" s="142">
        <f t="shared" si="20"/>
        <v>136632.93323927111</v>
      </c>
      <c r="L230" s="142">
        <f t="shared" si="21"/>
        <v>13566972.933239272</v>
      </c>
    </row>
    <row r="231" spans="5:12" x14ac:dyDescent="0.35">
      <c r="E231" s="135">
        <v>218</v>
      </c>
      <c r="F231" s="135">
        <v>0</v>
      </c>
      <c r="G231" s="141">
        <f t="shared" si="17"/>
        <v>0</v>
      </c>
      <c r="H231" s="155">
        <f t="shared" si="18"/>
        <v>0</v>
      </c>
      <c r="I231" s="142">
        <f t="shared" si="19"/>
        <v>13430340</v>
      </c>
      <c r="J231" s="142">
        <v>0</v>
      </c>
      <c r="K231" s="142">
        <f t="shared" si="20"/>
        <v>0</v>
      </c>
      <c r="L231" s="142">
        <f t="shared" si="21"/>
        <v>13430340</v>
      </c>
    </row>
    <row r="232" spans="5:12" x14ac:dyDescent="0.35">
      <c r="E232" s="135">
        <v>219</v>
      </c>
      <c r="F232" s="135">
        <v>0</v>
      </c>
      <c r="G232" s="141">
        <f t="shared" si="17"/>
        <v>0</v>
      </c>
      <c r="H232" s="155">
        <f t="shared" si="18"/>
        <v>0</v>
      </c>
      <c r="I232" s="142">
        <f t="shared" si="19"/>
        <v>13430340</v>
      </c>
      <c r="J232" s="142">
        <v>0</v>
      </c>
      <c r="K232" s="142">
        <f t="shared" si="20"/>
        <v>0</v>
      </c>
      <c r="L232" s="142">
        <f t="shared" si="21"/>
        <v>13430340</v>
      </c>
    </row>
    <row r="233" spans="5:12" x14ac:dyDescent="0.35">
      <c r="E233" s="135">
        <v>220</v>
      </c>
      <c r="F233" s="135">
        <v>0</v>
      </c>
      <c r="G233" s="141">
        <f t="shared" si="17"/>
        <v>0</v>
      </c>
      <c r="H233" s="155">
        <f t="shared" si="18"/>
        <v>0</v>
      </c>
      <c r="I233" s="142">
        <f t="shared" si="19"/>
        <v>13430340</v>
      </c>
      <c r="J233" s="142">
        <v>0</v>
      </c>
      <c r="K233" s="142">
        <f t="shared" si="20"/>
        <v>0</v>
      </c>
      <c r="L233" s="142">
        <f t="shared" si="21"/>
        <v>13430340</v>
      </c>
    </row>
    <row r="234" spans="5:12" x14ac:dyDescent="0.35">
      <c r="E234" s="135">
        <v>221</v>
      </c>
      <c r="F234" s="135">
        <v>0</v>
      </c>
      <c r="G234" s="141">
        <f t="shared" si="17"/>
        <v>0</v>
      </c>
      <c r="H234" s="155">
        <f t="shared" si="18"/>
        <v>0</v>
      </c>
      <c r="I234" s="142">
        <f t="shared" si="19"/>
        <v>13430340</v>
      </c>
      <c r="J234" s="142">
        <v>0</v>
      </c>
      <c r="K234" s="142">
        <f t="shared" si="20"/>
        <v>0</v>
      </c>
      <c r="L234" s="142">
        <f t="shared" si="21"/>
        <v>13430340</v>
      </c>
    </row>
    <row r="235" spans="5:12" x14ac:dyDescent="0.35">
      <c r="E235" s="135">
        <v>222</v>
      </c>
      <c r="F235" s="135">
        <v>0</v>
      </c>
      <c r="G235" s="141">
        <f t="shared" si="17"/>
        <v>0</v>
      </c>
      <c r="H235" s="155">
        <f t="shared" si="18"/>
        <v>0</v>
      </c>
      <c r="I235" s="142">
        <f t="shared" si="19"/>
        <v>13430340</v>
      </c>
      <c r="J235" s="142">
        <v>0</v>
      </c>
      <c r="K235" s="142">
        <f t="shared" si="20"/>
        <v>0</v>
      </c>
      <c r="L235" s="142">
        <f t="shared" si="21"/>
        <v>13430340</v>
      </c>
    </row>
    <row r="236" spans="5:12" x14ac:dyDescent="0.35">
      <c r="E236" s="135">
        <v>223</v>
      </c>
      <c r="F236" s="135">
        <v>0</v>
      </c>
      <c r="G236" s="141">
        <f t="shared" si="17"/>
        <v>0</v>
      </c>
      <c r="H236" s="155">
        <f t="shared" si="18"/>
        <v>0</v>
      </c>
      <c r="I236" s="142">
        <f t="shared" si="19"/>
        <v>13430340</v>
      </c>
      <c r="J236" s="142">
        <v>0</v>
      </c>
      <c r="K236" s="142">
        <f t="shared" si="20"/>
        <v>0</v>
      </c>
      <c r="L236" s="142">
        <f t="shared" si="21"/>
        <v>13430340</v>
      </c>
    </row>
    <row r="237" spans="5:12" x14ac:dyDescent="0.35">
      <c r="E237" s="135">
        <v>224</v>
      </c>
      <c r="F237" s="135">
        <v>0</v>
      </c>
      <c r="G237" s="141">
        <f t="shared" si="17"/>
        <v>0</v>
      </c>
      <c r="H237" s="155">
        <f t="shared" si="18"/>
        <v>0</v>
      </c>
      <c r="I237" s="142">
        <f t="shared" si="19"/>
        <v>13430340</v>
      </c>
      <c r="J237" s="142">
        <v>0</v>
      </c>
      <c r="K237" s="142">
        <f t="shared" si="20"/>
        <v>0</v>
      </c>
      <c r="L237" s="142">
        <f t="shared" si="21"/>
        <v>13430340</v>
      </c>
    </row>
    <row r="238" spans="5:12" x14ac:dyDescent="0.35">
      <c r="E238" s="135">
        <v>225</v>
      </c>
      <c r="F238" s="135">
        <v>0</v>
      </c>
      <c r="G238" s="141">
        <f t="shared" si="17"/>
        <v>0</v>
      </c>
      <c r="H238" s="155">
        <f t="shared" si="18"/>
        <v>0</v>
      </c>
      <c r="I238" s="142">
        <f t="shared" si="19"/>
        <v>13430340</v>
      </c>
      <c r="J238" s="142">
        <v>0</v>
      </c>
      <c r="K238" s="142">
        <f t="shared" si="20"/>
        <v>0</v>
      </c>
      <c r="L238" s="142">
        <f t="shared" si="21"/>
        <v>13430340</v>
      </c>
    </row>
    <row r="239" spans="5:12" x14ac:dyDescent="0.35">
      <c r="E239" s="135">
        <v>226</v>
      </c>
      <c r="F239" s="135">
        <v>1</v>
      </c>
      <c r="G239" s="141">
        <f t="shared" si="17"/>
        <v>23.813582244547764</v>
      </c>
      <c r="H239" s="155">
        <f t="shared" si="18"/>
        <v>0</v>
      </c>
      <c r="I239" s="142">
        <f t="shared" si="19"/>
        <v>13430340</v>
      </c>
      <c r="J239" s="142">
        <v>0</v>
      </c>
      <c r="K239" s="142">
        <f t="shared" si="20"/>
        <v>136632.93323927111</v>
      </c>
      <c r="L239" s="142">
        <f t="shared" si="21"/>
        <v>13566972.933239272</v>
      </c>
    </row>
    <row r="240" spans="5:12" x14ac:dyDescent="0.35">
      <c r="E240" s="135">
        <v>227</v>
      </c>
      <c r="F240" s="135">
        <v>0</v>
      </c>
      <c r="G240" s="141">
        <f t="shared" si="17"/>
        <v>0</v>
      </c>
      <c r="H240" s="155">
        <f t="shared" si="18"/>
        <v>0</v>
      </c>
      <c r="I240" s="142">
        <f t="shared" si="19"/>
        <v>13430340</v>
      </c>
      <c r="J240" s="142">
        <v>0</v>
      </c>
      <c r="K240" s="142">
        <f t="shared" si="20"/>
        <v>0</v>
      </c>
      <c r="L240" s="142">
        <f t="shared" si="21"/>
        <v>13430340</v>
      </c>
    </row>
    <row r="241" spans="5:12" x14ac:dyDescent="0.35">
      <c r="E241" s="135">
        <v>228</v>
      </c>
      <c r="F241" s="135">
        <v>0</v>
      </c>
      <c r="G241" s="141">
        <f t="shared" si="17"/>
        <v>0</v>
      </c>
      <c r="H241" s="155">
        <f t="shared" si="18"/>
        <v>0</v>
      </c>
      <c r="I241" s="142">
        <f t="shared" si="19"/>
        <v>13430340</v>
      </c>
      <c r="J241" s="142">
        <v>0</v>
      </c>
      <c r="K241" s="142">
        <f t="shared" si="20"/>
        <v>0</v>
      </c>
      <c r="L241" s="142">
        <f t="shared" si="21"/>
        <v>13430340</v>
      </c>
    </row>
    <row r="242" spans="5:12" x14ac:dyDescent="0.35">
      <c r="E242" s="135">
        <v>229</v>
      </c>
      <c r="F242" s="135">
        <v>0</v>
      </c>
      <c r="G242" s="141">
        <f t="shared" si="17"/>
        <v>0</v>
      </c>
      <c r="H242" s="155">
        <f t="shared" si="18"/>
        <v>0</v>
      </c>
      <c r="I242" s="142">
        <f t="shared" si="19"/>
        <v>13430340</v>
      </c>
      <c r="J242" s="142">
        <v>0</v>
      </c>
      <c r="K242" s="142">
        <f t="shared" si="20"/>
        <v>0</v>
      </c>
      <c r="L242" s="142">
        <f t="shared" si="21"/>
        <v>13430340</v>
      </c>
    </row>
    <row r="243" spans="5:12" x14ac:dyDescent="0.35">
      <c r="E243" s="135">
        <v>230</v>
      </c>
      <c r="F243" s="135">
        <v>0</v>
      </c>
      <c r="G243" s="141">
        <f t="shared" si="17"/>
        <v>0</v>
      </c>
      <c r="H243" s="155">
        <f t="shared" si="18"/>
        <v>0</v>
      </c>
      <c r="I243" s="142">
        <f t="shared" si="19"/>
        <v>13430340</v>
      </c>
      <c r="J243" s="142">
        <v>0</v>
      </c>
      <c r="K243" s="142">
        <f t="shared" si="20"/>
        <v>0</v>
      </c>
      <c r="L243" s="142">
        <f t="shared" si="21"/>
        <v>13430340</v>
      </c>
    </row>
    <row r="244" spans="5:12" x14ac:dyDescent="0.35">
      <c r="E244" s="135">
        <v>231</v>
      </c>
      <c r="F244" s="135">
        <v>0</v>
      </c>
      <c r="G244" s="141">
        <f t="shared" si="17"/>
        <v>0</v>
      </c>
      <c r="H244" s="155">
        <f t="shared" si="18"/>
        <v>0</v>
      </c>
      <c r="I244" s="142">
        <f t="shared" si="19"/>
        <v>13430340</v>
      </c>
      <c r="J244" s="142">
        <v>0</v>
      </c>
      <c r="K244" s="142">
        <f t="shared" si="20"/>
        <v>0</v>
      </c>
      <c r="L244" s="142">
        <f t="shared" si="21"/>
        <v>13430340</v>
      </c>
    </row>
    <row r="245" spans="5:12" x14ac:dyDescent="0.35">
      <c r="E245" s="135">
        <v>232</v>
      </c>
      <c r="F245" s="135">
        <v>0</v>
      </c>
      <c r="G245" s="141">
        <f t="shared" si="17"/>
        <v>0</v>
      </c>
      <c r="H245" s="155">
        <f t="shared" si="18"/>
        <v>0</v>
      </c>
      <c r="I245" s="142">
        <f t="shared" si="19"/>
        <v>13430340</v>
      </c>
      <c r="J245" s="142">
        <v>0</v>
      </c>
      <c r="K245" s="142">
        <f t="shared" si="20"/>
        <v>0</v>
      </c>
      <c r="L245" s="142">
        <f t="shared" si="21"/>
        <v>13430340</v>
      </c>
    </row>
    <row r="246" spans="5:12" x14ac:dyDescent="0.35">
      <c r="E246" s="135">
        <v>233</v>
      </c>
      <c r="F246" s="135">
        <v>0</v>
      </c>
      <c r="G246" s="141">
        <f t="shared" si="17"/>
        <v>0</v>
      </c>
      <c r="H246" s="155">
        <f t="shared" si="18"/>
        <v>0</v>
      </c>
      <c r="I246" s="142">
        <f t="shared" si="19"/>
        <v>13430340</v>
      </c>
      <c r="J246" s="142">
        <v>0</v>
      </c>
      <c r="K246" s="142">
        <f t="shared" si="20"/>
        <v>0</v>
      </c>
      <c r="L246" s="142">
        <f t="shared" si="21"/>
        <v>13430340</v>
      </c>
    </row>
    <row r="247" spans="5:12" x14ac:dyDescent="0.35">
      <c r="E247" s="135">
        <v>234</v>
      </c>
      <c r="F247" s="135">
        <v>0</v>
      </c>
      <c r="G247" s="141">
        <f t="shared" si="17"/>
        <v>0</v>
      </c>
      <c r="H247" s="155">
        <f t="shared" si="18"/>
        <v>0</v>
      </c>
      <c r="I247" s="142">
        <f t="shared" si="19"/>
        <v>13430340</v>
      </c>
      <c r="J247" s="142">
        <v>0</v>
      </c>
      <c r="K247" s="142">
        <f t="shared" si="20"/>
        <v>0</v>
      </c>
      <c r="L247" s="142">
        <f t="shared" si="21"/>
        <v>13430340</v>
      </c>
    </row>
    <row r="248" spans="5:12" x14ac:dyDescent="0.35">
      <c r="E248" s="135">
        <v>235</v>
      </c>
      <c r="F248" s="135">
        <v>0</v>
      </c>
      <c r="G248" s="141">
        <f t="shared" si="17"/>
        <v>0</v>
      </c>
      <c r="H248" s="155">
        <f t="shared" si="18"/>
        <v>0</v>
      </c>
      <c r="I248" s="142">
        <f t="shared" si="19"/>
        <v>13430340</v>
      </c>
      <c r="J248" s="142">
        <v>0</v>
      </c>
      <c r="K248" s="142">
        <f t="shared" si="20"/>
        <v>0</v>
      </c>
      <c r="L248" s="142">
        <f t="shared" si="21"/>
        <v>13430340</v>
      </c>
    </row>
    <row r="249" spans="5:12" x14ac:dyDescent="0.35">
      <c r="E249" s="135">
        <v>236</v>
      </c>
      <c r="F249" s="135">
        <v>0</v>
      </c>
      <c r="G249" s="141">
        <f t="shared" si="17"/>
        <v>0</v>
      </c>
      <c r="H249" s="155">
        <f t="shared" si="18"/>
        <v>0</v>
      </c>
      <c r="I249" s="142">
        <f t="shared" si="19"/>
        <v>13430340</v>
      </c>
      <c r="J249" s="142">
        <v>0</v>
      </c>
      <c r="K249" s="142">
        <f t="shared" si="20"/>
        <v>0</v>
      </c>
      <c r="L249" s="142">
        <f t="shared" si="21"/>
        <v>13430340</v>
      </c>
    </row>
    <row r="250" spans="5:12" x14ac:dyDescent="0.35">
      <c r="E250" s="135">
        <v>237</v>
      </c>
      <c r="F250" s="135">
        <v>0</v>
      </c>
      <c r="G250" s="141">
        <f t="shared" si="17"/>
        <v>0</v>
      </c>
      <c r="H250" s="155">
        <f t="shared" si="18"/>
        <v>0</v>
      </c>
      <c r="I250" s="142">
        <f t="shared" si="19"/>
        <v>13430340</v>
      </c>
      <c r="J250" s="142">
        <v>0</v>
      </c>
      <c r="K250" s="142">
        <f t="shared" si="20"/>
        <v>0</v>
      </c>
      <c r="L250" s="142">
        <f t="shared" si="21"/>
        <v>13430340</v>
      </c>
    </row>
    <row r="251" spans="5:12" x14ac:dyDescent="0.35">
      <c r="E251" s="135">
        <v>238</v>
      </c>
      <c r="F251" s="135">
        <v>0</v>
      </c>
      <c r="G251" s="141">
        <f t="shared" si="17"/>
        <v>0</v>
      </c>
      <c r="H251" s="155">
        <f t="shared" si="18"/>
        <v>0</v>
      </c>
      <c r="I251" s="142">
        <f t="shared" si="19"/>
        <v>13430340</v>
      </c>
      <c r="J251" s="142">
        <v>0</v>
      </c>
      <c r="K251" s="142">
        <f t="shared" si="20"/>
        <v>0</v>
      </c>
      <c r="L251" s="142">
        <f t="shared" si="21"/>
        <v>13430340</v>
      </c>
    </row>
    <row r="252" spans="5:12" x14ac:dyDescent="0.35">
      <c r="E252" s="135">
        <v>239</v>
      </c>
      <c r="F252" s="135">
        <v>0</v>
      </c>
      <c r="G252" s="141">
        <f t="shared" si="17"/>
        <v>0</v>
      </c>
      <c r="H252" s="155">
        <f t="shared" si="18"/>
        <v>0</v>
      </c>
      <c r="I252" s="142">
        <f t="shared" si="19"/>
        <v>13430340</v>
      </c>
      <c r="J252" s="142">
        <v>0</v>
      </c>
      <c r="K252" s="142">
        <f t="shared" si="20"/>
        <v>0</v>
      </c>
      <c r="L252" s="142">
        <f t="shared" si="21"/>
        <v>13430340</v>
      </c>
    </row>
    <row r="253" spans="5:12" x14ac:dyDescent="0.35">
      <c r="E253" s="135">
        <v>240</v>
      </c>
      <c r="F253" s="135">
        <v>0</v>
      </c>
      <c r="G253" s="141">
        <f t="shared" si="17"/>
        <v>0</v>
      </c>
      <c r="H253" s="155">
        <f t="shared" si="18"/>
        <v>0</v>
      </c>
      <c r="I253" s="142">
        <f t="shared" si="19"/>
        <v>13430340</v>
      </c>
      <c r="J253" s="142">
        <v>0</v>
      </c>
      <c r="K253" s="142">
        <f t="shared" si="20"/>
        <v>0</v>
      </c>
      <c r="L253" s="142">
        <f t="shared" si="21"/>
        <v>13430340</v>
      </c>
    </row>
    <row r="254" spans="5:12" x14ac:dyDescent="0.35">
      <c r="E254" s="135">
        <v>241</v>
      </c>
      <c r="F254" s="135">
        <v>0</v>
      </c>
      <c r="G254" s="141">
        <f t="shared" si="17"/>
        <v>0</v>
      </c>
      <c r="H254" s="155">
        <f t="shared" si="18"/>
        <v>0</v>
      </c>
      <c r="I254" s="142">
        <f t="shared" si="19"/>
        <v>13430340</v>
      </c>
      <c r="J254" s="142">
        <v>0</v>
      </c>
      <c r="K254" s="142">
        <f t="shared" si="20"/>
        <v>0</v>
      </c>
      <c r="L254" s="142">
        <f t="shared" si="21"/>
        <v>13430340</v>
      </c>
    </row>
    <row r="255" spans="5:12" x14ac:dyDescent="0.35">
      <c r="E255" s="135">
        <v>242</v>
      </c>
      <c r="F255" s="135">
        <v>0</v>
      </c>
      <c r="G255" s="141">
        <f t="shared" si="17"/>
        <v>0</v>
      </c>
      <c r="H255" s="155">
        <f t="shared" si="18"/>
        <v>0</v>
      </c>
      <c r="I255" s="142">
        <f t="shared" si="19"/>
        <v>13430340</v>
      </c>
      <c r="J255" s="142">
        <v>0</v>
      </c>
      <c r="K255" s="142">
        <f t="shared" si="20"/>
        <v>0</v>
      </c>
      <c r="L255" s="142">
        <f t="shared" si="21"/>
        <v>13430340</v>
      </c>
    </row>
    <row r="256" spans="5:12" x14ac:dyDescent="0.35">
      <c r="E256" s="135">
        <v>243</v>
      </c>
      <c r="F256" s="135">
        <v>0</v>
      </c>
      <c r="G256" s="141">
        <f t="shared" si="17"/>
        <v>0</v>
      </c>
      <c r="H256" s="155">
        <f t="shared" si="18"/>
        <v>0</v>
      </c>
      <c r="I256" s="142">
        <f t="shared" si="19"/>
        <v>13430340</v>
      </c>
      <c r="J256" s="142">
        <v>0</v>
      </c>
      <c r="K256" s="142">
        <f t="shared" si="20"/>
        <v>0</v>
      </c>
      <c r="L256" s="142">
        <f t="shared" si="21"/>
        <v>13430340</v>
      </c>
    </row>
    <row r="257" spans="5:12" x14ac:dyDescent="0.35">
      <c r="E257" s="135">
        <v>244</v>
      </c>
      <c r="F257" s="135">
        <v>0</v>
      </c>
      <c r="G257" s="141">
        <f t="shared" si="17"/>
        <v>0</v>
      </c>
      <c r="H257" s="155">
        <f t="shared" si="18"/>
        <v>0</v>
      </c>
      <c r="I257" s="142">
        <f t="shared" si="19"/>
        <v>13430340</v>
      </c>
      <c r="J257" s="142">
        <v>0</v>
      </c>
      <c r="K257" s="142">
        <f t="shared" si="20"/>
        <v>0</v>
      </c>
      <c r="L257" s="142">
        <f t="shared" si="21"/>
        <v>13430340</v>
      </c>
    </row>
    <row r="258" spans="5:12" x14ac:dyDescent="0.35">
      <c r="E258" s="135">
        <v>245</v>
      </c>
      <c r="F258" s="135">
        <v>0</v>
      </c>
      <c r="G258" s="141">
        <f t="shared" si="17"/>
        <v>0</v>
      </c>
      <c r="H258" s="155">
        <f t="shared" si="18"/>
        <v>0</v>
      </c>
      <c r="I258" s="142">
        <f t="shared" si="19"/>
        <v>13430340</v>
      </c>
      <c r="J258" s="142">
        <v>0</v>
      </c>
      <c r="K258" s="142">
        <f t="shared" si="20"/>
        <v>0</v>
      </c>
      <c r="L258" s="142">
        <f t="shared" si="21"/>
        <v>13430340</v>
      </c>
    </row>
    <row r="259" spans="5:12" x14ac:dyDescent="0.35">
      <c r="E259" s="135">
        <v>246</v>
      </c>
      <c r="F259" s="135">
        <v>0</v>
      </c>
      <c r="G259" s="141">
        <f t="shared" si="17"/>
        <v>0</v>
      </c>
      <c r="H259" s="155">
        <f t="shared" si="18"/>
        <v>0</v>
      </c>
      <c r="I259" s="142">
        <f t="shared" si="19"/>
        <v>13430340</v>
      </c>
      <c r="J259" s="142">
        <v>0</v>
      </c>
      <c r="K259" s="142">
        <f t="shared" si="20"/>
        <v>0</v>
      </c>
      <c r="L259" s="142">
        <f t="shared" si="21"/>
        <v>13430340</v>
      </c>
    </row>
    <row r="260" spans="5:12" x14ac:dyDescent="0.35">
      <c r="E260" s="135">
        <v>247</v>
      </c>
      <c r="F260" s="135">
        <v>1</v>
      </c>
      <c r="G260" s="141">
        <f t="shared" si="17"/>
        <v>23.813582244547764</v>
      </c>
      <c r="H260" s="155">
        <f t="shared" si="18"/>
        <v>0</v>
      </c>
      <c r="I260" s="142">
        <f t="shared" si="19"/>
        <v>13430340</v>
      </c>
      <c r="J260" s="142">
        <v>0</v>
      </c>
      <c r="K260" s="142">
        <f t="shared" si="20"/>
        <v>136632.93323927111</v>
      </c>
      <c r="L260" s="142">
        <f t="shared" si="21"/>
        <v>13566972.933239272</v>
      </c>
    </row>
    <row r="261" spans="5:12" x14ac:dyDescent="0.35">
      <c r="E261" s="135">
        <v>248</v>
      </c>
      <c r="F261" s="135">
        <v>0</v>
      </c>
      <c r="G261" s="141">
        <f t="shared" si="17"/>
        <v>0</v>
      </c>
      <c r="H261" s="155">
        <f t="shared" si="18"/>
        <v>0</v>
      </c>
      <c r="I261" s="142">
        <f t="shared" si="19"/>
        <v>13430340</v>
      </c>
      <c r="J261" s="142">
        <v>0</v>
      </c>
      <c r="K261" s="142">
        <f t="shared" si="20"/>
        <v>0</v>
      </c>
      <c r="L261" s="142">
        <f t="shared" si="21"/>
        <v>13430340</v>
      </c>
    </row>
    <row r="262" spans="5:12" x14ac:dyDescent="0.35">
      <c r="E262" s="135">
        <v>249</v>
      </c>
      <c r="F262" s="135">
        <v>0</v>
      </c>
      <c r="G262" s="141">
        <f t="shared" si="17"/>
        <v>0</v>
      </c>
      <c r="H262" s="155">
        <f t="shared" si="18"/>
        <v>0</v>
      </c>
      <c r="I262" s="142">
        <f t="shared" si="19"/>
        <v>13430340</v>
      </c>
      <c r="J262" s="142">
        <v>0</v>
      </c>
      <c r="K262" s="142">
        <f t="shared" si="20"/>
        <v>0</v>
      </c>
      <c r="L262" s="142">
        <f t="shared" si="21"/>
        <v>13430340</v>
      </c>
    </row>
    <row r="263" spans="5:12" x14ac:dyDescent="0.35">
      <c r="E263" s="135">
        <v>250</v>
      </c>
      <c r="F263" s="135">
        <v>1</v>
      </c>
      <c r="G263" s="141">
        <f t="shared" si="17"/>
        <v>23.813582244547764</v>
      </c>
      <c r="H263" s="155">
        <f t="shared" si="18"/>
        <v>0</v>
      </c>
      <c r="I263" s="142">
        <f t="shared" si="19"/>
        <v>13430340</v>
      </c>
      <c r="J263" s="142">
        <v>0</v>
      </c>
      <c r="K263" s="142">
        <f t="shared" si="20"/>
        <v>136632.93323927111</v>
      </c>
      <c r="L263" s="142">
        <f t="shared" si="21"/>
        <v>13566972.933239272</v>
      </c>
    </row>
    <row r="264" spans="5:12" x14ac:dyDescent="0.35">
      <c r="E264" s="135">
        <v>251</v>
      </c>
      <c r="F264" s="135">
        <v>0</v>
      </c>
      <c r="G264" s="141">
        <f t="shared" si="17"/>
        <v>0</v>
      </c>
      <c r="H264" s="155">
        <f t="shared" si="18"/>
        <v>0</v>
      </c>
      <c r="I264" s="142">
        <f t="shared" si="19"/>
        <v>13430340</v>
      </c>
      <c r="J264" s="142">
        <v>0</v>
      </c>
      <c r="K264" s="142">
        <f t="shared" si="20"/>
        <v>0</v>
      </c>
      <c r="L264" s="142">
        <f t="shared" si="21"/>
        <v>13430340</v>
      </c>
    </row>
    <row r="265" spans="5:12" x14ac:dyDescent="0.35">
      <c r="E265" s="135">
        <v>252</v>
      </c>
      <c r="F265" s="135">
        <v>0</v>
      </c>
      <c r="G265" s="141">
        <f t="shared" si="17"/>
        <v>0</v>
      </c>
      <c r="H265" s="155">
        <f t="shared" si="18"/>
        <v>0</v>
      </c>
      <c r="I265" s="142">
        <f t="shared" si="19"/>
        <v>13430340</v>
      </c>
      <c r="J265" s="142">
        <v>0</v>
      </c>
      <c r="K265" s="142">
        <f t="shared" si="20"/>
        <v>0</v>
      </c>
      <c r="L265" s="142">
        <f t="shared" si="21"/>
        <v>13430340</v>
      </c>
    </row>
    <row r="266" spans="5:12" x14ac:dyDescent="0.35">
      <c r="E266" s="135">
        <v>253</v>
      </c>
      <c r="F266" s="135">
        <v>0</v>
      </c>
      <c r="G266" s="141">
        <f t="shared" si="17"/>
        <v>0</v>
      </c>
      <c r="H266" s="155">
        <f t="shared" si="18"/>
        <v>0</v>
      </c>
      <c r="I266" s="142">
        <f t="shared" si="19"/>
        <v>13430340</v>
      </c>
      <c r="J266" s="142">
        <v>0</v>
      </c>
      <c r="K266" s="142">
        <f t="shared" si="20"/>
        <v>0</v>
      </c>
      <c r="L266" s="142">
        <f t="shared" si="21"/>
        <v>13430340</v>
      </c>
    </row>
    <row r="267" spans="5:12" x14ac:dyDescent="0.35">
      <c r="E267" s="135">
        <v>254</v>
      </c>
      <c r="F267" s="135">
        <v>0</v>
      </c>
      <c r="G267" s="141">
        <f t="shared" si="17"/>
        <v>0</v>
      </c>
      <c r="H267" s="155">
        <f t="shared" si="18"/>
        <v>0</v>
      </c>
      <c r="I267" s="142">
        <f t="shared" si="19"/>
        <v>13430340</v>
      </c>
      <c r="J267" s="142">
        <v>0</v>
      </c>
      <c r="K267" s="142">
        <f t="shared" si="20"/>
        <v>0</v>
      </c>
      <c r="L267" s="142">
        <f t="shared" si="21"/>
        <v>13430340</v>
      </c>
    </row>
    <row r="268" spans="5:12" x14ac:dyDescent="0.35">
      <c r="E268" s="135">
        <v>255</v>
      </c>
      <c r="F268" s="135">
        <v>0</v>
      </c>
      <c r="G268" s="141">
        <f t="shared" si="17"/>
        <v>0</v>
      </c>
      <c r="H268" s="155">
        <f t="shared" si="18"/>
        <v>0</v>
      </c>
      <c r="I268" s="142">
        <f t="shared" si="19"/>
        <v>13430340</v>
      </c>
      <c r="J268" s="142">
        <v>0</v>
      </c>
      <c r="K268" s="142">
        <f t="shared" si="20"/>
        <v>0</v>
      </c>
      <c r="L268" s="142">
        <f t="shared" si="21"/>
        <v>13430340</v>
      </c>
    </row>
    <row r="269" spans="5:12" x14ac:dyDescent="0.35">
      <c r="E269" s="135">
        <v>256</v>
      </c>
      <c r="F269" s="135">
        <v>0</v>
      </c>
      <c r="G269" s="141">
        <f t="shared" si="17"/>
        <v>0</v>
      </c>
      <c r="H269" s="155">
        <f t="shared" si="18"/>
        <v>0</v>
      </c>
      <c r="I269" s="142">
        <f t="shared" si="19"/>
        <v>13430340</v>
      </c>
      <c r="J269" s="142">
        <v>0</v>
      </c>
      <c r="K269" s="142">
        <f t="shared" si="20"/>
        <v>0</v>
      </c>
      <c r="L269" s="142">
        <f t="shared" si="21"/>
        <v>13430340</v>
      </c>
    </row>
    <row r="270" spans="5:12" x14ac:dyDescent="0.35">
      <c r="E270" s="135">
        <v>257</v>
      </c>
      <c r="F270" s="135">
        <v>0</v>
      </c>
      <c r="G270" s="141">
        <f t="shared" ref="G270:G333" si="22">F270*$C$10</f>
        <v>0</v>
      </c>
      <c r="H270" s="155">
        <f t="shared" ref="H270:H333" si="23">IF(F270 &gt; 1,$C$14*20000,0)</f>
        <v>0</v>
      </c>
      <c r="I270" s="142">
        <f t="shared" ref="I270:I333" si="24">IF(F270 &gt; 1,$C$5+$G$2,$G$2)</f>
        <v>13430340</v>
      </c>
      <c r="J270" s="142">
        <v>0</v>
      </c>
      <c r="K270" s="142">
        <f t="shared" ref="K270:K333" si="25">F270*$C$6</f>
        <v>0</v>
      </c>
      <c r="L270" s="142">
        <f t="shared" ref="L270:L333" si="26">J270+I270+K270</f>
        <v>13430340</v>
      </c>
    </row>
    <row r="271" spans="5:12" x14ac:dyDescent="0.35">
      <c r="E271" s="135">
        <v>258</v>
      </c>
      <c r="F271" s="135">
        <v>0</v>
      </c>
      <c r="G271" s="141">
        <f t="shared" si="22"/>
        <v>0</v>
      </c>
      <c r="H271" s="155">
        <f t="shared" si="23"/>
        <v>0</v>
      </c>
      <c r="I271" s="142">
        <f t="shared" si="24"/>
        <v>13430340</v>
      </c>
      <c r="J271" s="142">
        <v>0</v>
      </c>
      <c r="K271" s="142">
        <f t="shared" si="25"/>
        <v>0</v>
      </c>
      <c r="L271" s="142">
        <f t="shared" si="26"/>
        <v>13430340</v>
      </c>
    </row>
    <row r="272" spans="5:12" x14ac:dyDescent="0.35">
      <c r="E272" s="135">
        <v>259</v>
      </c>
      <c r="F272" s="135">
        <v>0</v>
      </c>
      <c r="G272" s="141">
        <f t="shared" si="22"/>
        <v>0</v>
      </c>
      <c r="H272" s="155">
        <f t="shared" si="23"/>
        <v>0</v>
      </c>
      <c r="I272" s="142">
        <f t="shared" si="24"/>
        <v>13430340</v>
      </c>
      <c r="J272" s="142">
        <v>0</v>
      </c>
      <c r="K272" s="142">
        <f t="shared" si="25"/>
        <v>0</v>
      </c>
      <c r="L272" s="142">
        <f t="shared" si="26"/>
        <v>13430340</v>
      </c>
    </row>
    <row r="273" spans="5:12" x14ac:dyDescent="0.35">
      <c r="E273" s="135">
        <v>260</v>
      </c>
      <c r="F273" s="135">
        <v>0</v>
      </c>
      <c r="G273" s="141">
        <f t="shared" si="22"/>
        <v>0</v>
      </c>
      <c r="H273" s="155">
        <f t="shared" si="23"/>
        <v>0</v>
      </c>
      <c r="I273" s="142">
        <f t="shared" si="24"/>
        <v>13430340</v>
      </c>
      <c r="J273" s="142">
        <v>0</v>
      </c>
      <c r="K273" s="142">
        <f t="shared" si="25"/>
        <v>0</v>
      </c>
      <c r="L273" s="142">
        <f t="shared" si="26"/>
        <v>13430340</v>
      </c>
    </row>
    <row r="274" spans="5:12" x14ac:dyDescent="0.35">
      <c r="E274" s="135">
        <v>261</v>
      </c>
      <c r="F274" s="135">
        <v>0</v>
      </c>
      <c r="G274" s="141">
        <f t="shared" si="22"/>
        <v>0</v>
      </c>
      <c r="H274" s="155">
        <f t="shared" si="23"/>
        <v>0</v>
      </c>
      <c r="I274" s="142">
        <f t="shared" si="24"/>
        <v>13430340</v>
      </c>
      <c r="J274" s="142">
        <v>0</v>
      </c>
      <c r="K274" s="142">
        <f t="shared" si="25"/>
        <v>0</v>
      </c>
      <c r="L274" s="142">
        <f t="shared" si="26"/>
        <v>13430340</v>
      </c>
    </row>
    <row r="275" spans="5:12" x14ac:dyDescent="0.35">
      <c r="E275" s="135">
        <v>262</v>
      </c>
      <c r="F275" s="135">
        <v>0</v>
      </c>
      <c r="G275" s="141">
        <f t="shared" si="22"/>
        <v>0</v>
      </c>
      <c r="H275" s="155">
        <f t="shared" si="23"/>
        <v>0</v>
      </c>
      <c r="I275" s="142">
        <f t="shared" si="24"/>
        <v>13430340</v>
      </c>
      <c r="J275" s="142">
        <v>0</v>
      </c>
      <c r="K275" s="142">
        <f t="shared" si="25"/>
        <v>0</v>
      </c>
      <c r="L275" s="142">
        <f t="shared" si="26"/>
        <v>13430340</v>
      </c>
    </row>
    <row r="276" spans="5:12" x14ac:dyDescent="0.35">
      <c r="E276" s="135">
        <v>263</v>
      </c>
      <c r="F276" s="135">
        <v>0</v>
      </c>
      <c r="G276" s="141">
        <f t="shared" si="22"/>
        <v>0</v>
      </c>
      <c r="H276" s="155">
        <f t="shared" si="23"/>
        <v>0</v>
      </c>
      <c r="I276" s="142">
        <f t="shared" si="24"/>
        <v>13430340</v>
      </c>
      <c r="J276" s="142">
        <v>0</v>
      </c>
      <c r="K276" s="142">
        <f t="shared" si="25"/>
        <v>0</v>
      </c>
      <c r="L276" s="142">
        <f t="shared" si="26"/>
        <v>13430340</v>
      </c>
    </row>
    <row r="277" spans="5:12" x14ac:dyDescent="0.35">
      <c r="E277" s="135">
        <v>264</v>
      </c>
      <c r="F277" s="135">
        <v>0</v>
      </c>
      <c r="G277" s="141">
        <f t="shared" si="22"/>
        <v>0</v>
      </c>
      <c r="H277" s="155">
        <f t="shared" si="23"/>
        <v>0</v>
      </c>
      <c r="I277" s="142">
        <f t="shared" si="24"/>
        <v>13430340</v>
      </c>
      <c r="J277" s="142">
        <v>0</v>
      </c>
      <c r="K277" s="142">
        <f t="shared" si="25"/>
        <v>0</v>
      </c>
      <c r="L277" s="142">
        <f t="shared" si="26"/>
        <v>13430340</v>
      </c>
    </row>
    <row r="278" spans="5:12" x14ac:dyDescent="0.35">
      <c r="E278" s="135">
        <v>265</v>
      </c>
      <c r="F278" s="135">
        <v>0</v>
      </c>
      <c r="G278" s="141">
        <f t="shared" si="22"/>
        <v>0</v>
      </c>
      <c r="H278" s="155">
        <f t="shared" si="23"/>
        <v>0</v>
      </c>
      <c r="I278" s="142">
        <f t="shared" si="24"/>
        <v>13430340</v>
      </c>
      <c r="J278" s="142">
        <v>0</v>
      </c>
      <c r="K278" s="142">
        <f t="shared" si="25"/>
        <v>0</v>
      </c>
      <c r="L278" s="142">
        <f t="shared" si="26"/>
        <v>13430340</v>
      </c>
    </row>
    <row r="279" spans="5:12" x14ac:dyDescent="0.35">
      <c r="E279" s="135">
        <v>266</v>
      </c>
      <c r="F279" s="135">
        <v>0</v>
      </c>
      <c r="G279" s="141">
        <f t="shared" si="22"/>
        <v>0</v>
      </c>
      <c r="H279" s="155">
        <f t="shared" si="23"/>
        <v>0</v>
      </c>
      <c r="I279" s="142">
        <f t="shared" si="24"/>
        <v>13430340</v>
      </c>
      <c r="J279" s="142">
        <v>0</v>
      </c>
      <c r="K279" s="142">
        <f t="shared" si="25"/>
        <v>0</v>
      </c>
      <c r="L279" s="142">
        <f t="shared" si="26"/>
        <v>13430340</v>
      </c>
    </row>
    <row r="280" spans="5:12" x14ac:dyDescent="0.35">
      <c r="E280" s="135">
        <v>267</v>
      </c>
      <c r="F280" s="135">
        <v>0</v>
      </c>
      <c r="G280" s="141">
        <f t="shared" si="22"/>
        <v>0</v>
      </c>
      <c r="H280" s="155">
        <f t="shared" si="23"/>
        <v>0</v>
      </c>
      <c r="I280" s="142">
        <f t="shared" si="24"/>
        <v>13430340</v>
      </c>
      <c r="J280" s="142">
        <v>0</v>
      </c>
      <c r="K280" s="142">
        <f t="shared" si="25"/>
        <v>0</v>
      </c>
      <c r="L280" s="142">
        <f t="shared" si="26"/>
        <v>13430340</v>
      </c>
    </row>
    <row r="281" spans="5:12" x14ac:dyDescent="0.35">
      <c r="E281" s="135">
        <v>268</v>
      </c>
      <c r="F281" s="135">
        <v>1</v>
      </c>
      <c r="G281" s="141">
        <f t="shared" si="22"/>
        <v>23.813582244547764</v>
      </c>
      <c r="H281" s="155">
        <f t="shared" si="23"/>
        <v>0</v>
      </c>
      <c r="I281" s="142">
        <f t="shared" si="24"/>
        <v>13430340</v>
      </c>
      <c r="J281" s="142">
        <v>0</v>
      </c>
      <c r="K281" s="142">
        <f t="shared" si="25"/>
        <v>136632.93323927111</v>
      </c>
      <c r="L281" s="142">
        <f t="shared" si="26"/>
        <v>13566972.933239272</v>
      </c>
    </row>
    <row r="282" spans="5:12" x14ac:dyDescent="0.35">
      <c r="E282" s="135">
        <v>269</v>
      </c>
      <c r="F282" s="135">
        <v>0</v>
      </c>
      <c r="G282" s="141">
        <f t="shared" si="22"/>
        <v>0</v>
      </c>
      <c r="H282" s="155">
        <f t="shared" si="23"/>
        <v>0</v>
      </c>
      <c r="I282" s="142">
        <f t="shared" si="24"/>
        <v>13430340</v>
      </c>
      <c r="J282" s="142">
        <v>0</v>
      </c>
      <c r="K282" s="142">
        <f t="shared" si="25"/>
        <v>0</v>
      </c>
      <c r="L282" s="142">
        <f t="shared" si="26"/>
        <v>13430340</v>
      </c>
    </row>
    <row r="283" spans="5:12" x14ac:dyDescent="0.35">
      <c r="E283" s="135">
        <v>270</v>
      </c>
      <c r="F283" s="135">
        <v>0</v>
      </c>
      <c r="G283" s="141">
        <f t="shared" si="22"/>
        <v>0</v>
      </c>
      <c r="H283" s="155">
        <f t="shared" si="23"/>
        <v>0</v>
      </c>
      <c r="I283" s="142">
        <f t="shared" si="24"/>
        <v>13430340</v>
      </c>
      <c r="J283" s="142">
        <v>0</v>
      </c>
      <c r="K283" s="142">
        <f t="shared" si="25"/>
        <v>0</v>
      </c>
      <c r="L283" s="142">
        <f t="shared" si="26"/>
        <v>13430340</v>
      </c>
    </row>
    <row r="284" spans="5:12" x14ac:dyDescent="0.35">
      <c r="E284" s="135">
        <v>271</v>
      </c>
      <c r="F284" s="135">
        <v>0</v>
      </c>
      <c r="G284" s="141">
        <f t="shared" si="22"/>
        <v>0</v>
      </c>
      <c r="H284" s="155">
        <f t="shared" si="23"/>
        <v>0</v>
      </c>
      <c r="I284" s="142">
        <f t="shared" si="24"/>
        <v>13430340</v>
      </c>
      <c r="J284" s="142">
        <v>0</v>
      </c>
      <c r="K284" s="142">
        <f t="shared" si="25"/>
        <v>0</v>
      </c>
      <c r="L284" s="142">
        <f t="shared" si="26"/>
        <v>13430340</v>
      </c>
    </row>
    <row r="285" spans="5:12" x14ac:dyDescent="0.35">
      <c r="E285" s="135">
        <v>272</v>
      </c>
      <c r="F285" s="135">
        <v>0</v>
      </c>
      <c r="G285" s="141">
        <f t="shared" si="22"/>
        <v>0</v>
      </c>
      <c r="H285" s="155">
        <f t="shared" si="23"/>
        <v>0</v>
      </c>
      <c r="I285" s="142">
        <f t="shared" si="24"/>
        <v>13430340</v>
      </c>
      <c r="J285" s="142">
        <v>0</v>
      </c>
      <c r="K285" s="142">
        <f t="shared" si="25"/>
        <v>0</v>
      </c>
      <c r="L285" s="142">
        <f t="shared" si="26"/>
        <v>13430340</v>
      </c>
    </row>
    <row r="286" spans="5:12" x14ac:dyDescent="0.35">
      <c r="E286" s="135">
        <v>273</v>
      </c>
      <c r="F286" s="135">
        <v>1</v>
      </c>
      <c r="G286" s="141">
        <f t="shared" si="22"/>
        <v>23.813582244547764</v>
      </c>
      <c r="H286" s="155">
        <f t="shared" si="23"/>
        <v>0</v>
      </c>
      <c r="I286" s="142">
        <f t="shared" si="24"/>
        <v>13430340</v>
      </c>
      <c r="J286" s="142">
        <v>0</v>
      </c>
      <c r="K286" s="142">
        <f t="shared" si="25"/>
        <v>136632.93323927111</v>
      </c>
      <c r="L286" s="142">
        <f t="shared" si="26"/>
        <v>13566972.933239272</v>
      </c>
    </row>
    <row r="287" spans="5:12" x14ac:dyDescent="0.35">
      <c r="E287" s="135">
        <v>274</v>
      </c>
      <c r="F287" s="135">
        <v>0</v>
      </c>
      <c r="G287" s="141">
        <f t="shared" si="22"/>
        <v>0</v>
      </c>
      <c r="H287" s="155">
        <f t="shared" si="23"/>
        <v>0</v>
      </c>
      <c r="I287" s="142">
        <f t="shared" si="24"/>
        <v>13430340</v>
      </c>
      <c r="J287" s="142">
        <v>0</v>
      </c>
      <c r="K287" s="142">
        <f t="shared" si="25"/>
        <v>0</v>
      </c>
      <c r="L287" s="142">
        <f t="shared" si="26"/>
        <v>13430340</v>
      </c>
    </row>
    <row r="288" spans="5:12" x14ac:dyDescent="0.35">
      <c r="E288" s="135">
        <v>275</v>
      </c>
      <c r="F288" s="135">
        <v>0</v>
      </c>
      <c r="G288" s="141">
        <f t="shared" si="22"/>
        <v>0</v>
      </c>
      <c r="H288" s="155">
        <f t="shared" si="23"/>
        <v>0</v>
      </c>
      <c r="I288" s="142">
        <f t="shared" si="24"/>
        <v>13430340</v>
      </c>
      <c r="J288" s="142">
        <v>0</v>
      </c>
      <c r="K288" s="142">
        <f t="shared" si="25"/>
        <v>0</v>
      </c>
      <c r="L288" s="142">
        <f t="shared" si="26"/>
        <v>13430340</v>
      </c>
    </row>
    <row r="289" spans="5:12" x14ac:dyDescent="0.35">
      <c r="E289" s="135">
        <v>276</v>
      </c>
      <c r="F289" s="135">
        <v>0</v>
      </c>
      <c r="G289" s="141">
        <f t="shared" si="22"/>
        <v>0</v>
      </c>
      <c r="H289" s="155">
        <f t="shared" si="23"/>
        <v>0</v>
      </c>
      <c r="I289" s="142">
        <f t="shared" si="24"/>
        <v>13430340</v>
      </c>
      <c r="J289" s="142">
        <v>0</v>
      </c>
      <c r="K289" s="142">
        <f t="shared" si="25"/>
        <v>0</v>
      </c>
      <c r="L289" s="142">
        <f t="shared" si="26"/>
        <v>13430340</v>
      </c>
    </row>
    <row r="290" spans="5:12" x14ac:dyDescent="0.35">
      <c r="E290" s="135">
        <v>277</v>
      </c>
      <c r="F290" s="135">
        <v>0</v>
      </c>
      <c r="G290" s="141">
        <f t="shared" si="22"/>
        <v>0</v>
      </c>
      <c r="H290" s="155">
        <f t="shared" si="23"/>
        <v>0</v>
      </c>
      <c r="I290" s="142">
        <f t="shared" si="24"/>
        <v>13430340</v>
      </c>
      <c r="J290" s="142">
        <v>0</v>
      </c>
      <c r="K290" s="142">
        <f t="shared" si="25"/>
        <v>0</v>
      </c>
      <c r="L290" s="142">
        <f t="shared" si="26"/>
        <v>13430340</v>
      </c>
    </row>
    <row r="291" spans="5:12" x14ac:dyDescent="0.35">
      <c r="E291" s="135">
        <v>278</v>
      </c>
      <c r="F291" s="135">
        <v>0</v>
      </c>
      <c r="G291" s="141">
        <f t="shared" si="22"/>
        <v>0</v>
      </c>
      <c r="H291" s="155">
        <f t="shared" si="23"/>
        <v>0</v>
      </c>
      <c r="I291" s="142">
        <f t="shared" si="24"/>
        <v>13430340</v>
      </c>
      <c r="J291" s="142">
        <v>0</v>
      </c>
      <c r="K291" s="142">
        <f t="shared" si="25"/>
        <v>0</v>
      </c>
      <c r="L291" s="142">
        <f t="shared" si="26"/>
        <v>13430340</v>
      </c>
    </row>
    <row r="292" spans="5:12" x14ac:dyDescent="0.35">
      <c r="E292" s="135">
        <v>279</v>
      </c>
      <c r="F292" s="135">
        <v>0</v>
      </c>
      <c r="G292" s="141">
        <f t="shared" si="22"/>
        <v>0</v>
      </c>
      <c r="H292" s="155">
        <f t="shared" si="23"/>
        <v>0</v>
      </c>
      <c r="I292" s="142">
        <f t="shared" si="24"/>
        <v>13430340</v>
      </c>
      <c r="J292" s="142">
        <v>0</v>
      </c>
      <c r="K292" s="142">
        <f t="shared" si="25"/>
        <v>0</v>
      </c>
      <c r="L292" s="142">
        <f t="shared" si="26"/>
        <v>13430340</v>
      </c>
    </row>
    <row r="293" spans="5:12" x14ac:dyDescent="0.35">
      <c r="E293" s="135">
        <v>280</v>
      </c>
      <c r="F293" s="135">
        <v>0</v>
      </c>
      <c r="G293" s="141">
        <f t="shared" si="22"/>
        <v>0</v>
      </c>
      <c r="H293" s="155">
        <f t="shared" si="23"/>
        <v>0</v>
      </c>
      <c r="I293" s="142">
        <f t="shared" si="24"/>
        <v>13430340</v>
      </c>
      <c r="J293" s="142">
        <v>0</v>
      </c>
      <c r="K293" s="142">
        <f t="shared" si="25"/>
        <v>0</v>
      </c>
      <c r="L293" s="142">
        <f t="shared" si="26"/>
        <v>13430340</v>
      </c>
    </row>
    <row r="294" spans="5:12" x14ac:dyDescent="0.35">
      <c r="E294" s="135">
        <v>281</v>
      </c>
      <c r="F294" s="135">
        <v>1</v>
      </c>
      <c r="G294" s="141">
        <f t="shared" si="22"/>
        <v>23.813582244547764</v>
      </c>
      <c r="H294" s="155">
        <f t="shared" si="23"/>
        <v>0</v>
      </c>
      <c r="I294" s="142">
        <f t="shared" si="24"/>
        <v>13430340</v>
      </c>
      <c r="J294" s="142">
        <v>0</v>
      </c>
      <c r="K294" s="142">
        <f t="shared" si="25"/>
        <v>136632.93323927111</v>
      </c>
      <c r="L294" s="142">
        <f t="shared" si="26"/>
        <v>13566972.933239272</v>
      </c>
    </row>
    <row r="295" spans="5:12" x14ac:dyDescent="0.35">
      <c r="E295" s="135">
        <v>282</v>
      </c>
      <c r="F295" s="135">
        <v>0</v>
      </c>
      <c r="G295" s="141">
        <f t="shared" si="22"/>
        <v>0</v>
      </c>
      <c r="H295" s="155">
        <f t="shared" si="23"/>
        <v>0</v>
      </c>
      <c r="I295" s="142">
        <f t="shared" si="24"/>
        <v>13430340</v>
      </c>
      <c r="J295" s="142">
        <v>0</v>
      </c>
      <c r="K295" s="142">
        <f t="shared" si="25"/>
        <v>0</v>
      </c>
      <c r="L295" s="142">
        <f t="shared" si="26"/>
        <v>13430340</v>
      </c>
    </row>
    <row r="296" spans="5:12" x14ac:dyDescent="0.35">
      <c r="E296" s="135">
        <v>283</v>
      </c>
      <c r="F296" s="135">
        <v>0</v>
      </c>
      <c r="G296" s="141">
        <f t="shared" si="22"/>
        <v>0</v>
      </c>
      <c r="H296" s="155">
        <f t="shared" si="23"/>
        <v>0</v>
      </c>
      <c r="I296" s="142">
        <f t="shared" si="24"/>
        <v>13430340</v>
      </c>
      <c r="J296" s="142">
        <v>0</v>
      </c>
      <c r="K296" s="142">
        <f t="shared" si="25"/>
        <v>0</v>
      </c>
      <c r="L296" s="142">
        <f t="shared" si="26"/>
        <v>13430340</v>
      </c>
    </row>
    <row r="297" spans="5:12" x14ac:dyDescent="0.35">
      <c r="E297" s="135">
        <v>284</v>
      </c>
      <c r="F297" s="135">
        <v>0</v>
      </c>
      <c r="G297" s="141">
        <f t="shared" si="22"/>
        <v>0</v>
      </c>
      <c r="H297" s="155">
        <f t="shared" si="23"/>
        <v>0</v>
      </c>
      <c r="I297" s="142">
        <f t="shared" si="24"/>
        <v>13430340</v>
      </c>
      <c r="J297" s="142">
        <v>0</v>
      </c>
      <c r="K297" s="142">
        <f t="shared" si="25"/>
        <v>0</v>
      </c>
      <c r="L297" s="142">
        <f t="shared" si="26"/>
        <v>13430340</v>
      </c>
    </row>
    <row r="298" spans="5:12" x14ac:dyDescent="0.35">
      <c r="E298" s="135">
        <v>285</v>
      </c>
      <c r="F298" s="135">
        <v>1</v>
      </c>
      <c r="G298" s="141">
        <f t="shared" si="22"/>
        <v>23.813582244547764</v>
      </c>
      <c r="H298" s="155">
        <f t="shared" si="23"/>
        <v>0</v>
      </c>
      <c r="I298" s="142">
        <f t="shared" si="24"/>
        <v>13430340</v>
      </c>
      <c r="J298" s="142">
        <v>0</v>
      </c>
      <c r="K298" s="142">
        <f t="shared" si="25"/>
        <v>136632.93323927111</v>
      </c>
      <c r="L298" s="142">
        <f t="shared" si="26"/>
        <v>13566972.933239272</v>
      </c>
    </row>
    <row r="299" spans="5:12" x14ac:dyDescent="0.35">
      <c r="E299" s="135">
        <v>286</v>
      </c>
      <c r="F299" s="135">
        <v>0</v>
      </c>
      <c r="G299" s="141">
        <f t="shared" si="22"/>
        <v>0</v>
      </c>
      <c r="H299" s="155">
        <f t="shared" si="23"/>
        <v>0</v>
      </c>
      <c r="I299" s="142">
        <f t="shared" si="24"/>
        <v>13430340</v>
      </c>
      <c r="J299" s="142">
        <v>0</v>
      </c>
      <c r="K299" s="142">
        <f t="shared" si="25"/>
        <v>0</v>
      </c>
      <c r="L299" s="142">
        <f t="shared" si="26"/>
        <v>13430340</v>
      </c>
    </row>
    <row r="300" spans="5:12" x14ac:dyDescent="0.35">
      <c r="E300" s="135">
        <v>287</v>
      </c>
      <c r="F300" s="135">
        <v>0</v>
      </c>
      <c r="G300" s="141">
        <f t="shared" si="22"/>
        <v>0</v>
      </c>
      <c r="H300" s="155">
        <f t="shared" si="23"/>
        <v>0</v>
      </c>
      <c r="I300" s="142">
        <f t="shared" si="24"/>
        <v>13430340</v>
      </c>
      <c r="J300" s="142">
        <v>0</v>
      </c>
      <c r="K300" s="142">
        <f t="shared" si="25"/>
        <v>0</v>
      </c>
      <c r="L300" s="142">
        <f t="shared" si="26"/>
        <v>13430340</v>
      </c>
    </row>
    <row r="301" spans="5:12" x14ac:dyDescent="0.35">
      <c r="E301" s="135">
        <v>288</v>
      </c>
      <c r="F301" s="135">
        <v>1</v>
      </c>
      <c r="G301" s="141">
        <f t="shared" si="22"/>
        <v>23.813582244547764</v>
      </c>
      <c r="H301" s="155">
        <f t="shared" si="23"/>
        <v>0</v>
      </c>
      <c r="I301" s="142">
        <f t="shared" si="24"/>
        <v>13430340</v>
      </c>
      <c r="J301" s="142">
        <v>0</v>
      </c>
      <c r="K301" s="142">
        <f t="shared" si="25"/>
        <v>136632.93323927111</v>
      </c>
      <c r="L301" s="142">
        <f t="shared" si="26"/>
        <v>13566972.933239272</v>
      </c>
    </row>
    <row r="302" spans="5:12" x14ac:dyDescent="0.35">
      <c r="E302" s="135">
        <v>289</v>
      </c>
      <c r="F302" s="135">
        <v>0</v>
      </c>
      <c r="G302" s="141">
        <f t="shared" si="22"/>
        <v>0</v>
      </c>
      <c r="H302" s="155">
        <f t="shared" si="23"/>
        <v>0</v>
      </c>
      <c r="I302" s="142">
        <f t="shared" si="24"/>
        <v>13430340</v>
      </c>
      <c r="J302" s="142">
        <v>0</v>
      </c>
      <c r="K302" s="142">
        <f t="shared" si="25"/>
        <v>0</v>
      </c>
      <c r="L302" s="142">
        <f t="shared" si="26"/>
        <v>13430340</v>
      </c>
    </row>
    <row r="303" spans="5:12" x14ac:dyDescent="0.35">
      <c r="E303" s="135">
        <v>290</v>
      </c>
      <c r="F303" s="135">
        <v>0</v>
      </c>
      <c r="G303" s="141">
        <f t="shared" si="22"/>
        <v>0</v>
      </c>
      <c r="H303" s="155">
        <f t="shared" si="23"/>
        <v>0</v>
      </c>
      <c r="I303" s="142">
        <f t="shared" si="24"/>
        <v>13430340</v>
      </c>
      <c r="J303" s="142">
        <v>0</v>
      </c>
      <c r="K303" s="142">
        <f t="shared" si="25"/>
        <v>0</v>
      </c>
      <c r="L303" s="142">
        <f t="shared" si="26"/>
        <v>13430340</v>
      </c>
    </row>
    <row r="304" spans="5:12" x14ac:dyDescent="0.35">
      <c r="E304" s="135">
        <v>291</v>
      </c>
      <c r="F304" s="135">
        <v>0</v>
      </c>
      <c r="G304" s="141">
        <f t="shared" si="22"/>
        <v>0</v>
      </c>
      <c r="H304" s="155">
        <f t="shared" si="23"/>
        <v>0</v>
      </c>
      <c r="I304" s="142">
        <f t="shared" si="24"/>
        <v>13430340</v>
      </c>
      <c r="J304" s="142">
        <v>0</v>
      </c>
      <c r="K304" s="142">
        <f t="shared" si="25"/>
        <v>0</v>
      </c>
      <c r="L304" s="142">
        <f t="shared" si="26"/>
        <v>13430340</v>
      </c>
    </row>
    <row r="305" spans="5:12" x14ac:dyDescent="0.35">
      <c r="E305" s="135">
        <v>292</v>
      </c>
      <c r="F305" s="135">
        <v>0</v>
      </c>
      <c r="G305" s="141">
        <f t="shared" si="22"/>
        <v>0</v>
      </c>
      <c r="H305" s="155">
        <f t="shared" si="23"/>
        <v>0</v>
      </c>
      <c r="I305" s="142">
        <f t="shared" si="24"/>
        <v>13430340</v>
      </c>
      <c r="J305" s="142">
        <v>0</v>
      </c>
      <c r="K305" s="142">
        <f t="shared" si="25"/>
        <v>0</v>
      </c>
      <c r="L305" s="142">
        <f t="shared" si="26"/>
        <v>13430340</v>
      </c>
    </row>
    <row r="306" spans="5:12" x14ac:dyDescent="0.35">
      <c r="E306" s="135">
        <v>293</v>
      </c>
      <c r="F306" s="135">
        <v>2</v>
      </c>
      <c r="G306" s="141">
        <f t="shared" si="22"/>
        <v>47.627164489095527</v>
      </c>
      <c r="H306" s="155">
        <f t="shared" si="23"/>
        <v>200</v>
      </c>
      <c r="I306" s="142">
        <f t="shared" si="24"/>
        <v>27930340</v>
      </c>
      <c r="J306" s="142">
        <v>0</v>
      </c>
      <c r="K306" s="142">
        <f t="shared" si="25"/>
        <v>273265.86647854222</v>
      </c>
      <c r="L306" s="142">
        <f t="shared" si="26"/>
        <v>28203605.866478544</v>
      </c>
    </row>
    <row r="307" spans="5:12" x14ac:dyDescent="0.35">
      <c r="E307" s="135">
        <v>294</v>
      </c>
      <c r="F307" s="135">
        <v>0</v>
      </c>
      <c r="G307" s="141">
        <f t="shared" si="22"/>
        <v>0</v>
      </c>
      <c r="H307" s="155">
        <f t="shared" si="23"/>
        <v>0</v>
      </c>
      <c r="I307" s="142">
        <f t="shared" si="24"/>
        <v>13430340</v>
      </c>
      <c r="J307" s="142">
        <v>0</v>
      </c>
      <c r="K307" s="142">
        <f t="shared" si="25"/>
        <v>0</v>
      </c>
      <c r="L307" s="142">
        <f t="shared" si="26"/>
        <v>13430340</v>
      </c>
    </row>
    <row r="308" spans="5:12" x14ac:dyDescent="0.35">
      <c r="E308" s="135">
        <v>295</v>
      </c>
      <c r="F308" s="135">
        <v>0</v>
      </c>
      <c r="G308" s="141">
        <f t="shared" si="22"/>
        <v>0</v>
      </c>
      <c r="H308" s="155">
        <f t="shared" si="23"/>
        <v>0</v>
      </c>
      <c r="I308" s="142">
        <f t="shared" si="24"/>
        <v>13430340</v>
      </c>
      <c r="J308" s="142">
        <v>0</v>
      </c>
      <c r="K308" s="142">
        <f t="shared" si="25"/>
        <v>0</v>
      </c>
      <c r="L308" s="142">
        <f t="shared" si="26"/>
        <v>13430340</v>
      </c>
    </row>
    <row r="309" spans="5:12" x14ac:dyDescent="0.35">
      <c r="E309" s="135">
        <v>296</v>
      </c>
      <c r="F309" s="135">
        <v>0</v>
      </c>
      <c r="G309" s="141">
        <f t="shared" si="22"/>
        <v>0</v>
      </c>
      <c r="H309" s="155">
        <f t="shared" si="23"/>
        <v>0</v>
      </c>
      <c r="I309" s="142">
        <f t="shared" si="24"/>
        <v>13430340</v>
      </c>
      <c r="J309" s="142">
        <v>0</v>
      </c>
      <c r="K309" s="142">
        <f t="shared" si="25"/>
        <v>0</v>
      </c>
      <c r="L309" s="142">
        <f t="shared" si="26"/>
        <v>13430340</v>
      </c>
    </row>
    <row r="310" spans="5:12" x14ac:dyDescent="0.35">
      <c r="E310" s="135">
        <v>297</v>
      </c>
      <c r="F310" s="135">
        <v>0</v>
      </c>
      <c r="G310" s="141">
        <f t="shared" si="22"/>
        <v>0</v>
      </c>
      <c r="H310" s="155">
        <f t="shared" si="23"/>
        <v>0</v>
      </c>
      <c r="I310" s="142">
        <f t="shared" si="24"/>
        <v>13430340</v>
      </c>
      <c r="J310" s="142">
        <v>0</v>
      </c>
      <c r="K310" s="142">
        <f t="shared" si="25"/>
        <v>0</v>
      </c>
      <c r="L310" s="142">
        <f t="shared" si="26"/>
        <v>13430340</v>
      </c>
    </row>
    <row r="311" spans="5:12" x14ac:dyDescent="0.35">
      <c r="E311" s="135">
        <v>298</v>
      </c>
      <c r="F311" s="135">
        <v>0</v>
      </c>
      <c r="G311" s="141">
        <f t="shared" si="22"/>
        <v>0</v>
      </c>
      <c r="H311" s="155">
        <f t="shared" si="23"/>
        <v>0</v>
      </c>
      <c r="I311" s="142">
        <f t="shared" si="24"/>
        <v>13430340</v>
      </c>
      <c r="J311" s="142">
        <v>0</v>
      </c>
      <c r="K311" s="142">
        <f t="shared" si="25"/>
        <v>0</v>
      </c>
      <c r="L311" s="142">
        <f t="shared" si="26"/>
        <v>13430340</v>
      </c>
    </row>
    <row r="312" spans="5:12" x14ac:dyDescent="0.35">
      <c r="E312" s="135">
        <v>299</v>
      </c>
      <c r="F312" s="135">
        <v>0</v>
      </c>
      <c r="G312" s="141">
        <f t="shared" si="22"/>
        <v>0</v>
      </c>
      <c r="H312" s="155">
        <f t="shared" si="23"/>
        <v>0</v>
      </c>
      <c r="I312" s="142">
        <f t="shared" si="24"/>
        <v>13430340</v>
      </c>
      <c r="J312" s="142">
        <v>0</v>
      </c>
      <c r="K312" s="142">
        <f t="shared" si="25"/>
        <v>0</v>
      </c>
      <c r="L312" s="142">
        <f t="shared" si="26"/>
        <v>13430340</v>
      </c>
    </row>
    <row r="313" spans="5:12" x14ac:dyDescent="0.35">
      <c r="E313" s="135">
        <v>300</v>
      </c>
      <c r="F313" s="135">
        <v>0</v>
      </c>
      <c r="G313" s="141">
        <f t="shared" si="22"/>
        <v>0</v>
      </c>
      <c r="H313" s="155">
        <f t="shared" si="23"/>
        <v>0</v>
      </c>
      <c r="I313" s="142">
        <f t="shared" si="24"/>
        <v>13430340</v>
      </c>
      <c r="J313" s="142">
        <v>0</v>
      </c>
      <c r="K313" s="142">
        <f t="shared" si="25"/>
        <v>0</v>
      </c>
      <c r="L313" s="142">
        <f t="shared" si="26"/>
        <v>13430340</v>
      </c>
    </row>
    <row r="314" spans="5:12" x14ac:dyDescent="0.35">
      <c r="E314" s="135">
        <v>301</v>
      </c>
      <c r="F314" s="135">
        <v>0</v>
      </c>
      <c r="G314" s="141">
        <f t="shared" si="22"/>
        <v>0</v>
      </c>
      <c r="H314" s="155">
        <f t="shared" si="23"/>
        <v>0</v>
      </c>
      <c r="I314" s="142">
        <f t="shared" si="24"/>
        <v>13430340</v>
      </c>
      <c r="J314" s="142">
        <v>0</v>
      </c>
      <c r="K314" s="142">
        <f t="shared" si="25"/>
        <v>0</v>
      </c>
      <c r="L314" s="142">
        <f t="shared" si="26"/>
        <v>13430340</v>
      </c>
    </row>
    <row r="315" spans="5:12" x14ac:dyDescent="0.35">
      <c r="E315" s="135">
        <v>302</v>
      </c>
      <c r="F315" s="135">
        <v>0</v>
      </c>
      <c r="G315" s="141">
        <f t="shared" si="22"/>
        <v>0</v>
      </c>
      <c r="H315" s="155">
        <f t="shared" si="23"/>
        <v>0</v>
      </c>
      <c r="I315" s="142">
        <f t="shared" si="24"/>
        <v>13430340</v>
      </c>
      <c r="J315" s="142">
        <v>0</v>
      </c>
      <c r="K315" s="142">
        <f t="shared" si="25"/>
        <v>0</v>
      </c>
      <c r="L315" s="142">
        <f t="shared" si="26"/>
        <v>13430340</v>
      </c>
    </row>
    <row r="316" spans="5:12" x14ac:dyDescent="0.35">
      <c r="E316" s="135">
        <v>303</v>
      </c>
      <c r="F316" s="135">
        <v>0</v>
      </c>
      <c r="G316" s="141">
        <f t="shared" si="22"/>
        <v>0</v>
      </c>
      <c r="H316" s="155">
        <f t="shared" si="23"/>
        <v>0</v>
      </c>
      <c r="I316" s="142">
        <f t="shared" si="24"/>
        <v>13430340</v>
      </c>
      <c r="J316" s="142">
        <v>0</v>
      </c>
      <c r="K316" s="142">
        <f t="shared" si="25"/>
        <v>0</v>
      </c>
      <c r="L316" s="142">
        <f t="shared" si="26"/>
        <v>13430340</v>
      </c>
    </row>
    <row r="317" spans="5:12" x14ac:dyDescent="0.35">
      <c r="E317" s="135">
        <v>304</v>
      </c>
      <c r="F317" s="135">
        <v>1</v>
      </c>
      <c r="G317" s="141">
        <f t="shared" si="22"/>
        <v>23.813582244547764</v>
      </c>
      <c r="H317" s="155">
        <f t="shared" si="23"/>
        <v>0</v>
      </c>
      <c r="I317" s="142">
        <f t="shared" si="24"/>
        <v>13430340</v>
      </c>
      <c r="J317" s="142">
        <v>0</v>
      </c>
      <c r="K317" s="142">
        <f t="shared" si="25"/>
        <v>136632.93323927111</v>
      </c>
      <c r="L317" s="142">
        <f t="shared" si="26"/>
        <v>13566972.933239272</v>
      </c>
    </row>
    <row r="318" spans="5:12" x14ac:dyDescent="0.35">
      <c r="E318" s="135">
        <v>305</v>
      </c>
      <c r="F318" s="135">
        <v>0</v>
      </c>
      <c r="G318" s="141">
        <f t="shared" si="22"/>
        <v>0</v>
      </c>
      <c r="H318" s="155">
        <f t="shared" si="23"/>
        <v>0</v>
      </c>
      <c r="I318" s="142">
        <f t="shared" si="24"/>
        <v>13430340</v>
      </c>
      <c r="J318" s="142">
        <v>0</v>
      </c>
      <c r="K318" s="142">
        <f t="shared" si="25"/>
        <v>0</v>
      </c>
      <c r="L318" s="142">
        <f t="shared" si="26"/>
        <v>13430340</v>
      </c>
    </row>
    <row r="319" spans="5:12" x14ac:dyDescent="0.35">
      <c r="E319" s="135">
        <v>306</v>
      </c>
      <c r="F319" s="135">
        <v>0</v>
      </c>
      <c r="G319" s="141">
        <f t="shared" si="22"/>
        <v>0</v>
      </c>
      <c r="H319" s="155">
        <f t="shared" si="23"/>
        <v>0</v>
      </c>
      <c r="I319" s="142">
        <f t="shared" si="24"/>
        <v>13430340</v>
      </c>
      <c r="J319" s="142">
        <v>0</v>
      </c>
      <c r="K319" s="142">
        <f t="shared" si="25"/>
        <v>0</v>
      </c>
      <c r="L319" s="142">
        <f t="shared" si="26"/>
        <v>13430340</v>
      </c>
    </row>
    <row r="320" spans="5:12" x14ac:dyDescent="0.35">
      <c r="E320" s="135">
        <v>307</v>
      </c>
      <c r="F320" s="135">
        <v>0</v>
      </c>
      <c r="G320" s="141">
        <f t="shared" si="22"/>
        <v>0</v>
      </c>
      <c r="H320" s="155">
        <f t="shared" si="23"/>
        <v>0</v>
      </c>
      <c r="I320" s="142">
        <f t="shared" si="24"/>
        <v>13430340</v>
      </c>
      <c r="J320" s="142">
        <v>0</v>
      </c>
      <c r="K320" s="142">
        <f t="shared" si="25"/>
        <v>0</v>
      </c>
      <c r="L320" s="142">
        <f t="shared" si="26"/>
        <v>13430340</v>
      </c>
    </row>
    <row r="321" spans="5:12" x14ac:dyDescent="0.35">
      <c r="E321" s="135">
        <v>308</v>
      </c>
      <c r="F321" s="135">
        <v>0</v>
      </c>
      <c r="G321" s="141">
        <f t="shared" si="22"/>
        <v>0</v>
      </c>
      <c r="H321" s="155">
        <f t="shared" si="23"/>
        <v>0</v>
      </c>
      <c r="I321" s="142">
        <f t="shared" si="24"/>
        <v>13430340</v>
      </c>
      <c r="J321" s="142">
        <v>0</v>
      </c>
      <c r="K321" s="142">
        <f t="shared" si="25"/>
        <v>0</v>
      </c>
      <c r="L321" s="142">
        <f t="shared" si="26"/>
        <v>13430340</v>
      </c>
    </row>
    <row r="322" spans="5:12" x14ac:dyDescent="0.35">
      <c r="E322" s="135">
        <v>309</v>
      </c>
      <c r="F322" s="135">
        <v>0</v>
      </c>
      <c r="G322" s="141">
        <f t="shared" si="22"/>
        <v>0</v>
      </c>
      <c r="H322" s="155">
        <f t="shared" si="23"/>
        <v>0</v>
      </c>
      <c r="I322" s="142">
        <f t="shared" si="24"/>
        <v>13430340</v>
      </c>
      <c r="J322" s="142">
        <v>0</v>
      </c>
      <c r="K322" s="142">
        <f t="shared" si="25"/>
        <v>0</v>
      </c>
      <c r="L322" s="142">
        <f t="shared" si="26"/>
        <v>13430340</v>
      </c>
    </row>
    <row r="323" spans="5:12" x14ac:dyDescent="0.35">
      <c r="E323" s="135">
        <v>310</v>
      </c>
      <c r="F323" s="135">
        <v>0</v>
      </c>
      <c r="G323" s="141">
        <f t="shared" si="22"/>
        <v>0</v>
      </c>
      <c r="H323" s="155">
        <f t="shared" si="23"/>
        <v>0</v>
      </c>
      <c r="I323" s="142">
        <f t="shared" si="24"/>
        <v>13430340</v>
      </c>
      <c r="J323" s="142">
        <v>0</v>
      </c>
      <c r="K323" s="142">
        <f t="shared" si="25"/>
        <v>0</v>
      </c>
      <c r="L323" s="142">
        <f t="shared" si="26"/>
        <v>13430340</v>
      </c>
    </row>
    <row r="324" spans="5:12" x14ac:dyDescent="0.35">
      <c r="E324" s="135">
        <v>311</v>
      </c>
      <c r="F324" s="135">
        <v>0</v>
      </c>
      <c r="G324" s="141">
        <f t="shared" si="22"/>
        <v>0</v>
      </c>
      <c r="H324" s="155">
        <f t="shared" si="23"/>
        <v>0</v>
      </c>
      <c r="I324" s="142">
        <f t="shared" si="24"/>
        <v>13430340</v>
      </c>
      <c r="J324" s="142">
        <v>0</v>
      </c>
      <c r="K324" s="142">
        <f t="shared" si="25"/>
        <v>0</v>
      </c>
      <c r="L324" s="142">
        <f t="shared" si="26"/>
        <v>13430340</v>
      </c>
    </row>
    <row r="325" spans="5:12" x14ac:dyDescent="0.35">
      <c r="E325" s="135">
        <v>312</v>
      </c>
      <c r="F325" s="135">
        <v>0</v>
      </c>
      <c r="G325" s="141">
        <f t="shared" si="22"/>
        <v>0</v>
      </c>
      <c r="H325" s="155">
        <f t="shared" si="23"/>
        <v>0</v>
      </c>
      <c r="I325" s="142">
        <f t="shared" si="24"/>
        <v>13430340</v>
      </c>
      <c r="J325" s="142">
        <v>0</v>
      </c>
      <c r="K325" s="142">
        <f t="shared" si="25"/>
        <v>0</v>
      </c>
      <c r="L325" s="142">
        <f t="shared" si="26"/>
        <v>13430340</v>
      </c>
    </row>
    <row r="326" spans="5:12" x14ac:dyDescent="0.35">
      <c r="E326" s="135">
        <v>313</v>
      </c>
      <c r="F326" s="135">
        <v>0</v>
      </c>
      <c r="G326" s="141">
        <f t="shared" si="22"/>
        <v>0</v>
      </c>
      <c r="H326" s="155">
        <f t="shared" si="23"/>
        <v>0</v>
      </c>
      <c r="I326" s="142">
        <f t="shared" si="24"/>
        <v>13430340</v>
      </c>
      <c r="J326" s="142">
        <v>0</v>
      </c>
      <c r="K326" s="142">
        <f t="shared" si="25"/>
        <v>0</v>
      </c>
      <c r="L326" s="142">
        <f t="shared" si="26"/>
        <v>13430340</v>
      </c>
    </row>
    <row r="327" spans="5:12" x14ac:dyDescent="0.35">
      <c r="E327" s="135">
        <v>314</v>
      </c>
      <c r="F327" s="135">
        <v>0</v>
      </c>
      <c r="G327" s="141">
        <f t="shared" si="22"/>
        <v>0</v>
      </c>
      <c r="H327" s="155">
        <f t="shared" si="23"/>
        <v>0</v>
      </c>
      <c r="I327" s="142">
        <f t="shared" si="24"/>
        <v>13430340</v>
      </c>
      <c r="J327" s="142">
        <v>0</v>
      </c>
      <c r="K327" s="142">
        <f t="shared" si="25"/>
        <v>0</v>
      </c>
      <c r="L327" s="142">
        <f t="shared" si="26"/>
        <v>13430340</v>
      </c>
    </row>
    <row r="328" spans="5:12" x14ac:dyDescent="0.35">
      <c r="E328" s="135">
        <v>315</v>
      </c>
      <c r="F328" s="135">
        <v>0</v>
      </c>
      <c r="G328" s="141">
        <f t="shared" si="22"/>
        <v>0</v>
      </c>
      <c r="H328" s="155">
        <f t="shared" si="23"/>
        <v>0</v>
      </c>
      <c r="I328" s="142">
        <f t="shared" si="24"/>
        <v>13430340</v>
      </c>
      <c r="J328" s="142">
        <v>0</v>
      </c>
      <c r="K328" s="142">
        <f t="shared" si="25"/>
        <v>0</v>
      </c>
      <c r="L328" s="142">
        <f t="shared" si="26"/>
        <v>13430340</v>
      </c>
    </row>
    <row r="329" spans="5:12" x14ac:dyDescent="0.35">
      <c r="E329" s="135">
        <v>316</v>
      </c>
      <c r="F329" s="135">
        <v>0</v>
      </c>
      <c r="G329" s="141">
        <f t="shared" si="22"/>
        <v>0</v>
      </c>
      <c r="H329" s="155">
        <f t="shared" si="23"/>
        <v>0</v>
      </c>
      <c r="I329" s="142">
        <f t="shared" si="24"/>
        <v>13430340</v>
      </c>
      <c r="J329" s="142">
        <v>0</v>
      </c>
      <c r="K329" s="142">
        <f t="shared" si="25"/>
        <v>0</v>
      </c>
      <c r="L329" s="142">
        <f t="shared" si="26"/>
        <v>13430340</v>
      </c>
    </row>
    <row r="330" spans="5:12" x14ac:dyDescent="0.35">
      <c r="E330" s="135">
        <v>317</v>
      </c>
      <c r="F330" s="135">
        <v>0</v>
      </c>
      <c r="G330" s="141">
        <f t="shared" si="22"/>
        <v>0</v>
      </c>
      <c r="H330" s="155">
        <f t="shared" si="23"/>
        <v>0</v>
      </c>
      <c r="I330" s="142">
        <f t="shared" si="24"/>
        <v>13430340</v>
      </c>
      <c r="J330" s="142">
        <v>0</v>
      </c>
      <c r="K330" s="142">
        <f t="shared" si="25"/>
        <v>0</v>
      </c>
      <c r="L330" s="142">
        <f t="shared" si="26"/>
        <v>13430340</v>
      </c>
    </row>
    <row r="331" spans="5:12" x14ac:dyDescent="0.35">
      <c r="E331" s="135">
        <v>318</v>
      </c>
      <c r="F331" s="135">
        <v>0</v>
      </c>
      <c r="G331" s="141">
        <f t="shared" si="22"/>
        <v>0</v>
      </c>
      <c r="H331" s="155">
        <f t="shared" si="23"/>
        <v>0</v>
      </c>
      <c r="I331" s="142">
        <f t="shared" si="24"/>
        <v>13430340</v>
      </c>
      <c r="J331" s="142">
        <v>0</v>
      </c>
      <c r="K331" s="142">
        <f t="shared" si="25"/>
        <v>0</v>
      </c>
      <c r="L331" s="142">
        <f t="shared" si="26"/>
        <v>13430340</v>
      </c>
    </row>
    <row r="332" spans="5:12" x14ac:dyDescent="0.35">
      <c r="E332" s="135">
        <v>319</v>
      </c>
      <c r="F332" s="135">
        <v>0</v>
      </c>
      <c r="G332" s="141">
        <f t="shared" si="22"/>
        <v>0</v>
      </c>
      <c r="H332" s="155">
        <f t="shared" si="23"/>
        <v>0</v>
      </c>
      <c r="I332" s="142">
        <f t="shared" si="24"/>
        <v>13430340</v>
      </c>
      <c r="J332" s="142">
        <v>0</v>
      </c>
      <c r="K332" s="142">
        <f t="shared" si="25"/>
        <v>0</v>
      </c>
      <c r="L332" s="142">
        <f t="shared" si="26"/>
        <v>13430340</v>
      </c>
    </row>
    <row r="333" spans="5:12" x14ac:dyDescent="0.35">
      <c r="E333" s="135">
        <v>320</v>
      </c>
      <c r="F333" s="135">
        <v>0</v>
      </c>
      <c r="G333" s="141">
        <f t="shared" si="22"/>
        <v>0</v>
      </c>
      <c r="H333" s="155">
        <f t="shared" si="23"/>
        <v>0</v>
      </c>
      <c r="I333" s="142">
        <f t="shared" si="24"/>
        <v>13430340</v>
      </c>
      <c r="J333" s="142">
        <v>0</v>
      </c>
      <c r="K333" s="142">
        <f t="shared" si="25"/>
        <v>0</v>
      </c>
      <c r="L333" s="142">
        <f t="shared" si="26"/>
        <v>13430340</v>
      </c>
    </row>
    <row r="334" spans="5:12" x14ac:dyDescent="0.35">
      <c r="E334" s="135">
        <v>321</v>
      </c>
      <c r="F334" s="135">
        <v>0</v>
      </c>
      <c r="G334" s="141">
        <f t="shared" ref="G334:G397" si="27">F334*$C$10</f>
        <v>0</v>
      </c>
      <c r="H334" s="155">
        <f t="shared" ref="H334:H397" si="28">IF(F334 &gt; 1,$C$14*20000,0)</f>
        <v>0</v>
      </c>
      <c r="I334" s="142">
        <f t="shared" ref="I334:I397" si="29">IF(F334 &gt; 1,$C$5+$G$2,$G$2)</f>
        <v>13430340</v>
      </c>
      <c r="J334" s="142">
        <v>0</v>
      </c>
      <c r="K334" s="142">
        <f t="shared" ref="K334:K397" si="30">F334*$C$6</f>
        <v>0</v>
      </c>
      <c r="L334" s="142">
        <f t="shared" ref="L334:L397" si="31">J334+I334+K334</f>
        <v>13430340</v>
      </c>
    </row>
    <row r="335" spans="5:12" x14ac:dyDescent="0.35">
      <c r="E335" s="135">
        <v>322</v>
      </c>
      <c r="F335" s="135">
        <v>0</v>
      </c>
      <c r="G335" s="141">
        <f t="shared" si="27"/>
        <v>0</v>
      </c>
      <c r="H335" s="155">
        <f t="shared" si="28"/>
        <v>0</v>
      </c>
      <c r="I335" s="142">
        <f t="shared" si="29"/>
        <v>13430340</v>
      </c>
      <c r="J335" s="142">
        <v>0</v>
      </c>
      <c r="K335" s="142">
        <f t="shared" si="30"/>
        <v>0</v>
      </c>
      <c r="L335" s="142">
        <f t="shared" si="31"/>
        <v>13430340</v>
      </c>
    </row>
    <row r="336" spans="5:12" x14ac:dyDescent="0.35">
      <c r="E336" s="135">
        <v>323</v>
      </c>
      <c r="F336" s="135">
        <v>0</v>
      </c>
      <c r="G336" s="141">
        <f t="shared" si="27"/>
        <v>0</v>
      </c>
      <c r="H336" s="155">
        <f t="shared" si="28"/>
        <v>0</v>
      </c>
      <c r="I336" s="142">
        <f t="shared" si="29"/>
        <v>13430340</v>
      </c>
      <c r="J336" s="142">
        <v>0</v>
      </c>
      <c r="K336" s="142">
        <f t="shared" si="30"/>
        <v>0</v>
      </c>
      <c r="L336" s="142">
        <f t="shared" si="31"/>
        <v>13430340</v>
      </c>
    </row>
    <row r="337" spans="5:12" x14ac:dyDescent="0.35">
      <c r="E337" s="135">
        <v>324</v>
      </c>
      <c r="F337" s="135">
        <v>0</v>
      </c>
      <c r="G337" s="141">
        <f t="shared" si="27"/>
        <v>0</v>
      </c>
      <c r="H337" s="155">
        <f t="shared" si="28"/>
        <v>0</v>
      </c>
      <c r="I337" s="142">
        <f t="shared" si="29"/>
        <v>13430340</v>
      </c>
      <c r="J337" s="142">
        <v>0</v>
      </c>
      <c r="K337" s="142">
        <f t="shared" si="30"/>
        <v>0</v>
      </c>
      <c r="L337" s="142">
        <f t="shared" si="31"/>
        <v>13430340</v>
      </c>
    </row>
    <row r="338" spans="5:12" x14ac:dyDescent="0.35">
      <c r="E338" s="135">
        <v>325</v>
      </c>
      <c r="F338" s="135">
        <v>0</v>
      </c>
      <c r="G338" s="141">
        <f t="shared" si="27"/>
        <v>0</v>
      </c>
      <c r="H338" s="155">
        <f t="shared" si="28"/>
        <v>0</v>
      </c>
      <c r="I338" s="142">
        <f t="shared" si="29"/>
        <v>13430340</v>
      </c>
      <c r="J338" s="142">
        <v>0</v>
      </c>
      <c r="K338" s="142">
        <f t="shared" si="30"/>
        <v>0</v>
      </c>
      <c r="L338" s="142">
        <f t="shared" si="31"/>
        <v>13430340</v>
      </c>
    </row>
    <row r="339" spans="5:12" x14ac:dyDescent="0.35">
      <c r="E339" s="135">
        <v>326</v>
      </c>
      <c r="F339" s="135">
        <v>0</v>
      </c>
      <c r="G339" s="141">
        <f t="shared" si="27"/>
        <v>0</v>
      </c>
      <c r="H339" s="155">
        <f t="shared" si="28"/>
        <v>0</v>
      </c>
      <c r="I339" s="142">
        <f t="shared" si="29"/>
        <v>13430340</v>
      </c>
      <c r="J339" s="142">
        <v>0</v>
      </c>
      <c r="K339" s="142">
        <f t="shared" si="30"/>
        <v>0</v>
      </c>
      <c r="L339" s="142">
        <f t="shared" si="31"/>
        <v>13430340</v>
      </c>
    </row>
    <row r="340" spans="5:12" x14ac:dyDescent="0.35">
      <c r="E340" s="135">
        <v>327</v>
      </c>
      <c r="F340" s="135">
        <v>0</v>
      </c>
      <c r="G340" s="141">
        <f t="shared" si="27"/>
        <v>0</v>
      </c>
      <c r="H340" s="155">
        <f t="shared" si="28"/>
        <v>0</v>
      </c>
      <c r="I340" s="142">
        <f t="shared" si="29"/>
        <v>13430340</v>
      </c>
      <c r="J340" s="142">
        <v>0</v>
      </c>
      <c r="K340" s="142">
        <f t="shared" si="30"/>
        <v>0</v>
      </c>
      <c r="L340" s="142">
        <f t="shared" si="31"/>
        <v>13430340</v>
      </c>
    </row>
    <row r="341" spans="5:12" x14ac:dyDescent="0.35">
      <c r="E341" s="135">
        <v>328</v>
      </c>
      <c r="F341" s="135">
        <v>1</v>
      </c>
      <c r="G341" s="141">
        <f t="shared" si="27"/>
        <v>23.813582244547764</v>
      </c>
      <c r="H341" s="155">
        <f t="shared" si="28"/>
        <v>0</v>
      </c>
      <c r="I341" s="142">
        <f t="shared" si="29"/>
        <v>13430340</v>
      </c>
      <c r="J341" s="142">
        <v>0</v>
      </c>
      <c r="K341" s="142">
        <f t="shared" si="30"/>
        <v>136632.93323927111</v>
      </c>
      <c r="L341" s="142">
        <f t="shared" si="31"/>
        <v>13566972.933239272</v>
      </c>
    </row>
    <row r="342" spans="5:12" x14ac:dyDescent="0.35">
      <c r="E342" s="135">
        <v>329</v>
      </c>
      <c r="F342" s="135">
        <v>1</v>
      </c>
      <c r="G342" s="141">
        <f t="shared" si="27"/>
        <v>23.813582244547764</v>
      </c>
      <c r="H342" s="155">
        <f t="shared" si="28"/>
        <v>0</v>
      </c>
      <c r="I342" s="142">
        <f t="shared" si="29"/>
        <v>13430340</v>
      </c>
      <c r="J342" s="142">
        <v>0</v>
      </c>
      <c r="K342" s="142">
        <f t="shared" si="30"/>
        <v>136632.93323927111</v>
      </c>
      <c r="L342" s="142">
        <f t="shared" si="31"/>
        <v>13566972.933239272</v>
      </c>
    </row>
    <row r="343" spans="5:12" x14ac:dyDescent="0.35">
      <c r="E343" s="135">
        <v>330</v>
      </c>
      <c r="F343" s="135">
        <v>0</v>
      </c>
      <c r="G343" s="141">
        <f t="shared" si="27"/>
        <v>0</v>
      </c>
      <c r="H343" s="155">
        <f t="shared" si="28"/>
        <v>0</v>
      </c>
      <c r="I343" s="142">
        <f t="shared" si="29"/>
        <v>13430340</v>
      </c>
      <c r="J343" s="142">
        <v>0</v>
      </c>
      <c r="K343" s="142">
        <f t="shared" si="30"/>
        <v>0</v>
      </c>
      <c r="L343" s="142">
        <f t="shared" si="31"/>
        <v>13430340</v>
      </c>
    </row>
    <row r="344" spans="5:12" x14ac:dyDescent="0.35">
      <c r="E344" s="135">
        <v>331</v>
      </c>
      <c r="F344" s="135">
        <v>1</v>
      </c>
      <c r="G344" s="141">
        <f t="shared" si="27"/>
        <v>23.813582244547764</v>
      </c>
      <c r="H344" s="155">
        <f t="shared" si="28"/>
        <v>0</v>
      </c>
      <c r="I344" s="142">
        <f t="shared" si="29"/>
        <v>13430340</v>
      </c>
      <c r="J344" s="142">
        <v>0</v>
      </c>
      <c r="K344" s="142">
        <f t="shared" si="30"/>
        <v>136632.93323927111</v>
      </c>
      <c r="L344" s="142">
        <f t="shared" si="31"/>
        <v>13566972.933239272</v>
      </c>
    </row>
    <row r="345" spans="5:12" x14ac:dyDescent="0.35">
      <c r="E345" s="135">
        <v>332</v>
      </c>
      <c r="F345" s="135">
        <v>0</v>
      </c>
      <c r="G345" s="141">
        <f t="shared" si="27"/>
        <v>0</v>
      </c>
      <c r="H345" s="155">
        <f t="shared" si="28"/>
        <v>0</v>
      </c>
      <c r="I345" s="142">
        <f t="shared" si="29"/>
        <v>13430340</v>
      </c>
      <c r="J345" s="142">
        <v>0</v>
      </c>
      <c r="K345" s="142">
        <f t="shared" si="30"/>
        <v>0</v>
      </c>
      <c r="L345" s="142">
        <f t="shared" si="31"/>
        <v>13430340</v>
      </c>
    </row>
    <row r="346" spans="5:12" x14ac:dyDescent="0.35">
      <c r="E346" s="135">
        <v>333</v>
      </c>
      <c r="F346" s="135">
        <v>0</v>
      </c>
      <c r="G346" s="141">
        <f t="shared" si="27"/>
        <v>0</v>
      </c>
      <c r="H346" s="155">
        <f t="shared" si="28"/>
        <v>0</v>
      </c>
      <c r="I346" s="142">
        <f t="shared" si="29"/>
        <v>13430340</v>
      </c>
      <c r="J346" s="142">
        <v>0</v>
      </c>
      <c r="K346" s="142">
        <f t="shared" si="30"/>
        <v>0</v>
      </c>
      <c r="L346" s="142">
        <f t="shared" si="31"/>
        <v>13430340</v>
      </c>
    </row>
    <row r="347" spans="5:12" x14ac:dyDescent="0.35">
      <c r="E347" s="135">
        <v>334</v>
      </c>
      <c r="F347" s="135">
        <v>0</v>
      </c>
      <c r="G347" s="141">
        <f t="shared" si="27"/>
        <v>0</v>
      </c>
      <c r="H347" s="155">
        <f t="shared" si="28"/>
        <v>0</v>
      </c>
      <c r="I347" s="142">
        <f t="shared" si="29"/>
        <v>13430340</v>
      </c>
      <c r="J347" s="142">
        <v>0</v>
      </c>
      <c r="K347" s="142">
        <f t="shared" si="30"/>
        <v>0</v>
      </c>
      <c r="L347" s="142">
        <f t="shared" si="31"/>
        <v>13430340</v>
      </c>
    </row>
    <row r="348" spans="5:12" x14ac:dyDescent="0.35">
      <c r="E348" s="135">
        <v>335</v>
      </c>
      <c r="F348" s="135">
        <v>0</v>
      </c>
      <c r="G348" s="141">
        <f t="shared" si="27"/>
        <v>0</v>
      </c>
      <c r="H348" s="155">
        <f t="shared" si="28"/>
        <v>0</v>
      </c>
      <c r="I348" s="142">
        <f t="shared" si="29"/>
        <v>13430340</v>
      </c>
      <c r="J348" s="142">
        <v>0</v>
      </c>
      <c r="K348" s="142">
        <f t="shared" si="30"/>
        <v>0</v>
      </c>
      <c r="L348" s="142">
        <f t="shared" si="31"/>
        <v>13430340</v>
      </c>
    </row>
    <row r="349" spans="5:12" x14ac:dyDescent="0.35">
      <c r="E349" s="135">
        <v>336</v>
      </c>
      <c r="F349" s="135">
        <v>0</v>
      </c>
      <c r="G349" s="141">
        <f t="shared" si="27"/>
        <v>0</v>
      </c>
      <c r="H349" s="155">
        <f t="shared" si="28"/>
        <v>0</v>
      </c>
      <c r="I349" s="142">
        <f t="shared" si="29"/>
        <v>13430340</v>
      </c>
      <c r="J349" s="142">
        <v>0</v>
      </c>
      <c r="K349" s="142">
        <f t="shared" si="30"/>
        <v>0</v>
      </c>
      <c r="L349" s="142">
        <f t="shared" si="31"/>
        <v>13430340</v>
      </c>
    </row>
    <row r="350" spans="5:12" x14ac:dyDescent="0.35">
      <c r="E350" s="135">
        <v>337</v>
      </c>
      <c r="F350" s="135">
        <v>0</v>
      </c>
      <c r="G350" s="141">
        <f t="shared" si="27"/>
        <v>0</v>
      </c>
      <c r="H350" s="155">
        <f t="shared" si="28"/>
        <v>0</v>
      </c>
      <c r="I350" s="142">
        <f t="shared" si="29"/>
        <v>13430340</v>
      </c>
      <c r="J350" s="142">
        <v>0</v>
      </c>
      <c r="K350" s="142">
        <f t="shared" si="30"/>
        <v>0</v>
      </c>
      <c r="L350" s="142">
        <f t="shared" si="31"/>
        <v>13430340</v>
      </c>
    </row>
    <row r="351" spans="5:12" x14ac:dyDescent="0.35">
      <c r="E351" s="135">
        <v>338</v>
      </c>
      <c r="F351" s="135">
        <v>0</v>
      </c>
      <c r="G351" s="141">
        <f t="shared" si="27"/>
        <v>0</v>
      </c>
      <c r="H351" s="155">
        <f t="shared" si="28"/>
        <v>0</v>
      </c>
      <c r="I351" s="142">
        <f t="shared" si="29"/>
        <v>13430340</v>
      </c>
      <c r="J351" s="142">
        <v>0</v>
      </c>
      <c r="K351" s="142">
        <f t="shared" si="30"/>
        <v>0</v>
      </c>
      <c r="L351" s="142">
        <f t="shared" si="31"/>
        <v>13430340</v>
      </c>
    </row>
    <row r="352" spans="5:12" x14ac:dyDescent="0.35">
      <c r="E352" s="135">
        <v>339</v>
      </c>
      <c r="F352" s="135">
        <v>0</v>
      </c>
      <c r="G352" s="141">
        <f t="shared" si="27"/>
        <v>0</v>
      </c>
      <c r="H352" s="155">
        <f t="shared" si="28"/>
        <v>0</v>
      </c>
      <c r="I352" s="142">
        <f t="shared" si="29"/>
        <v>13430340</v>
      </c>
      <c r="J352" s="142">
        <v>0</v>
      </c>
      <c r="K352" s="142">
        <f t="shared" si="30"/>
        <v>0</v>
      </c>
      <c r="L352" s="142">
        <f t="shared" si="31"/>
        <v>13430340</v>
      </c>
    </row>
    <row r="353" spans="5:12" x14ac:dyDescent="0.35">
      <c r="E353" s="135">
        <v>340</v>
      </c>
      <c r="F353" s="135">
        <v>0</v>
      </c>
      <c r="G353" s="141">
        <f t="shared" si="27"/>
        <v>0</v>
      </c>
      <c r="H353" s="155">
        <f t="shared" si="28"/>
        <v>0</v>
      </c>
      <c r="I353" s="142">
        <f t="shared" si="29"/>
        <v>13430340</v>
      </c>
      <c r="J353" s="142">
        <v>0</v>
      </c>
      <c r="K353" s="142">
        <f t="shared" si="30"/>
        <v>0</v>
      </c>
      <c r="L353" s="142">
        <f t="shared" si="31"/>
        <v>13430340</v>
      </c>
    </row>
    <row r="354" spans="5:12" x14ac:dyDescent="0.35">
      <c r="E354" s="135">
        <v>341</v>
      </c>
      <c r="F354" s="135">
        <v>0</v>
      </c>
      <c r="G354" s="141">
        <f t="shared" si="27"/>
        <v>0</v>
      </c>
      <c r="H354" s="155">
        <f t="shared" si="28"/>
        <v>0</v>
      </c>
      <c r="I354" s="142">
        <f t="shared" si="29"/>
        <v>13430340</v>
      </c>
      <c r="J354" s="142">
        <v>0</v>
      </c>
      <c r="K354" s="142">
        <f t="shared" si="30"/>
        <v>0</v>
      </c>
      <c r="L354" s="142">
        <f t="shared" si="31"/>
        <v>13430340</v>
      </c>
    </row>
    <row r="355" spans="5:12" x14ac:dyDescent="0.35">
      <c r="E355" s="135">
        <v>342</v>
      </c>
      <c r="F355" s="135">
        <v>0</v>
      </c>
      <c r="G355" s="141">
        <f t="shared" si="27"/>
        <v>0</v>
      </c>
      <c r="H355" s="155">
        <f t="shared" si="28"/>
        <v>0</v>
      </c>
      <c r="I355" s="142">
        <f t="shared" si="29"/>
        <v>13430340</v>
      </c>
      <c r="J355" s="142">
        <v>0</v>
      </c>
      <c r="K355" s="142">
        <f t="shared" si="30"/>
        <v>0</v>
      </c>
      <c r="L355" s="142">
        <f t="shared" si="31"/>
        <v>13430340</v>
      </c>
    </row>
    <row r="356" spans="5:12" x14ac:dyDescent="0.35">
      <c r="E356" s="135">
        <v>343</v>
      </c>
      <c r="F356" s="135">
        <v>0</v>
      </c>
      <c r="G356" s="141">
        <f t="shared" si="27"/>
        <v>0</v>
      </c>
      <c r="H356" s="155">
        <f t="shared" si="28"/>
        <v>0</v>
      </c>
      <c r="I356" s="142">
        <f t="shared" si="29"/>
        <v>13430340</v>
      </c>
      <c r="J356" s="142">
        <v>0</v>
      </c>
      <c r="K356" s="142">
        <f t="shared" si="30"/>
        <v>0</v>
      </c>
      <c r="L356" s="142">
        <f t="shared" si="31"/>
        <v>13430340</v>
      </c>
    </row>
    <row r="357" spans="5:12" x14ac:dyDescent="0.35">
      <c r="E357" s="135">
        <v>344</v>
      </c>
      <c r="F357" s="135">
        <v>0</v>
      </c>
      <c r="G357" s="141">
        <f t="shared" si="27"/>
        <v>0</v>
      </c>
      <c r="H357" s="155">
        <f t="shared" si="28"/>
        <v>0</v>
      </c>
      <c r="I357" s="142">
        <f t="shared" si="29"/>
        <v>13430340</v>
      </c>
      <c r="J357" s="142">
        <v>0</v>
      </c>
      <c r="K357" s="142">
        <f t="shared" si="30"/>
        <v>0</v>
      </c>
      <c r="L357" s="142">
        <f t="shared" si="31"/>
        <v>13430340</v>
      </c>
    </row>
    <row r="358" spans="5:12" x14ac:dyDescent="0.35">
      <c r="E358" s="135">
        <v>345</v>
      </c>
      <c r="F358" s="135">
        <v>0</v>
      </c>
      <c r="G358" s="141">
        <f t="shared" si="27"/>
        <v>0</v>
      </c>
      <c r="H358" s="155">
        <f t="shared" si="28"/>
        <v>0</v>
      </c>
      <c r="I358" s="142">
        <f t="shared" si="29"/>
        <v>13430340</v>
      </c>
      <c r="J358" s="142">
        <v>0</v>
      </c>
      <c r="K358" s="142">
        <f t="shared" si="30"/>
        <v>0</v>
      </c>
      <c r="L358" s="142">
        <f t="shared" si="31"/>
        <v>13430340</v>
      </c>
    </row>
    <row r="359" spans="5:12" x14ac:dyDescent="0.35">
      <c r="E359" s="135">
        <v>346</v>
      </c>
      <c r="F359" s="135">
        <v>1</v>
      </c>
      <c r="G359" s="141">
        <f t="shared" si="27"/>
        <v>23.813582244547764</v>
      </c>
      <c r="H359" s="155">
        <f t="shared" si="28"/>
        <v>0</v>
      </c>
      <c r="I359" s="142">
        <f t="shared" si="29"/>
        <v>13430340</v>
      </c>
      <c r="J359" s="142">
        <v>0</v>
      </c>
      <c r="K359" s="142">
        <f t="shared" si="30"/>
        <v>136632.93323927111</v>
      </c>
      <c r="L359" s="142">
        <f t="shared" si="31"/>
        <v>13566972.933239272</v>
      </c>
    </row>
    <row r="360" spans="5:12" x14ac:dyDescent="0.35">
      <c r="E360" s="135">
        <v>347</v>
      </c>
      <c r="F360" s="135">
        <v>0</v>
      </c>
      <c r="G360" s="141">
        <f t="shared" si="27"/>
        <v>0</v>
      </c>
      <c r="H360" s="155">
        <f t="shared" si="28"/>
        <v>0</v>
      </c>
      <c r="I360" s="142">
        <f t="shared" si="29"/>
        <v>13430340</v>
      </c>
      <c r="J360" s="142">
        <v>0</v>
      </c>
      <c r="K360" s="142">
        <f t="shared" si="30"/>
        <v>0</v>
      </c>
      <c r="L360" s="142">
        <f t="shared" si="31"/>
        <v>13430340</v>
      </c>
    </row>
    <row r="361" spans="5:12" x14ac:dyDescent="0.35">
      <c r="E361" s="135">
        <v>348</v>
      </c>
      <c r="F361" s="135">
        <v>0</v>
      </c>
      <c r="G361" s="141">
        <f t="shared" si="27"/>
        <v>0</v>
      </c>
      <c r="H361" s="155">
        <f t="shared" si="28"/>
        <v>0</v>
      </c>
      <c r="I361" s="142">
        <f t="shared" si="29"/>
        <v>13430340</v>
      </c>
      <c r="J361" s="142">
        <v>0</v>
      </c>
      <c r="K361" s="142">
        <f t="shared" si="30"/>
        <v>0</v>
      </c>
      <c r="L361" s="142">
        <f t="shared" si="31"/>
        <v>13430340</v>
      </c>
    </row>
    <row r="362" spans="5:12" x14ac:dyDescent="0.35">
      <c r="E362" s="135">
        <v>349</v>
      </c>
      <c r="F362" s="135">
        <v>0</v>
      </c>
      <c r="G362" s="141">
        <f t="shared" si="27"/>
        <v>0</v>
      </c>
      <c r="H362" s="155">
        <f t="shared" si="28"/>
        <v>0</v>
      </c>
      <c r="I362" s="142">
        <f t="shared" si="29"/>
        <v>13430340</v>
      </c>
      <c r="J362" s="142">
        <v>0</v>
      </c>
      <c r="K362" s="142">
        <f t="shared" si="30"/>
        <v>0</v>
      </c>
      <c r="L362" s="142">
        <f t="shared" si="31"/>
        <v>13430340</v>
      </c>
    </row>
    <row r="363" spans="5:12" x14ac:dyDescent="0.35">
      <c r="E363" s="135">
        <v>350</v>
      </c>
      <c r="F363" s="135">
        <v>0</v>
      </c>
      <c r="G363" s="141">
        <f t="shared" si="27"/>
        <v>0</v>
      </c>
      <c r="H363" s="155">
        <f t="shared" si="28"/>
        <v>0</v>
      </c>
      <c r="I363" s="142">
        <f t="shared" si="29"/>
        <v>13430340</v>
      </c>
      <c r="J363" s="142">
        <v>0</v>
      </c>
      <c r="K363" s="142">
        <f t="shared" si="30"/>
        <v>0</v>
      </c>
      <c r="L363" s="142">
        <f t="shared" si="31"/>
        <v>13430340</v>
      </c>
    </row>
    <row r="364" spans="5:12" x14ac:dyDescent="0.35">
      <c r="E364" s="135">
        <v>351</v>
      </c>
      <c r="F364" s="135">
        <v>0</v>
      </c>
      <c r="G364" s="141">
        <f t="shared" si="27"/>
        <v>0</v>
      </c>
      <c r="H364" s="155">
        <f t="shared" si="28"/>
        <v>0</v>
      </c>
      <c r="I364" s="142">
        <f t="shared" si="29"/>
        <v>13430340</v>
      </c>
      <c r="J364" s="142">
        <v>0</v>
      </c>
      <c r="K364" s="142">
        <f t="shared" si="30"/>
        <v>0</v>
      </c>
      <c r="L364" s="142">
        <f t="shared" si="31"/>
        <v>13430340</v>
      </c>
    </row>
    <row r="365" spans="5:12" x14ac:dyDescent="0.35">
      <c r="E365" s="135">
        <v>352</v>
      </c>
      <c r="F365" s="135">
        <v>0</v>
      </c>
      <c r="G365" s="141">
        <f t="shared" si="27"/>
        <v>0</v>
      </c>
      <c r="H365" s="155">
        <f t="shared" si="28"/>
        <v>0</v>
      </c>
      <c r="I365" s="142">
        <f t="shared" si="29"/>
        <v>13430340</v>
      </c>
      <c r="J365" s="142">
        <v>0</v>
      </c>
      <c r="K365" s="142">
        <f t="shared" si="30"/>
        <v>0</v>
      </c>
      <c r="L365" s="142">
        <f t="shared" si="31"/>
        <v>13430340</v>
      </c>
    </row>
    <row r="366" spans="5:12" x14ac:dyDescent="0.35">
      <c r="E366" s="135">
        <v>353</v>
      </c>
      <c r="F366" s="135">
        <v>0</v>
      </c>
      <c r="G366" s="141">
        <f t="shared" si="27"/>
        <v>0</v>
      </c>
      <c r="H366" s="155">
        <f t="shared" si="28"/>
        <v>0</v>
      </c>
      <c r="I366" s="142">
        <f t="shared" si="29"/>
        <v>13430340</v>
      </c>
      <c r="J366" s="142">
        <v>0</v>
      </c>
      <c r="K366" s="142">
        <f t="shared" si="30"/>
        <v>0</v>
      </c>
      <c r="L366" s="142">
        <f t="shared" si="31"/>
        <v>13430340</v>
      </c>
    </row>
    <row r="367" spans="5:12" x14ac:dyDescent="0.35">
      <c r="E367" s="135">
        <v>354</v>
      </c>
      <c r="F367" s="135">
        <v>0</v>
      </c>
      <c r="G367" s="141">
        <f t="shared" si="27"/>
        <v>0</v>
      </c>
      <c r="H367" s="155">
        <f t="shared" si="28"/>
        <v>0</v>
      </c>
      <c r="I367" s="142">
        <f t="shared" si="29"/>
        <v>13430340</v>
      </c>
      <c r="J367" s="142">
        <v>0</v>
      </c>
      <c r="K367" s="142">
        <f t="shared" si="30"/>
        <v>0</v>
      </c>
      <c r="L367" s="142">
        <f t="shared" si="31"/>
        <v>13430340</v>
      </c>
    </row>
    <row r="368" spans="5:12" x14ac:dyDescent="0.35">
      <c r="E368" s="135">
        <v>355</v>
      </c>
      <c r="F368" s="135">
        <v>0</v>
      </c>
      <c r="G368" s="141">
        <f t="shared" si="27"/>
        <v>0</v>
      </c>
      <c r="H368" s="155">
        <f t="shared" si="28"/>
        <v>0</v>
      </c>
      <c r="I368" s="142">
        <f t="shared" si="29"/>
        <v>13430340</v>
      </c>
      <c r="J368" s="142">
        <v>0</v>
      </c>
      <c r="K368" s="142">
        <f t="shared" si="30"/>
        <v>0</v>
      </c>
      <c r="L368" s="142">
        <f t="shared" si="31"/>
        <v>13430340</v>
      </c>
    </row>
    <row r="369" spans="5:12" x14ac:dyDescent="0.35">
      <c r="E369" s="135">
        <v>356</v>
      </c>
      <c r="F369" s="135">
        <v>0</v>
      </c>
      <c r="G369" s="141">
        <f t="shared" si="27"/>
        <v>0</v>
      </c>
      <c r="H369" s="155">
        <f t="shared" si="28"/>
        <v>0</v>
      </c>
      <c r="I369" s="142">
        <f t="shared" si="29"/>
        <v>13430340</v>
      </c>
      <c r="J369" s="142">
        <v>0</v>
      </c>
      <c r="K369" s="142">
        <f t="shared" si="30"/>
        <v>0</v>
      </c>
      <c r="L369" s="142">
        <f t="shared" si="31"/>
        <v>13430340</v>
      </c>
    </row>
    <row r="370" spans="5:12" x14ac:dyDescent="0.35">
      <c r="E370" s="135">
        <v>357</v>
      </c>
      <c r="F370" s="135">
        <v>0</v>
      </c>
      <c r="G370" s="141">
        <f t="shared" si="27"/>
        <v>0</v>
      </c>
      <c r="H370" s="155">
        <f t="shared" si="28"/>
        <v>0</v>
      </c>
      <c r="I370" s="142">
        <f t="shared" si="29"/>
        <v>13430340</v>
      </c>
      <c r="J370" s="142">
        <v>0</v>
      </c>
      <c r="K370" s="142">
        <f t="shared" si="30"/>
        <v>0</v>
      </c>
      <c r="L370" s="142">
        <f t="shared" si="31"/>
        <v>13430340</v>
      </c>
    </row>
    <row r="371" spans="5:12" x14ac:dyDescent="0.35">
      <c r="E371" s="135">
        <v>358</v>
      </c>
      <c r="F371" s="135">
        <v>0</v>
      </c>
      <c r="G371" s="141">
        <f t="shared" si="27"/>
        <v>0</v>
      </c>
      <c r="H371" s="155">
        <f t="shared" si="28"/>
        <v>0</v>
      </c>
      <c r="I371" s="142">
        <f t="shared" si="29"/>
        <v>13430340</v>
      </c>
      <c r="J371" s="142">
        <v>0</v>
      </c>
      <c r="K371" s="142">
        <f t="shared" si="30"/>
        <v>0</v>
      </c>
      <c r="L371" s="142">
        <f t="shared" si="31"/>
        <v>13430340</v>
      </c>
    </row>
    <row r="372" spans="5:12" x14ac:dyDescent="0.35">
      <c r="E372" s="135">
        <v>359</v>
      </c>
      <c r="F372" s="135">
        <v>0</v>
      </c>
      <c r="G372" s="141">
        <f t="shared" si="27"/>
        <v>0</v>
      </c>
      <c r="H372" s="155">
        <f t="shared" si="28"/>
        <v>0</v>
      </c>
      <c r="I372" s="142">
        <f t="shared" si="29"/>
        <v>13430340</v>
      </c>
      <c r="J372" s="142">
        <v>0</v>
      </c>
      <c r="K372" s="142">
        <f t="shared" si="30"/>
        <v>0</v>
      </c>
      <c r="L372" s="142">
        <f t="shared" si="31"/>
        <v>13430340</v>
      </c>
    </row>
    <row r="373" spans="5:12" x14ac:dyDescent="0.35">
      <c r="E373" s="135">
        <v>360</v>
      </c>
      <c r="F373" s="135">
        <v>0</v>
      </c>
      <c r="G373" s="141">
        <f t="shared" si="27"/>
        <v>0</v>
      </c>
      <c r="H373" s="155">
        <f t="shared" si="28"/>
        <v>0</v>
      </c>
      <c r="I373" s="142">
        <f t="shared" si="29"/>
        <v>13430340</v>
      </c>
      <c r="J373" s="142">
        <v>0</v>
      </c>
      <c r="K373" s="142">
        <f t="shared" si="30"/>
        <v>0</v>
      </c>
      <c r="L373" s="142">
        <f t="shared" si="31"/>
        <v>13430340</v>
      </c>
    </row>
    <row r="374" spans="5:12" x14ac:dyDescent="0.35">
      <c r="E374" s="135">
        <v>361</v>
      </c>
      <c r="F374" s="135">
        <v>0</v>
      </c>
      <c r="G374" s="141">
        <f t="shared" si="27"/>
        <v>0</v>
      </c>
      <c r="H374" s="155">
        <f t="shared" si="28"/>
        <v>0</v>
      </c>
      <c r="I374" s="142">
        <f t="shared" si="29"/>
        <v>13430340</v>
      </c>
      <c r="J374" s="142">
        <v>0</v>
      </c>
      <c r="K374" s="142">
        <f t="shared" si="30"/>
        <v>0</v>
      </c>
      <c r="L374" s="142">
        <f t="shared" si="31"/>
        <v>13430340</v>
      </c>
    </row>
    <row r="375" spans="5:12" x14ac:dyDescent="0.35">
      <c r="E375" s="135">
        <v>362</v>
      </c>
      <c r="F375" s="135">
        <v>0</v>
      </c>
      <c r="G375" s="141">
        <f t="shared" si="27"/>
        <v>0</v>
      </c>
      <c r="H375" s="155">
        <f t="shared" si="28"/>
        <v>0</v>
      </c>
      <c r="I375" s="142">
        <f t="shared" si="29"/>
        <v>13430340</v>
      </c>
      <c r="J375" s="142">
        <v>0</v>
      </c>
      <c r="K375" s="142">
        <f t="shared" si="30"/>
        <v>0</v>
      </c>
      <c r="L375" s="142">
        <f t="shared" si="31"/>
        <v>13430340</v>
      </c>
    </row>
    <row r="376" spans="5:12" x14ac:dyDescent="0.35">
      <c r="E376" s="135">
        <v>363</v>
      </c>
      <c r="F376" s="135">
        <v>0</v>
      </c>
      <c r="G376" s="141">
        <f t="shared" si="27"/>
        <v>0</v>
      </c>
      <c r="H376" s="155">
        <f t="shared" si="28"/>
        <v>0</v>
      </c>
      <c r="I376" s="142">
        <f t="shared" si="29"/>
        <v>13430340</v>
      </c>
      <c r="J376" s="142">
        <v>0</v>
      </c>
      <c r="K376" s="142">
        <f t="shared" si="30"/>
        <v>0</v>
      </c>
      <c r="L376" s="142">
        <f t="shared" si="31"/>
        <v>13430340</v>
      </c>
    </row>
    <row r="377" spans="5:12" x14ac:dyDescent="0.35">
      <c r="E377" s="135">
        <v>364</v>
      </c>
      <c r="F377" s="135">
        <v>0</v>
      </c>
      <c r="G377" s="141">
        <f t="shared" si="27"/>
        <v>0</v>
      </c>
      <c r="H377" s="155">
        <f t="shared" si="28"/>
        <v>0</v>
      </c>
      <c r="I377" s="142">
        <f t="shared" si="29"/>
        <v>13430340</v>
      </c>
      <c r="J377" s="142">
        <v>0</v>
      </c>
      <c r="K377" s="142">
        <f t="shared" si="30"/>
        <v>0</v>
      </c>
      <c r="L377" s="142">
        <f t="shared" si="31"/>
        <v>13430340</v>
      </c>
    </row>
    <row r="378" spans="5:12" x14ac:dyDescent="0.35">
      <c r="E378" s="135">
        <v>365</v>
      </c>
      <c r="F378" s="135">
        <v>0</v>
      </c>
      <c r="G378" s="141">
        <f t="shared" si="27"/>
        <v>0</v>
      </c>
      <c r="H378" s="155">
        <f t="shared" si="28"/>
        <v>0</v>
      </c>
      <c r="I378" s="142">
        <f t="shared" si="29"/>
        <v>13430340</v>
      </c>
      <c r="J378" s="142">
        <v>0</v>
      </c>
      <c r="K378" s="142">
        <f t="shared" si="30"/>
        <v>0</v>
      </c>
      <c r="L378" s="142">
        <f t="shared" si="31"/>
        <v>13430340</v>
      </c>
    </row>
    <row r="379" spans="5:12" x14ac:dyDescent="0.35">
      <c r="E379" s="135">
        <v>366</v>
      </c>
      <c r="F379" s="135">
        <v>0</v>
      </c>
      <c r="G379" s="141">
        <f t="shared" si="27"/>
        <v>0</v>
      </c>
      <c r="H379" s="155">
        <f t="shared" si="28"/>
        <v>0</v>
      </c>
      <c r="I379" s="142">
        <f t="shared" si="29"/>
        <v>13430340</v>
      </c>
      <c r="J379" s="142">
        <v>0</v>
      </c>
      <c r="K379" s="142">
        <f t="shared" si="30"/>
        <v>0</v>
      </c>
      <c r="L379" s="142">
        <f t="shared" si="31"/>
        <v>13430340</v>
      </c>
    </row>
    <row r="380" spans="5:12" x14ac:dyDescent="0.35">
      <c r="E380" s="135">
        <v>367</v>
      </c>
      <c r="F380" s="135">
        <v>0</v>
      </c>
      <c r="G380" s="141">
        <f t="shared" si="27"/>
        <v>0</v>
      </c>
      <c r="H380" s="155">
        <f t="shared" si="28"/>
        <v>0</v>
      </c>
      <c r="I380" s="142">
        <f t="shared" si="29"/>
        <v>13430340</v>
      </c>
      <c r="J380" s="142">
        <v>0</v>
      </c>
      <c r="K380" s="142">
        <f t="shared" si="30"/>
        <v>0</v>
      </c>
      <c r="L380" s="142">
        <f t="shared" si="31"/>
        <v>13430340</v>
      </c>
    </row>
    <row r="381" spans="5:12" x14ac:dyDescent="0.35">
      <c r="E381" s="135">
        <v>368</v>
      </c>
      <c r="F381" s="135">
        <v>0</v>
      </c>
      <c r="G381" s="141">
        <f t="shared" si="27"/>
        <v>0</v>
      </c>
      <c r="H381" s="155">
        <f t="shared" si="28"/>
        <v>0</v>
      </c>
      <c r="I381" s="142">
        <f t="shared" si="29"/>
        <v>13430340</v>
      </c>
      <c r="J381" s="142">
        <v>0</v>
      </c>
      <c r="K381" s="142">
        <f t="shared" si="30"/>
        <v>0</v>
      </c>
      <c r="L381" s="142">
        <f t="shared" si="31"/>
        <v>13430340</v>
      </c>
    </row>
    <row r="382" spans="5:12" x14ac:dyDescent="0.35">
      <c r="E382" s="135">
        <v>369</v>
      </c>
      <c r="F382" s="135">
        <v>0</v>
      </c>
      <c r="G382" s="141">
        <f t="shared" si="27"/>
        <v>0</v>
      </c>
      <c r="H382" s="155">
        <f t="shared" si="28"/>
        <v>0</v>
      </c>
      <c r="I382" s="142">
        <f t="shared" si="29"/>
        <v>13430340</v>
      </c>
      <c r="J382" s="142">
        <v>0</v>
      </c>
      <c r="K382" s="142">
        <f t="shared" si="30"/>
        <v>0</v>
      </c>
      <c r="L382" s="142">
        <f t="shared" si="31"/>
        <v>13430340</v>
      </c>
    </row>
    <row r="383" spans="5:12" x14ac:dyDescent="0.35">
      <c r="E383" s="135">
        <v>370</v>
      </c>
      <c r="F383" s="135">
        <v>0</v>
      </c>
      <c r="G383" s="141">
        <f t="shared" si="27"/>
        <v>0</v>
      </c>
      <c r="H383" s="155">
        <f t="shared" si="28"/>
        <v>0</v>
      </c>
      <c r="I383" s="142">
        <f t="shared" si="29"/>
        <v>13430340</v>
      </c>
      <c r="J383" s="142">
        <v>0</v>
      </c>
      <c r="K383" s="142">
        <f t="shared" si="30"/>
        <v>0</v>
      </c>
      <c r="L383" s="142">
        <f t="shared" si="31"/>
        <v>13430340</v>
      </c>
    </row>
    <row r="384" spans="5:12" x14ac:dyDescent="0.35">
      <c r="E384" s="135">
        <v>371</v>
      </c>
      <c r="F384" s="135">
        <v>0</v>
      </c>
      <c r="G384" s="141">
        <f t="shared" si="27"/>
        <v>0</v>
      </c>
      <c r="H384" s="155">
        <f t="shared" si="28"/>
        <v>0</v>
      </c>
      <c r="I384" s="142">
        <f t="shared" si="29"/>
        <v>13430340</v>
      </c>
      <c r="J384" s="142">
        <v>0</v>
      </c>
      <c r="K384" s="142">
        <f t="shared" si="30"/>
        <v>0</v>
      </c>
      <c r="L384" s="142">
        <f t="shared" si="31"/>
        <v>13430340</v>
      </c>
    </row>
    <row r="385" spans="5:12" x14ac:dyDescent="0.35">
      <c r="E385" s="135">
        <v>372</v>
      </c>
      <c r="F385" s="135">
        <v>0</v>
      </c>
      <c r="G385" s="141">
        <f t="shared" si="27"/>
        <v>0</v>
      </c>
      <c r="H385" s="155">
        <f t="shared" si="28"/>
        <v>0</v>
      </c>
      <c r="I385" s="142">
        <f t="shared" si="29"/>
        <v>13430340</v>
      </c>
      <c r="J385" s="142">
        <v>0</v>
      </c>
      <c r="K385" s="142">
        <f t="shared" si="30"/>
        <v>0</v>
      </c>
      <c r="L385" s="142">
        <f t="shared" si="31"/>
        <v>13430340</v>
      </c>
    </row>
    <row r="386" spans="5:12" x14ac:dyDescent="0.35">
      <c r="E386" s="135">
        <v>373</v>
      </c>
      <c r="F386" s="135">
        <v>0</v>
      </c>
      <c r="G386" s="141">
        <f t="shared" si="27"/>
        <v>0</v>
      </c>
      <c r="H386" s="155">
        <f t="shared" si="28"/>
        <v>0</v>
      </c>
      <c r="I386" s="142">
        <f t="shared" si="29"/>
        <v>13430340</v>
      </c>
      <c r="J386" s="142">
        <v>0</v>
      </c>
      <c r="K386" s="142">
        <f t="shared" si="30"/>
        <v>0</v>
      </c>
      <c r="L386" s="142">
        <f t="shared" si="31"/>
        <v>13430340</v>
      </c>
    </row>
    <row r="387" spans="5:12" x14ac:dyDescent="0.35">
      <c r="E387" s="135">
        <v>374</v>
      </c>
      <c r="F387" s="135">
        <v>0</v>
      </c>
      <c r="G387" s="141">
        <f t="shared" si="27"/>
        <v>0</v>
      </c>
      <c r="H387" s="155">
        <f t="shared" si="28"/>
        <v>0</v>
      </c>
      <c r="I387" s="142">
        <f t="shared" si="29"/>
        <v>13430340</v>
      </c>
      <c r="J387" s="142">
        <v>0</v>
      </c>
      <c r="K387" s="142">
        <f t="shared" si="30"/>
        <v>0</v>
      </c>
      <c r="L387" s="142">
        <f t="shared" si="31"/>
        <v>13430340</v>
      </c>
    </row>
    <row r="388" spans="5:12" x14ac:dyDescent="0.35">
      <c r="E388" s="135">
        <v>375</v>
      </c>
      <c r="F388" s="135">
        <v>0</v>
      </c>
      <c r="G388" s="141">
        <f t="shared" si="27"/>
        <v>0</v>
      </c>
      <c r="H388" s="155">
        <f t="shared" si="28"/>
        <v>0</v>
      </c>
      <c r="I388" s="142">
        <f t="shared" si="29"/>
        <v>13430340</v>
      </c>
      <c r="J388" s="142">
        <v>0</v>
      </c>
      <c r="K388" s="142">
        <f t="shared" si="30"/>
        <v>0</v>
      </c>
      <c r="L388" s="142">
        <f t="shared" si="31"/>
        <v>13430340</v>
      </c>
    </row>
    <row r="389" spans="5:12" x14ac:dyDescent="0.35">
      <c r="E389" s="135">
        <v>376</v>
      </c>
      <c r="F389" s="135">
        <v>0</v>
      </c>
      <c r="G389" s="141">
        <f t="shared" si="27"/>
        <v>0</v>
      </c>
      <c r="H389" s="155">
        <f t="shared" si="28"/>
        <v>0</v>
      </c>
      <c r="I389" s="142">
        <f t="shared" si="29"/>
        <v>13430340</v>
      </c>
      <c r="J389" s="142">
        <v>0</v>
      </c>
      <c r="K389" s="142">
        <f t="shared" si="30"/>
        <v>0</v>
      </c>
      <c r="L389" s="142">
        <f t="shared" si="31"/>
        <v>13430340</v>
      </c>
    </row>
    <row r="390" spans="5:12" x14ac:dyDescent="0.35">
      <c r="E390" s="135">
        <v>377</v>
      </c>
      <c r="F390" s="135">
        <v>0</v>
      </c>
      <c r="G390" s="141">
        <f t="shared" si="27"/>
        <v>0</v>
      </c>
      <c r="H390" s="155">
        <f t="shared" si="28"/>
        <v>0</v>
      </c>
      <c r="I390" s="142">
        <f t="shared" si="29"/>
        <v>13430340</v>
      </c>
      <c r="J390" s="142">
        <v>0</v>
      </c>
      <c r="K390" s="142">
        <f t="shared" si="30"/>
        <v>0</v>
      </c>
      <c r="L390" s="142">
        <f t="shared" si="31"/>
        <v>13430340</v>
      </c>
    </row>
    <row r="391" spans="5:12" x14ac:dyDescent="0.35">
      <c r="E391" s="135">
        <v>378</v>
      </c>
      <c r="F391" s="135">
        <v>0</v>
      </c>
      <c r="G391" s="141">
        <f t="shared" si="27"/>
        <v>0</v>
      </c>
      <c r="H391" s="155">
        <f t="shared" si="28"/>
        <v>0</v>
      </c>
      <c r="I391" s="142">
        <f t="shared" si="29"/>
        <v>13430340</v>
      </c>
      <c r="J391" s="142">
        <v>0</v>
      </c>
      <c r="K391" s="142">
        <f t="shared" si="30"/>
        <v>0</v>
      </c>
      <c r="L391" s="142">
        <f t="shared" si="31"/>
        <v>13430340</v>
      </c>
    </row>
    <row r="392" spans="5:12" x14ac:dyDescent="0.35">
      <c r="E392" s="135">
        <v>379</v>
      </c>
      <c r="F392" s="135">
        <v>0</v>
      </c>
      <c r="G392" s="141">
        <f t="shared" si="27"/>
        <v>0</v>
      </c>
      <c r="H392" s="155">
        <f t="shared" si="28"/>
        <v>0</v>
      </c>
      <c r="I392" s="142">
        <f t="shared" si="29"/>
        <v>13430340</v>
      </c>
      <c r="J392" s="142">
        <v>0</v>
      </c>
      <c r="K392" s="142">
        <f t="shared" si="30"/>
        <v>0</v>
      </c>
      <c r="L392" s="142">
        <f t="shared" si="31"/>
        <v>13430340</v>
      </c>
    </row>
    <row r="393" spans="5:12" x14ac:dyDescent="0.35">
      <c r="E393" s="135">
        <v>380</v>
      </c>
      <c r="F393" s="135">
        <v>0</v>
      </c>
      <c r="G393" s="141">
        <f t="shared" si="27"/>
        <v>0</v>
      </c>
      <c r="H393" s="155">
        <f t="shared" si="28"/>
        <v>0</v>
      </c>
      <c r="I393" s="142">
        <f t="shared" si="29"/>
        <v>13430340</v>
      </c>
      <c r="J393" s="142">
        <v>0</v>
      </c>
      <c r="K393" s="142">
        <f t="shared" si="30"/>
        <v>0</v>
      </c>
      <c r="L393" s="142">
        <f t="shared" si="31"/>
        <v>13430340</v>
      </c>
    </row>
    <row r="394" spans="5:12" x14ac:dyDescent="0.35">
      <c r="E394" s="135">
        <v>381</v>
      </c>
      <c r="F394" s="135">
        <v>0</v>
      </c>
      <c r="G394" s="141">
        <f t="shared" si="27"/>
        <v>0</v>
      </c>
      <c r="H394" s="155">
        <f t="shared" si="28"/>
        <v>0</v>
      </c>
      <c r="I394" s="142">
        <f t="shared" si="29"/>
        <v>13430340</v>
      </c>
      <c r="J394" s="142">
        <v>0</v>
      </c>
      <c r="K394" s="142">
        <f t="shared" si="30"/>
        <v>0</v>
      </c>
      <c r="L394" s="142">
        <f t="shared" si="31"/>
        <v>13430340</v>
      </c>
    </row>
    <row r="395" spans="5:12" x14ac:dyDescent="0.35">
      <c r="E395" s="135">
        <v>382</v>
      </c>
      <c r="F395" s="135">
        <v>0</v>
      </c>
      <c r="G395" s="141">
        <f t="shared" si="27"/>
        <v>0</v>
      </c>
      <c r="H395" s="155">
        <f t="shared" si="28"/>
        <v>0</v>
      </c>
      <c r="I395" s="142">
        <f t="shared" si="29"/>
        <v>13430340</v>
      </c>
      <c r="J395" s="142">
        <v>0</v>
      </c>
      <c r="K395" s="142">
        <f t="shared" si="30"/>
        <v>0</v>
      </c>
      <c r="L395" s="142">
        <f t="shared" si="31"/>
        <v>13430340</v>
      </c>
    </row>
    <row r="396" spans="5:12" x14ac:dyDescent="0.35">
      <c r="E396" s="135">
        <v>383</v>
      </c>
      <c r="F396" s="135">
        <v>0</v>
      </c>
      <c r="G396" s="141">
        <f t="shared" si="27"/>
        <v>0</v>
      </c>
      <c r="H396" s="155">
        <f t="shared" si="28"/>
        <v>0</v>
      </c>
      <c r="I396" s="142">
        <f t="shared" si="29"/>
        <v>13430340</v>
      </c>
      <c r="J396" s="142">
        <v>0</v>
      </c>
      <c r="K396" s="142">
        <f t="shared" si="30"/>
        <v>0</v>
      </c>
      <c r="L396" s="142">
        <f t="shared" si="31"/>
        <v>13430340</v>
      </c>
    </row>
    <row r="397" spans="5:12" x14ac:dyDescent="0.35">
      <c r="E397" s="135">
        <v>384</v>
      </c>
      <c r="F397" s="135">
        <v>0</v>
      </c>
      <c r="G397" s="141">
        <f t="shared" si="27"/>
        <v>0</v>
      </c>
      <c r="H397" s="155">
        <f t="shared" si="28"/>
        <v>0</v>
      </c>
      <c r="I397" s="142">
        <f t="shared" si="29"/>
        <v>13430340</v>
      </c>
      <c r="J397" s="142">
        <v>0</v>
      </c>
      <c r="K397" s="142">
        <f t="shared" si="30"/>
        <v>0</v>
      </c>
      <c r="L397" s="142">
        <f t="shared" si="31"/>
        <v>13430340</v>
      </c>
    </row>
    <row r="398" spans="5:12" x14ac:dyDescent="0.35">
      <c r="E398" s="135">
        <v>385</v>
      </c>
      <c r="F398" s="135">
        <v>0</v>
      </c>
      <c r="G398" s="141">
        <f t="shared" ref="G398:G461" si="32">F398*$C$10</f>
        <v>0</v>
      </c>
      <c r="H398" s="155">
        <f t="shared" ref="H398:H461" si="33">IF(F398 &gt; 1,$C$14*20000,0)</f>
        <v>0</v>
      </c>
      <c r="I398" s="142">
        <f t="shared" ref="I398:I461" si="34">IF(F398 &gt; 1,$C$5+$G$2,$G$2)</f>
        <v>13430340</v>
      </c>
      <c r="J398" s="142">
        <v>0</v>
      </c>
      <c r="K398" s="142">
        <f t="shared" ref="K398:K461" si="35">F398*$C$6</f>
        <v>0</v>
      </c>
      <c r="L398" s="142">
        <f t="shared" ref="L398:L461" si="36">J398+I398+K398</f>
        <v>13430340</v>
      </c>
    </row>
    <row r="399" spans="5:12" x14ac:dyDescent="0.35">
      <c r="E399" s="135">
        <v>386</v>
      </c>
      <c r="F399" s="135">
        <v>0</v>
      </c>
      <c r="G399" s="141">
        <f t="shared" si="32"/>
        <v>0</v>
      </c>
      <c r="H399" s="155">
        <f t="shared" si="33"/>
        <v>0</v>
      </c>
      <c r="I399" s="142">
        <f t="shared" si="34"/>
        <v>13430340</v>
      </c>
      <c r="J399" s="142">
        <v>0</v>
      </c>
      <c r="K399" s="142">
        <f t="shared" si="35"/>
        <v>0</v>
      </c>
      <c r="L399" s="142">
        <f t="shared" si="36"/>
        <v>13430340</v>
      </c>
    </row>
    <row r="400" spans="5:12" x14ac:dyDescent="0.35">
      <c r="E400" s="135">
        <v>387</v>
      </c>
      <c r="F400" s="135">
        <v>0</v>
      </c>
      <c r="G400" s="141">
        <f t="shared" si="32"/>
        <v>0</v>
      </c>
      <c r="H400" s="155">
        <f t="shared" si="33"/>
        <v>0</v>
      </c>
      <c r="I400" s="142">
        <f t="shared" si="34"/>
        <v>13430340</v>
      </c>
      <c r="J400" s="142">
        <v>0</v>
      </c>
      <c r="K400" s="142">
        <f t="shared" si="35"/>
        <v>0</v>
      </c>
      <c r="L400" s="142">
        <f t="shared" si="36"/>
        <v>13430340</v>
      </c>
    </row>
    <row r="401" spans="5:12" x14ac:dyDescent="0.35">
      <c r="E401" s="135">
        <v>388</v>
      </c>
      <c r="F401" s="135">
        <v>1</v>
      </c>
      <c r="G401" s="141">
        <f t="shared" si="32"/>
        <v>23.813582244547764</v>
      </c>
      <c r="H401" s="155">
        <f t="shared" si="33"/>
        <v>0</v>
      </c>
      <c r="I401" s="142">
        <f t="shared" si="34"/>
        <v>13430340</v>
      </c>
      <c r="J401" s="142">
        <v>0</v>
      </c>
      <c r="K401" s="142">
        <f t="shared" si="35"/>
        <v>136632.93323927111</v>
      </c>
      <c r="L401" s="142">
        <f t="shared" si="36"/>
        <v>13566972.933239272</v>
      </c>
    </row>
    <row r="402" spans="5:12" x14ac:dyDescent="0.35">
      <c r="E402" s="135">
        <v>389</v>
      </c>
      <c r="F402" s="135">
        <v>0</v>
      </c>
      <c r="G402" s="141">
        <f t="shared" si="32"/>
        <v>0</v>
      </c>
      <c r="H402" s="155">
        <f t="shared" si="33"/>
        <v>0</v>
      </c>
      <c r="I402" s="142">
        <f t="shared" si="34"/>
        <v>13430340</v>
      </c>
      <c r="J402" s="142">
        <v>0</v>
      </c>
      <c r="K402" s="142">
        <f t="shared" si="35"/>
        <v>0</v>
      </c>
      <c r="L402" s="142">
        <f t="shared" si="36"/>
        <v>13430340</v>
      </c>
    </row>
    <row r="403" spans="5:12" x14ac:dyDescent="0.35">
      <c r="E403" s="135">
        <v>390</v>
      </c>
      <c r="F403" s="135">
        <v>0</v>
      </c>
      <c r="G403" s="141">
        <f t="shared" si="32"/>
        <v>0</v>
      </c>
      <c r="H403" s="155">
        <f t="shared" si="33"/>
        <v>0</v>
      </c>
      <c r="I403" s="142">
        <f t="shared" si="34"/>
        <v>13430340</v>
      </c>
      <c r="J403" s="142">
        <v>0</v>
      </c>
      <c r="K403" s="142">
        <f t="shared" si="35"/>
        <v>0</v>
      </c>
      <c r="L403" s="142">
        <f t="shared" si="36"/>
        <v>13430340</v>
      </c>
    </row>
    <row r="404" spans="5:12" x14ac:dyDescent="0.35">
      <c r="E404" s="135">
        <v>391</v>
      </c>
      <c r="F404" s="135">
        <v>0</v>
      </c>
      <c r="G404" s="141">
        <f t="shared" si="32"/>
        <v>0</v>
      </c>
      <c r="H404" s="155">
        <f t="shared" si="33"/>
        <v>0</v>
      </c>
      <c r="I404" s="142">
        <f t="shared" si="34"/>
        <v>13430340</v>
      </c>
      <c r="J404" s="142">
        <v>0</v>
      </c>
      <c r="K404" s="142">
        <f t="shared" si="35"/>
        <v>0</v>
      </c>
      <c r="L404" s="142">
        <f t="shared" si="36"/>
        <v>13430340</v>
      </c>
    </row>
    <row r="405" spans="5:12" x14ac:dyDescent="0.35">
      <c r="E405" s="135">
        <v>392</v>
      </c>
      <c r="F405" s="135">
        <v>0</v>
      </c>
      <c r="G405" s="141">
        <f t="shared" si="32"/>
        <v>0</v>
      </c>
      <c r="H405" s="155">
        <f t="shared" si="33"/>
        <v>0</v>
      </c>
      <c r="I405" s="142">
        <f t="shared" si="34"/>
        <v>13430340</v>
      </c>
      <c r="J405" s="142">
        <v>0</v>
      </c>
      <c r="K405" s="142">
        <f t="shared" si="35"/>
        <v>0</v>
      </c>
      <c r="L405" s="142">
        <f t="shared" si="36"/>
        <v>13430340</v>
      </c>
    </row>
    <row r="406" spans="5:12" x14ac:dyDescent="0.35">
      <c r="E406" s="135">
        <v>393</v>
      </c>
      <c r="F406" s="135">
        <v>0</v>
      </c>
      <c r="G406" s="141">
        <f t="shared" si="32"/>
        <v>0</v>
      </c>
      <c r="H406" s="155">
        <f t="shared" si="33"/>
        <v>0</v>
      </c>
      <c r="I406" s="142">
        <f t="shared" si="34"/>
        <v>13430340</v>
      </c>
      <c r="J406" s="142">
        <v>0</v>
      </c>
      <c r="K406" s="142">
        <f t="shared" si="35"/>
        <v>0</v>
      </c>
      <c r="L406" s="142">
        <f t="shared" si="36"/>
        <v>13430340</v>
      </c>
    </row>
    <row r="407" spans="5:12" x14ac:dyDescent="0.35">
      <c r="E407" s="135">
        <v>394</v>
      </c>
      <c r="F407" s="135">
        <v>1</v>
      </c>
      <c r="G407" s="141">
        <f t="shared" si="32"/>
        <v>23.813582244547764</v>
      </c>
      <c r="H407" s="155">
        <f t="shared" si="33"/>
        <v>0</v>
      </c>
      <c r="I407" s="142">
        <f t="shared" si="34"/>
        <v>13430340</v>
      </c>
      <c r="J407" s="142">
        <v>0</v>
      </c>
      <c r="K407" s="142">
        <f t="shared" si="35"/>
        <v>136632.93323927111</v>
      </c>
      <c r="L407" s="142">
        <f t="shared" si="36"/>
        <v>13566972.933239272</v>
      </c>
    </row>
    <row r="408" spans="5:12" x14ac:dyDescent="0.35">
      <c r="E408" s="135">
        <v>395</v>
      </c>
      <c r="F408" s="135">
        <v>0</v>
      </c>
      <c r="G408" s="141">
        <f t="shared" si="32"/>
        <v>0</v>
      </c>
      <c r="H408" s="155">
        <f t="shared" si="33"/>
        <v>0</v>
      </c>
      <c r="I408" s="142">
        <f t="shared" si="34"/>
        <v>13430340</v>
      </c>
      <c r="J408" s="142">
        <v>0</v>
      </c>
      <c r="K408" s="142">
        <f t="shared" si="35"/>
        <v>0</v>
      </c>
      <c r="L408" s="142">
        <f t="shared" si="36"/>
        <v>13430340</v>
      </c>
    </row>
    <row r="409" spans="5:12" x14ac:dyDescent="0.35">
      <c r="E409" s="135">
        <v>396</v>
      </c>
      <c r="F409" s="135">
        <v>0</v>
      </c>
      <c r="G409" s="141">
        <f t="shared" si="32"/>
        <v>0</v>
      </c>
      <c r="H409" s="155">
        <f t="shared" si="33"/>
        <v>0</v>
      </c>
      <c r="I409" s="142">
        <f t="shared" si="34"/>
        <v>13430340</v>
      </c>
      <c r="J409" s="142">
        <v>0</v>
      </c>
      <c r="K409" s="142">
        <f t="shared" si="35"/>
        <v>0</v>
      </c>
      <c r="L409" s="142">
        <f t="shared" si="36"/>
        <v>13430340</v>
      </c>
    </row>
    <row r="410" spans="5:12" x14ac:dyDescent="0.35">
      <c r="E410" s="135">
        <v>397</v>
      </c>
      <c r="F410" s="135">
        <v>0</v>
      </c>
      <c r="G410" s="141">
        <f t="shared" si="32"/>
        <v>0</v>
      </c>
      <c r="H410" s="155">
        <f t="shared" si="33"/>
        <v>0</v>
      </c>
      <c r="I410" s="142">
        <f t="shared" si="34"/>
        <v>13430340</v>
      </c>
      <c r="J410" s="142">
        <v>0</v>
      </c>
      <c r="K410" s="142">
        <f t="shared" si="35"/>
        <v>0</v>
      </c>
      <c r="L410" s="142">
        <f t="shared" si="36"/>
        <v>13430340</v>
      </c>
    </row>
    <row r="411" spans="5:12" x14ac:dyDescent="0.35">
      <c r="E411" s="135">
        <v>398</v>
      </c>
      <c r="F411" s="135">
        <v>0</v>
      </c>
      <c r="G411" s="141">
        <f t="shared" si="32"/>
        <v>0</v>
      </c>
      <c r="H411" s="155">
        <f t="shared" si="33"/>
        <v>0</v>
      </c>
      <c r="I411" s="142">
        <f t="shared" si="34"/>
        <v>13430340</v>
      </c>
      <c r="J411" s="142">
        <v>0</v>
      </c>
      <c r="K411" s="142">
        <f t="shared" si="35"/>
        <v>0</v>
      </c>
      <c r="L411" s="142">
        <f t="shared" si="36"/>
        <v>13430340</v>
      </c>
    </row>
    <row r="412" spans="5:12" x14ac:dyDescent="0.35">
      <c r="E412" s="135">
        <v>399</v>
      </c>
      <c r="F412" s="135">
        <v>0</v>
      </c>
      <c r="G412" s="141">
        <f t="shared" si="32"/>
        <v>0</v>
      </c>
      <c r="H412" s="155">
        <f t="shared" si="33"/>
        <v>0</v>
      </c>
      <c r="I412" s="142">
        <f t="shared" si="34"/>
        <v>13430340</v>
      </c>
      <c r="J412" s="142">
        <v>0</v>
      </c>
      <c r="K412" s="142">
        <f t="shared" si="35"/>
        <v>0</v>
      </c>
      <c r="L412" s="142">
        <f t="shared" si="36"/>
        <v>13430340</v>
      </c>
    </row>
    <row r="413" spans="5:12" x14ac:dyDescent="0.35">
      <c r="E413" s="135">
        <v>400</v>
      </c>
      <c r="F413" s="135">
        <v>0</v>
      </c>
      <c r="G413" s="141">
        <f t="shared" si="32"/>
        <v>0</v>
      </c>
      <c r="H413" s="155">
        <f t="shared" si="33"/>
        <v>0</v>
      </c>
      <c r="I413" s="142">
        <f t="shared" si="34"/>
        <v>13430340</v>
      </c>
      <c r="J413" s="142">
        <v>0</v>
      </c>
      <c r="K413" s="142">
        <f t="shared" si="35"/>
        <v>0</v>
      </c>
      <c r="L413" s="142">
        <f t="shared" si="36"/>
        <v>13430340</v>
      </c>
    </row>
    <row r="414" spans="5:12" x14ac:dyDescent="0.35">
      <c r="E414" s="135">
        <v>401</v>
      </c>
      <c r="F414" s="135">
        <v>0</v>
      </c>
      <c r="G414" s="141">
        <f t="shared" si="32"/>
        <v>0</v>
      </c>
      <c r="H414" s="155">
        <f t="shared" si="33"/>
        <v>0</v>
      </c>
      <c r="I414" s="142">
        <f t="shared" si="34"/>
        <v>13430340</v>
      </c>
      <c r="J414" s="142">
        <v>0</v>
      </c>
      <c r="K414" s="142">
        <f t="shared" si="35"/>
        <v>0</v>
      </c>
      <c r="L414" s="142">
        <f t="shared" si="36"/>
        <v>13430340</v>
      </c>
    </row>
    <row r="415" spans="5:12" x14ac:dyDescent="0.35">
      <c r="E415" s="135">
        <v>402</v>
      </c>
      <c r="F415" s="135">
        <v>0</v>
      </c>
      <c r="G415" s="141">
        <f t="shared" si="32"/>
        <v>0</v>
      </c>
      <c r="H415" s="155">
        <f t="shared" si="33"/>
        <v>0</v>
      </c>
      <c r="I415" s="142">
        <f t="shared" si="34"/>
        <v>13430340</v>
      </c>
      <c r="J415" s="142">
        <v>0</v>
      </c>
      <c r="K415" s="142">
        <f t="shared" si="35"/>
        <v>0</v>
      </c>
      <c r="L415" s="142">
        <f t="shared" si="36"/>
        <v>13430340</v>
      </c>
    </row>
    <row r="416" spans="5:12" x14ac:dyDescent="0.35">
      <c r="E416" s="135">
        <v>403</v>
      </c>
      <c r="F416" s="135">
        <v>0</v>
      </c>
      <c r="G416" s="141">
        <f t="shared" si="32"/>
        <v>0</v>
      </c>
      <c r="H416" s="155">
        <f t="shared" si="33"/>
        <v>0</v>
      </c>
      <c r="I416" s="142">
        <f t="shared" si="34"/>
        <v>13430340</v>
      </c>
      <c r="J416" s="142">
        <v>0</v>
      </c>
      <c r="K416" s="142">
        <f t="shared" si="35"/>
        <v>0</v>
      </c>
      <c r="L416" s="142">
        <f t="shared" si="36"/>
        <v>13430340</v>
      </c>
    </row>
    <row r="417" spans="5:12" x14ac:dyDescent="0.35">
      <c r="E417" s="135">
        <v>404</v>
      </c>
      <c r="F417" s="135">
        <v>0</v>
      </c>
      <c r="G417" s="141">
        <f t="shared" si="32"/>
        <v>0</v>
      </c>
      <c r="H417" s="155">
        <f t="shared" si="33"/>
        <v>0</v>
      </c>
      <c r="I417" s="142">
        <f t="shared" si="34"/>
        <v>13430340</v>
      </c>
      <c r="J417" s="142">
        <v>0</v>
      </c>
      <c r="K417" s="142">
        <f t="shared" si="35"/>
        <v>0</v>
      </c>
      <c r="L417" s="142">
        <f t="shared" si="36"/>
        <v>13430340</v>
      </c>
    </row>
    <row r="418" spans="5:12" x14ac:dyDescent="0.35">
      <c r="E418" s="135">
        <v>405</v>
      </c>
      <c r="F418" s="135">
        <v>0</v>
      </c>
      <c r="G418" s="141">
        <f t="shared" si="32"/>
        <v>0</v>
      </c>
      <c r="H418" s="155">
        <f t="shared" si="33"/>
        <v>0</v>
      </c>
      <c r="I418" s="142">
        <f t="shared" si="34"/>
        <v>13430340</v>
      </c>
      <c r="J418" s="142">
        <v>0</v>
      </c>
      <c r="K418" s="142">
        <f t="shared" si="35"/>
        <v>0</v>
      </c>
      <c r="L418" s="142">
        <f t="shared" si="36"/>
        <v>13430340</v>
      </c>
    </row>
    <row r="419" spans="5:12" x14ac:dyDescent="0.35">
      <c r="E419" s="135">
        <v>406</v>
      </c>
      <c r="F419" s="135">
        <v>0</v>
      </c>
      <c r="G419" s="141">
        <f t="shared" si="32"/>
        <v>0</v>
      </c>
      <c r="H419" s="155">
        <f t="shared" si="33"/>
        <v>0</v>
      </c>
      <c r="I419" s="142">
        <f t="shared" si="34"/>
        <v>13430340</v>
      </c>
      <c r="J419" s="142">
        <v>0</v>
      </c>
      <c r="K419" s="142">
        <f t="shared" si="35"/>
        <v>0</v>
      </c>
      <c r="L419" s="142">
        <f t="shared" si="36"/>
        <v>13430340</v>
      </c>
    </row>
    <row r="420" spans="5:12" x14ac:dyDescent="0.35">
      <c r="E420" s="135">
        <v>407</v>
      </c>
      <c r="F420" s="135">
        <v>0</v>
      </c>
      <c r="G420" s="141">
        <f t="shared" si="32"/>
        <v>0</v>
      </c>
      <c r="H420" s="155">
        <f t="shared" si="33"/>
        <v>0</v>
      </c>
      <c r="I420" s="142">
        <f t="shared" si="34"/>
        <v>13430340</v>
      </c>
      <c r="J420" s="142">
        <v>0</v>
      </c>
      <c r="K420" s="142">
        <f t="shared" si="35"/>
        <v>0</v>
      </c>
      <c r="L420" s="142">
        <f t="shared" si="36"/>
        <v>13430340</v>
      </c>
    </row>
    <row r="421" spans="5:12" x14ac:dyDescent="0.35">
      <c r="E421" s="135">
        <v>408</v>
      </c>
      <c r="F421" s="135">
        <v>0</v>
      </c>
      <c r="G421" s="141">
        <f t="shared" si="32"/>
        <v>0</v>
      </c>
      <c r="H421" s="155">
        <f t="shared" si="33"/>
        <v>0</v>
      </c>
      <c r="I421" s="142">
        <f t="shared" si="34"/>
        <v>13430340</v>
      </c>
      <c r="J421" s="142">
        <v>0</v>
      </c>
      <c r="K421" s="142">
        <f t="shared" si="35"/>
        <v>0</v>
      </c>
      <c r="L421" s="142">
        <f t="shared" si="36"/>
        <v>13430340</v>
      </c>
    </row>
    <row r="422" spans="5:12" x14ac:dyDescent="0.35">
      <c r="E422" s="135">
        <v>409</v>
      </c>
      <c r="F422" s="135">
        <v>0</v>
      </c>
      <c r="G422" s="141">
        <f t="shared" si="32"/>
        <v>0</v>
      </c>
      <c r="H422" s="155">
        <f t="shared" si="33"/>
        <v>0</v>
      </c>
      <c r="I422" s="142">
        <f t="shared" si="34"/>
        <v>13430340</v>
      </c>
      <c r="J422" s="142">
        <v>0</v>
      </c>
      <c r="K422" s="142">
        <f t="shared" si="35"/>
        <v>0</v>
      </c>
      <c r="L422" s="142">
        <f t="shared" si="36"/>
        <v>13430340</v>
      </c>
    </row>
    <row r="423" spans="5:12" x14ac:dyDescent="0.35">
      <c r="E423" s="135">
        <v>410</v>
      </c>
      <c r="F423" s="135">
        <v>0</v>
      </c>
      <c r="G423" s="141">
        <f t="shared" si="32"/>
        <v>0</v>
      </c>
      <c r="H423" s="155">
        <f t="shared" si="33"/>
        <v>0</v>
      </c>
      <c r="I423" s="142">
        <f t="shared" si="34"/>
        <v>13430340</v>
      </c>
      <c r="J423" s="142">
        <v>0</v>
      </c>
      <c r="K423" s="142">
        <f t="shared" si="35"/>
        <v>0</v>
      </c>
      <c r="L423" s="142">
        <f t="shared" si="36"/>
        <v>13430340</v>
      </c>
    </row>
    <row r="424" spans="5:12" x14ac:dyDescent="0.35">
      <c r="E424" s="135">
        <v>411</v>
      </c>
      <c r="F424" s="135">
        <v>0</v>
      </c>
      <c r="G424" s="141">
        <f t="shared" si="32"/>
        <v>0</v>
      </c>
      <c r="H424" s="155">
        <f t="shared" si="33"/>
        <v>0</v>
      </c>
      <c r="I424" s="142">
        <f t="shared" si="34"/>
        <v>13430340</v>
      </c>
      <c r="J424" s="142">
        <v>0</v>
      </c>
      <c r="K424" s="142">
        <f t="shared" si="35"/>
        <v>0</v>
      </c>
      <c r="L424" s="142">
        <f t="shared" si="36"/>
        <v>13430340</v>
      </c>
    </row>
    <row r="425" spans="5:12" x14ac:dyDescent="0.35">
      <c r="E425" s="135">
        <v>412</v>
      </c>
      <c r="F425" s="135">
        <v>0</v>
      </c>
      <c r="G425" s="141">
        <f t="shared" si="32"/>
        <v>0</v>
      </c>
      <c r="H425" s="155">
        <f t="shared" si="33"/>
        <v>0</v>
      </c>
      <c r="I425" s="142">
        <f t="shared" si="34"/>
        <v>13430340</v>
      </c>
      <c r="J425" s="142">
        <v>0</v>
      </c>
      <c r="K425" s="142">
        <f t="shared" si="35"/>
        <v>0</v>
      </c>
      <c r="L425" s="142">
        <f t="shared" si="36"/>
        <v>13430340</v>
      </c>
    </row>
    <row r="426" spans="5:12" x14ac:dyDescent="0.35">
      <c r="E426" s="135">
        <v>413</v>
      </c>
      <c r="F426" s="135">
        <v>0</v>
      </c>
      <c r="G426" s="141">
        <f t="shared" si="32"/>
        <v>0</v>
      </c>
      <c r="H426" s="155">
        <f t="shared" si="33"/>
        <v>0</v>
      </c>
      <c r="I426" s="142">
        <f t="shared" si="34"/>
        <v>13430340</v>
      </c>
      <c r="J426" s="142">
        <v>0</v>
      </c>
      <c r="K426" s="142">
        <f t="shared" si="35"/>
        <v>0</v>
      </c>
      <c r="L426" s="142">
        <f t="shared" si="36"/>
        <v>13430340</v>
      </c>
    </row>
    <row r="427" spans="5:12" x14ac:dyDescent="0.35">
      <c r="E427" s="135">
        <v>414</v>
      </c>
      <c r="F427" s="135">
        <v>0</v>
      </c>
      <c r="G427" s="141">
        <f t="shared" si="32"/>
        <v>0</v>
      </c>
      <c r="H427" s="155">
        <f t="shared" si="33"/>
        <v>0</v>
      </c>
      <c r="I427" s="142">
        <f t="shared" si="34"/>
        <v>13430340</v>
      </c>
      <c r="J427" s="142">
        <v>0</v>
      </c>
      <c r="K427" s="142">
        <f t="shared" si="35"/>
        <v>0</v>
      </c>
      <c r="L427" s="142">
        <f t="shared" si="36"/>
        <v>13430340</v>
      </c>
    </row>
    <row r="428" spans="5:12" x14ac:dyDescent="0.35">
      <c r="E428" s="135">
        <v>415</v>
      </c>
      <c r="F428" s="135">
        <v>1</v>
      </c>
      <c r="G428" s="141">
        <f t="shared" si="32"/>
        <v>23.813582244547764</v>
      </c>
      <c r="H428" s="155">
        <f t="shared" si="33"/>
        <v>0</v>
      </c>
      <c r="I428" s="142">
        <f t="shared" si="34"/>
        <v>13430340</v>
      </c>
      <c r="J428" s="142">
        <v>0</v>
      </c>
      <c r="K428" s="142">
        <f t="shared" si="35"/>
        <v>136632.93323927111</v>
      </c>
      <c r="L428" s="142">
        <f t="shared" si="36"/>
        <v>13566972.933239272</v>
      </c>
    </row>
    <row r="429" spans="5:12" x14ac:dyDescent="0.35">
      <c r="E429" s="135">
        <v>416</v>
      </c>
      <c r="F429" s="135">
        <v>0</v>
      </c>
      <c r="G429" s="141">
        <f t="shared" si="32"/>
        <v>0</v>
      </c>
      <c r="H429" s="155">
        <f t="shared" si="33"/>
        <v>0</v>
      </c>
      <c r="I429" s="142">
        <f t="shared" si="34"/>
        <v>13430340</v>
      </c>
      <c r="J429" s="142">
        <v>0</v>
      </c>
      <c r="K429" s="142">
        <f t="shared" si="35"/>
        <v>0</v>
      </c>
      <c r="L429" s="142">
        <f t="shared" si="36"/>
        <v>13430340</v>
      </c>
    </row>
    <row r="430" spans="5:12" x14ac:dyDescent="0.35">
      <c r="E430" s="135">
        <v>417</v>
      </c>
      <c r="F430" s="135">
        <v>0</v>
      </c>
      <c r="G430" s="141">
        <f t="shared" si="32"/>
        <v>0</v>
      </c>
      <c r="H430" s="155">
        <f t="shared" si="33"/>
        <v>0</v>
      </c>
      <c r="I430" s="142">
        <f t="shared" si="34"/>
        <v>13430340</v>
      </c>
      <c r="J430" s="142">
        <v>0</v>
      </c>
      <c r="K430" s="142">
        <f t="shared" si="35"/>
        <v>0</v>
      </c>
      <c r="L430" s="142">
        <f t="shared" si="36"/>
        <v>13430340</v>
      </c>
    </row>
    <row r="431" spans="5:12" x14ac:dyDescent="0.35">
      <c r="E431" s="135">
        <v>418</v>
      </c>
      <c r="F431" s="135">
        <v>0</v>
      </c>
      <c r="G431" s="141">
        <f t="shared" si="32"/>
        <v>0</v>
      </c>
      <c r="H431" s="155">
        <f t="shared" si="33"/>
        <v>0</v>
      </c>
      <c r="I431" s="142">
        <f t="shared" si="34"/>
        <v>13430340</v>
      </c>
      <c r="J431" s="142">
        <v>0</v>
      </c>
      <c r="K431" s="142">
        <f t="shared" si="35"/>
        <v>0</v>
      </c>
      <c r="L431" s="142">
        <f t="shared" si="36"/>
        <v>13430340</v>
      </c>
    </row>
    <row r="432" spans="5:12" x14ac:dyDescent="0.35">
      <c r="E432" s="135">
        <v>419</v>
      </c>
      <c r="F432" s="135">
        <v>0</v>
      </c>
      <c r="G432" s="141">
        <f t="shared" si="32"/>
        <v>0</v>
      </c>
      <c r="H432" s="155">
        <f t="shared" si="33"/>
        <v>0</v>
      </c>
      <c r="I432" s="142">
        <f t="shared" si="34"/>
        <v>13430340</v>
      </c>
      <c r="J432" s="142">
        <v>0</v>
      </c>
      <c r="K432" s="142">
        <f t="shared" si="35"/>
        <v>0</v>
      </c>
      <c r="L432" s="142">
        <f t="shared" si="36"/>
        <v>13430340</v>
      </c>
    </row>
    <row r="433" spans="5:12" x14ac:dyDescent="0.35">
      <c r="E433" s="135">
        <v>420</v>
      </c>
      <c r="F433" s="135">
        <v>0</v>
      </c>
      <c r="G433" s="141">
        <f t="shared" si="32"/>
        <v>0</v>
      </c>
      <c r="H433" s="155">
        <f t="shared" si="33"/>
        <v>0</v>
      </c>
      <c r="I433" s="142">
        <f t="shared" si="34"/>
        <v>13430340</v>
      </c>
      <c r="J433" s="142">
        <v>0</v>
      </c>
      <c r="K433" s="142">
        <f t="shared" si="35"/>
        <v>0</v>
      </c>
      <c r="L433" s="142">
        <f t="shared" si="36"/>
        <v>13430340</v>
      </c>
    </row>
    <row r="434" spans="5:12" x14ac:dyDescent="0.35">
      <c r="E434" s="135">
        <v>421</v>
      </c>
      <c r="F434" s="135">
        <v>0</v>
      </c>
      <c r="G434" s="141">
        <f t="shared" si="32"/>
        <v>0</v>
      </c>
      <c r="H434" s="155">
        <f t="shared" si="33"/>
        <v>0</v>
      </c>
      <c r="I434" s="142">
        <f t="shared" si="34"/>
        <v>13430340</v>
      </c>
      <c r="J434" s="142">
        <v>0</v>
      </c>
      <c r="K434" s="142">
        <f t="shared" si="35"/>
        <v>0</v>
      </c>
      <c r="L434" s="142">
        <f t="shared" si="36"/>
        <v>13430340</v>
      </c>
    </row>
    <row r="435" spans="5:12" x14ac:dyDescent="0.35">
      <c r="E435" s="135">
        <v>422</v>
      </c>
      <c r="F435" s="135">
        <v>0</v>
      </c>
      <c r="G435" s="141">
        <f t="shared" si="32"/>
        <v>0</v>
      </c>
      <c r="H435" s="155">
        <f t="shared" si="33"/>
        <v>0</v>
      </c>
      <c r="I435" s="142">
        <f t="shared" si="34"/>
        <v>13430340</v>
      </c>
      <c r="J435" s="142">
        <v>0</v>
      </c>
      <c r="K435" s="142">
        <f t="shared" si="35"/>
        <v>0</v>
      </c>
      <c r="L435" s="142">
        <f t="shared" si="36"/>
        <v>13430340</v>
      </c>
    </row>
    <row r="436" spans="5:12" x14ac:dyDescent="0.35">
      <c r="E436" s="135">
        <v>423</v>
      </c>
      <c r="F436" s="135">
        <v>0</v>
      </c>
      <c r="G436" s="141">
        <f t="shared" si="32"/>
        <v>0</v>
      </c>
      <c r="H436" s="155">
        <f t="shared" si="33"/>
        <v>0</v>
      </c>
      <c r="I436" s="142">
        <f t="shared" si="34"/>
        <v>13430340</v>
      </c>
      <c r="J436" s="142">
        <v>0</v>
      </c>
      <c r="K436" s="142">
        <f t="shared" si="35"/>
        <v>0</v>
      </c>
      <c r="L436" s="142">
        <f t="shared" si="36"/>
        <v>13430340</v>
      </c>
    </row>
    <row r="437" spans="5:12" x14ac:dyDescent="0.35">
      <c r="E437" s="135">
        <v>424</v>
      </c>
      <c r="F437" s="135">
        <v>0</v>
      </c>
      <c r="G437" s="141">
        <f t="shared" si="32"/>
        <v>0</v>
      </c>
      <c r="H437" s="155">
        <f t="shared" si="33"/>
        <v>0</v>
      </c>
      <c r="I437" s="142">
        <f t="shared" si="34"/>
        <v>13430340</v>
      </c>
      <c r="J437" s="142">
        <v>0</v>
      </c>
      <c r="K437" s="142">
        <f t="shared" si="35"/>
        <v>0</v>
      </c>
      <c r="L437" s="142">
        <f t="shared" si="36"/>
        <v>13430340</v>
      </c>
    </row>
    <row r="438" spans="5:12" x14ac:dyDescent="0.35">
      <c r="E438" s="135">
        <v>425</v>
      </c>
      <c r="F438" s="135">
        <v>0</v>
      </c>
      <c r="G438" s="141">
        <f t="shared" si="32"/>
        <v>0</v>
      </c>
      <c r="H438" s="155">
        <f t="shared" si="33"/>
        <v>0</v>
      </c>
      <c r="I438" s="142">
        <f t="shared" si="34"/>
        <v>13430340</v>
      </c>
      <c r="J438" s="142">
        <v>0</v>
      </c>
      <c r="K438" s="142">
        <f t="shared" si="35"/>
        <v>0</v>
      </c>
      <c r="L438" s="142">
        <f t="shared" si="36"/>
        <v>13430340</v>
      </c>
    </row>
    <row r="439" spans="5:12" x14ac:dyDescent="0.35">
      <c r="E439" s="135">
        <v>426</v>
      </c>
      <c r="F439" s="135">
        <v>0</v>
      </c>
      <c r="G439" s="141">
        <f t="shared" si="32"/>
        <v>0</v>
      </c>
      <c r="H439" s="155">
        <f t="shared" si="33"/>
        <v>0</v>
      </c>
      <c r="I439" s="142">
        <f t="shared" si="34"/>
        <v>13430340</v>
      </c>
      <c r="J439" s="142">
        <v>0</v>
      </c>
      <c r="K439" s="142">
        <f t="shared" si="35"/>
        <v>0</v>
      </c>
      <c r="L439" s="142">
        <f t="shared" si="36"/>
        <v>13430340</v>
      </c>
    </row>
    <row r="440" spans="5:12" x14ac:dyDescent="0.35">
      <c r="E440" s="135">
        <v>427</v>
      </c>
      <c r="F440" s="135">
        <v>0</v>
      </c>
      <c r="G440" s="141">
        <f t="shared" si="32"/>
        <v>0</v>
      </c>
      <c r="H440" s="155">
        <f t="shared" si="33"/>
        <v>0</v>
      </c>
      <c r="I440" s="142">
        <f t="shared" si="34"/>
        <v>13430340</v>
      </c>
      <c r="J440" s="142">
        <v>0</v>
      </c>
      <c r="K440" s="142">
        <f t="shared" si="35"/>
        <v>0</v>
      </c>
      <c r="L440" s="142">
        <f t="shared" si="36"/>
        <v>13430340</v>
      </c>
    </row>
    <row r="441" spans="5:12" x14ac:dyDescent="0.35">
      <c r="E441" s="135">
        <v>428</v>
      </c>
      <c r="F441" s="135">
        <v>1</v>
      </c>
      <c r="G441" s="141">
        <f t="shared" si="32"/>
        <v>23.813582244547764</v>
      </c>
      <c r="H441" s="155">
        <f t="shared" si="33"/>
        <v>0</v>
      </c>
      <c r="I441" s="142">
        <f t="shared" si="34"/>
        <v>13430340</v>
      </c>
      <c r="J441" s="142">
        <v>0</v>
      </c>
      <c r="K441" s="142">
        <f t="shared" si="35"/>
        <v>136632.93323927111</v>
      </c>
      <c r="L441" s="142">
        <f t="shared" si="36"/>
        <v>13566972.933239272</v>
      </c>
    </row>
    <row r="442" spans="5:12" x14ac:dyDescent="0.35">
      <c r="E442" s="135">
        <v>429</v>
      </c>
      <c r="F442" s="135">
        <v>0</v>
      </c>
      <c r="G442" s="141">
        <f t="shared" si="32"/>
        <v>0</v>
      </c>
      <c r="H442" s="155">
        <f t="shared" si="33"/>
        <v>0</v>
      </c>
      <c r="I442" s="142">
        <f t="shared" si="34"/>
        <v>13430340</v>
      </c>
      <c r="J442" s="142">
        <v>0</v>
      </c>
      <c r="K442" s="142">
        <f t="shared" si="35"/>
        <v>0</v>
      </c>
      <c r="L442" s="142">
        <f t="shared" si="36"/>
        <v>13430340</v>
      </c>
    </row>
    <row r="443" spans="5:12" x14ac:dyDescent="0.35">
      <c r="E443" s="135">
        <v>430</v>
      </c>
      <c r="F443" s="135">
        <v>0</v>
      </c>
      <c r="G443" s="141">
        <f t="shared" si="32"/>
        <v>0</v>
      </c>
      <c r="H443" s="155">
        <f t="shared" si="33"/>
        <v>0</v>
      </c>
      <c r="I443" s="142">
        <f t="shared" si="34"/>
        <v>13430340</v>
      </c>
      <c r="J443" s="142">
        <v>0</v>
      </c>
      <c r="K443" s="142">
        <f t="shared" si="35"/>
        <v>0</v>
      </c>
      <c r="L443" s="142">
        <f t="shared" si="36"/>
        <v>13430340</v>
      </c>
    </row>
    <row r="444" spans="5:12" x14ac:dyDescent="0.35">
      <c r="E444" s="135">
        <v>431</v>
      </c>
      <c r="F444" s="135">
        <v>0</v>
      </c>
      <c r="G444" s="141">
        <f t="shared" si="32"/>
        <v>0</v>
      </c>
      <c r="H444" s="155">
        <f t="shared" si="33"/>
        <v>0</v>
      </c>
      <c r="I444" s="142">
        <f t="shared" si="34"/>
        <v>13430340</v>
      </c>
      <c r="J444" s="142">
        <v>0</v>
      </c>
      <c r="K444" s="142">
        <f t="shared" si="35"/>
        <v>0</v>
      </c>
      <c r="L444" s="142">
        <f t="shared" si="36"/>
        <v>13430340</v>
      </c>
    </row>
    <row r="445" spans="5:12" x14ac:dyDescent="0.35">
      <c r="E445" s="135">
        <v>432</v>
      </c>
      <c r="F445" s="135">
        <v>1</v>
      </c>
      <c r="G445" s="141">
        <f t="shared" si="32"/>
        <v>23.813582244547764</v>
      </c>
      <c r="H445" s="155">
        <f t="shared" si="33"/>
        <v>0</v>
      </c>
      <c r="I445" s="142">
        <f t="shared" si="34"/>
        <v>13430340</v>
      </c>
      <c r="J445" s="142">
        <v>0</v>
      </c>
      <c r="K445" s="142">
        <f t="shared" si="35"/>
        <v>136632.93323927111</v>
      </c>
      <c r="L445" s="142">
        <f t="shared" si="36"/>
        <v>13566972.933239272</v>
      </c>
    </row>
    <row r="446" spans="5:12" x14ac:dyDescent="0.35">
      <c r="E446" s="135">
        <v>433</v>
      </c>
      <c r="F446" s="135">
        <v>0</v>
      </c>
      <c r="G446" s="141">
        <f t="shared" si="32"/>
        <v>0</v>
      </c>
      <c r="H446" s="155">
        <f t="shared" si="33"/>
        <v>0</v>
      </c>
      <c r="I446" s="142">
        <f t="shared" si="34"/>
        <v>13430340</v>
      </c>
      <c r="J446" s="142">
        <v>0</v>
      </c>
      <c r="K446" s="142">
        <f t="shared" si="35"/>
        <v>0</v>
      </c>
      <c r="L446" s="142">
        <f t="shared" si="36"/>
        <v>13430340</v>
      </c>
    </row>
    <row r="447" spans="5:12" x14ac:dyDescent="0.35">
      <c r="E447" s="135">
        <v>434</v>
      </c>
      <c r="F447" s="135">
        <v>0</v>
      </c>
      <c r="G447" s="141">
        <f t="shared" si="32"/>
        <v>0</v>
      </c>
      <c r="H447" s="155">
        <f t="shared" si="33"/>
        <v>0</v>
      </c>
      <c r="I447" s="142">
        <f t="shared" si="34"/>
        <v>13430340</v>
      </c>
      <c r="J447" s="142">
        <v>0</v>
      </c>
      <c r="K447" s="142">
        <f t="shared" si="35"/>
        <v>0</v>
      </c>
      <c r="L447" s="142">
        <f t="shared" si="36"/>
        <v>13430340</v>
      </c>
    </row>
    <row r="448" spans="5:12" x14ac:dyDescent="0.35">
      <c r="E448" s="135">
        <v>435</v>
      </c>
      <c r="F448" s="135">
        <v>0</v>
      </c>
      <c r="G448" s="141">
        <f t="shared" si="32"/>
        <v>0</v>
      </c>
      <c r="H448" s="155">
        <f t="shared" si="33"/>
        <v>0</v>
      </c>
      <c r="I448" s="142">
        <f t="shared" si="34"/>
        <v>13430340</v>
      </c>
      <c r="J448" s="142">
        <v>0</v>
      </c>
      <c r="K448" s="142">
        <f t="shared" si="35"/>
        <v>0</v>
      </c>
      <c r="L448" s="142">
        <f t="shared" si="36"/>
        <v>13430340</v>
      </c>
    </row>
    <row r="449" spans="5:12" x14ac:dyDescent="0.35">
      <c r="E449" s="135">
        <v>436</v>
      </c>
      <c r="F449" s="135">
        <v>0</v>
      </c>
      <c r="G449" s="141">
        <f t="shared" si="32"/>
        <v>0</v>
      </c>
      <c r="H449" s="155">
        <f t="shared" si="33"/>
        <v>0</v>
      </c>
      <c r="I449" s="142">
        <f t="shared" si="34"/>
        <v>13430340</v>
      </c>
      <c r="J449" s="142">
        <v>0</v>
      </c>
      <c r="K449" s="142">
        <f t="shared" si="35"/>
        <v>0</v>
      </c>
      <c r="L449" s="142">
        <f t="shared" si="36"/>
        <v>13430340</v>
      </c>
    </row>
    <row r="450" spans="5:12" x14ac:dyDescent="0.35">
      <c r="E450" s="135">
        <v>437</v>
      </c>
      <c r="F450" s="135">
        <v>0</v>
      </c>
      <c r="G450" s="141">
        <f t="shared" si="32"/>
        <v>0</v>
      </c>
      <c r="H450" s="155">
        <f t="shared" si="33"/>
        <v>0</v>
      </c>
      <c r="I450" s="142">
        <f t="shared" si="34"/>
        <v>13430340</v>
      </c>
      <c r="J450" s="142">
        <v>0</v>
      </c>
      <c r="K450" s="142">
        <f t="shared" si="35"/>
        <v>0</v>
      </c>
      <c r="L450" s="142">
        <f t="shared" si="36"/>
        <v>13430340</v>
      </c>
    </row>
    <row r="451" spans="5:12" x14ac:dyDescent="0.35">
      <c r="E451" s="135">
        <v>438</v>
      </c>
      <c r="F451" s="135">
        <v>0</v>
      </c>
      <c r="G451" s="141">
        <f t="shared" si="32"/>
        <v>0</v>
      </c>
      <c r="H451" s="155">
        <f t="shared" si="33"/>
        <v>0</v>
      </c>
      <c r="I451" s="142">
        <f t="shared" si="34"/>
        <v>13430340</v>
      </c>
      <c r="J451" s="142">
        <v>0</v>
      </c>
      <c r="K451" s="142">
        <f t="shared" si="35"/>
        <v>0</v>
      </c>
      <c r="L451" s="142">
        <f t="shared" si="36"/>
        <v>13430340</v>
      </c>
    </row>
    <row r="452" spans="5:12" x14ac:dyDescent="0.35">
      <c r="E452" s="135">
        <v>439</v>
      </c>
      <c r="F452" s="135">
        <v>0</v>
      </c>
      <c r="G452" s="141">
        <f t="shared" si="32"/>
        <v>0</v>
      </c>
      <c r="H452" s="155">
        <f t="shared" si="33"/>
        <v>0</v>
      </c>
      <c r="I452" s="142">
        <f t="shared" si="34"/>
        <v>13430340</v>
      </c>
      <c r="J452" s="142">
        <v>0</v>
      </c>
      <c r="K452" s="142">
        <f t="shared" si="35"/>
        <v>0</v>
      </c>
      <c r="L452" s="142">
        <f t="shared" si="36"/>
        <v>13430340</v>
      </c>
    </row>
    <row r="453" spans="5:12" x14ac:dyDescent="0.35">
      <c r="E453" s="135">
        <v>440</v>
      </c>
      <c r="F453" s="135">
        <v>0</v>
      </c>
      <c r="G453" s="141">
        <f t="shared" si="32"/>
        <v>0</v>
      </c>
      <c r="H453" s="155">
        <f t="shared" si="33"/>
        <v>0</v>
      </c>
      <c r="I453" s="142">
        <f t="shared" si="34"/>
        <v>13430340</v>
      </c>
      <c r="J453" s="142">
        <v>0</v>
      </c>
      <c r="K453" s="142">
        <f t="shared" si="35"/>
        <v>0</v>
      </c>
      <c r="L453" s="142">
        <f t="shared" si="36"/>
        <v>13430340</v>
      </c>
    </row>
    <row r="454" spans="5:12" x14ac:dyDescent="0.35">
      <c r="E454" s="135">
        <v>441</v>
      </c>
      <c r="F454" s="135">
        <v>0</v>
      </c>
      <c r="G454" s="141">
        <f t="shared" si="32"/>
        <v>0</v>
      </c>
      <c r="H454" s="155">
        <f t="shared" si="33"/>
        <v>0</v>
      </c>
      <c r="I454" s="142">
        <f t="shared" si="34"/>
        <v>13430340</v>
      </c>
      <c r="J454" s="142">
        <v>0</v>
      </c>
      <c r="K454" s="142">
        <f t="shared" si="35"/>
        <v>0</v>
      </c>
      <c r="L454" s="142">
        <f t="shared" si="36"/>
        <v>13430340</v>
      </c>
    </row>
    <row r="455" spans="5:12" x14ac:dyDescent="0.35">
      <c r="E455" s="135">
        <v>442</v>
      </c>
      <c r="F455" s="135">
        <v>0</v>
      </c>
      <c r="G455" s="141">
        <f t="shared" si="32"/>
        <v>0</v>
      </c>
      <c r="H455" s="155">
        <f t="shared" si="33"/>
        <v>0</v>
      </c>
      <c r="I455" s="142">
        <f t="shared" si="34"/>
        <v>13430340</v>
      </c>
      <c r="J455" s="142">
        <v>0</v>
      </c>
      <c r="K455" s="142">
        <f t="shared" si="35"/>
        <v>0</v>
      </c>
      <c r="L455" s="142">
        <f t="shared" si="36"/>
        <v>13430340</v>
      </c>
    </row>
    <row r="456" spans="5:12" x14ac:dyDescent="0.35">
      <c r="E456" s="135">
        <v>443</v>
      </c>
      <c r="F456" s="135">
        <v>0</v>
      </c>
      <c r="G456" s="141">
        <f t="shared" si="32"/>
        <v>0</v>
      </c>
      <c r="H456" s="155">
        <f t="shared" si="33"/>
        <v>0</v>
      </c>
      <c r="I456" s="142">
        <f t="shared" si="34"/>
        <v>13430340</v>
      </c>
      <c r="J456" s="142">
        <v>0</v>
      </c>
      <c r="K456" s="142">
        <f t="shared" si="35"/>
        <v>0</v>
      </c>
      <c r="L456" s="142">
        <f t="shared" si="36"/>
        <v>13430340</v>
      </c>
    </row>
    <row r="457" spans="5:12" x14ac:dyDescent="0.35">
      <c r="E457" s="135">
        <v>444</v>
      </c>
      <c r="F457" s="135">
        <v>0</v>
      </c>
      <c r="G457" s="141">
        <f t="shared" si="32"/>
        <v>0</v>
      </c>
      <c r="H457" s="155">
        <f t="shared" si="33"/>
        <v>0</v>
      </c>
      <c r="I457" s="142">
        <f t="shared" si="34"/>
        <v>13430340</v>
      </c>
      <c r="J457" s="142">
        <v>0</v>
      </c>
      <c r="K457" s="142">
        <f t="shared" si="35"/>
        <v>0</v>
      </c>
      <c r="L457" s="142">
        <f t="shared" si="36"/>
        <v>13430340</v>
      </c>
    </row>
    <row r="458" spans="5:12" x14ac:dyDescent="0.35">
      <c r="E458" s="135">
        <v>445</v>
      </c>
      <c r="F458" s="135">
        <v>0</v>
      </c>
      <c r="G458" s="141">
        <f t="shared" si="32"/>
        <v>0</v>
      </c>
      <c r="H458" s="155">
        <f t="shared" si="33"/>
        <v>0</v>
      </c>
      <c r="I458" s="142">
        <f t="shared" si="34"/>
        <v>13430340</v>
      </c>
      <c r="J458" s="142">
        <v>0</v>
      </c>
      <c r="K458" s="142">
        <f t="shared" si="35"/>
        <v>0</v>
      </c>
      <c r="L458" s="142">
        <f t="shared" si="36"/>
        <v>13430340</v>
      </c>
    </row>
    <row r="459" spans="5:12" x14ac:dyDescent="0.35">
      <c r="E459" s="135">
        <v>446</v>
      </c>
      <c r="F459" s="135">
        <v>0</v>
      </c>
      <c r="G459" s="141">
        <f t="shared" si="32"/>
        <v>0</v>
      </c>
      <c r="H459" s="155">
        <f t="shared" si="33"/>
        <v>0</v>
      </c>
      <c r="I459" s="142">
        <f t="shared" si="34"/>
        <v>13430340</v>
      </c>
      <c r="J459" s="142">
        <v>0</v>
      </c>
      <c r="K459" s="142">
        <f t="shared" si="35"/>
        <v>0</v>
      </c>
      <c r="L459" s="142">
        <f t="shared" si="36"/>
        <v>13430340</v>
      </c>
    </row>
    <row r="460" spans="5:12" x14ac:dyDescent="0.35">
      <c r="E460" s="135">
        <v>447</v>
      </c>
      <c r="F460" s="135">
        <v>0</v>
      </c>
      <c r="G460" s="141">
        <f t="shared" si="32"/>
        <v>0</v>
      </c>
      <c r="H460" s="155">
        <f t="shared" si="33"/>
        <v>0</v>
      </c>
      <c r="I460" s="142">
        <f t="shared" si="34"/>
        <v>13430340</v>
      </c>
      <c r="J460" s="142">
        <v>0</v>
      </c>
      <c r="K460" s="142">
        <f t="shared" si="35"/>
        <v>0</v>
      </c>
      <c r="L460" s="142">
        <f t="shared" si="36"/>
        <v>13430340</v>
      </c>
    </row>
    <row r="461" spans="5:12" x14ac:dyDescent="0.35">
      <c r="E461" s="135">
        <v>448</v>
      </c>
      <c r="F461" s="135">
        <v>1</v>
      </c>
      <c r="G461" s="141">
        <f t="shared" si="32"/>
        <v>23.813582244547764</v>
      </c>
      <c r="H461" s="155">
        <f t="shared" si="33"/>
        <v>0</v>
      </c>
      <c r="I461" s="142">
        <f t="shared" si="34"/>
        <v>13430340</v>
      </c>
      <c r="J461" s="142">
        <v>0</v>
      </c>
      <c r="K461" s="142">
        <f t="shared" si="35"/>
        <v>136632.93323927111</v>
      </c>
      <c r="L461" s="142">
        <f t="shared" si="36"/>
        <v>13566972.933239272</v>
      </c>
    </row>
    <row r="462" spans="5:12" x14ac:dyDescent="0.35">
      <c r="E462" s="135">
        <v>449</v>
      </c>
      <c r="F462" s="135">
        <v>0</v>
      </c>
      <c r="G462" s="141">
        <f t="shared" ref="G462:G525" si="37">F462*$C$10</f>
        <v>0</v>
      </c>
      <c r="H462" s="155">
        <f t="shared" ref="H462:H525" si="38">IF(F462 &gt; 1,$C$14*20000,0)</f>
        <v>0</v>
      </c>
      <c r="I462" s="142">
        <f t="shared" ref="I462:I525" si="39">IF(F462 &gt; 1,$C$5+$G$2,$G$2)</f>
        <v>13430340</v>
      </c>
      <c r="J462" s="142">
        <v>0</v>
      </c>
      <c r="K462" s="142">
        <f t="shared" ref="K462:K525" si="40">F462*$C$6</f>
        <v>0</v>
      </c>
      <c r="L462" s="142">
        <f t="shared" ref="L462:L525" si="41">J462+I462+K462</f>
        <v>13430340</v>
      </c>
    </row>
    <row r="463" spans="5:12" x14ac:dyDescent="0.35">
      <c r="E463" s="135">
        <v>450</v>
      </c>
      <c r="F463" s="135">
        <v>0</v>
      </c>
      <c r="G463" s="141">
        <f t="shared" si="37"/>
        <v>0</v>
      </c>
      <c r="H463" s="155">
        <f t="shared" si="38"/>
        <v>0</v>
      </c>
      <c r="I463" s="142">
        <f t="shared" si="39"/>
        <v>13430340</v>
      </c>
      <c r="J463" s="142">
        <v>0</v>
      </c>
      <c r="K463" s="142">
        <f t="shared" si="40"/>
        <v>0</v>
      </c>
      <c r="L463" s="142">
        <f t="shared" si="41"/>
        <v>13430340</v>
      </c>
    </row>
    <row r="464" spans="5:12" x14ac:dyDescent="0.35">
      <c r="E464" s="135">
        <v>451</v>
      </c>
      <c r="F464" s="135">
        <v>0</v>
      </c>
      <c r="G464" s="141">
        <f t="shared" si="37"/>
        <v>0</v>
      </c>
      <c r="H464" s="155">
        <f t="shared" si="38"/>
        <v>0</v>
      </c>
      <c r="I464" s="142">
        <f t="shared" si="39"/>
        <v>13430340</v>
      </c>
      <c r="J464" s="142">
        <v>0</v>
      </c>
      <c r="K464" s="142">
        <f t="shared" si="40"/>
        <v>0</v>
      </c>
      <c r="L464" s="142">
        <f t="shared" si="41"/>
        <v>13430340</v>
      </c>
    </row>
    <row r="465" spans="5:12" x14ac:dyDescent="0.35">
      <c r="E465" s="135">
        <v>452</v>
      </c>
      <c r="F465" s="135">
        <v>0</v>
      </c>
      <c r="G465" s="141">
        <f t="shared" si="37"/>
        <v>0</v>
      </c>
      <c r="H465" s="155">
        <f t="shared" si="38"/>
        <v>0</v>
      </c>
      <c r="I465" s="142">
        <f t="shared" si="39"/>
        <v>13430340</v>
      </c>
      <c r="J465" s="142">
        <v>0</v>
      </c>
      <c r="K465" s="142">
        <f t="shared" si="40"/>
        <v>0</v>
      </c>
      <c r="L465" s="142">
        <f t="shared" si="41"/>
        <v>13430340</v>
      </c>
    </row>
    <row r="466" spans="5:12" x14ac:dyDescent="0.35">
      <c r="E466" s="135">
        <v>453</v>
      </c>
      <c r="F466" s="135">
        <v>1</v>
      </c>
      <c r="G466" s="141">
        <f t="shared" si="37"/>
        <v>23.813582244547764</v>
      </c>
      <c r="H466" s="155">
        <f t="shared" si="38"/>
        <v>0</v>
      </c>
      <c r="I466" s="142">
        <f t="shared" si="39"/>
        <v>13430340</v>
      </c>
      <c r="J466" s="142">
        <v>0</v>
      </c>
      <c r="K466" s="142">
        <f t="shared" si="40"/>
        <v>136632.93323927111</v>
      </c>
      <c r="L466" s="142">
        <f t="shared" si="41"/>
        <v>13566972.933239272</v>
      </c>
    </row>
    <row r="467" spans="5:12" x14ac:dyDescent="0.35">
      <c r="E467" s="135">
        <v>454</v>
      </c>
      <c r="F467" s="135">
        <v>0</v>
      </c>
      <c r="G467" s="141">
        <f t="shared" si="37"/>
        <v>0</v>
      </c>
      <c r="H467" s="155">
        <f t="shared" si="38"/>
        <v>0</v>
      </c>
      <c r="I467" s="142">
        <f t="shared" si="39"/>
        <v>13430340</v>
      </c>
      <c r="J467" s="142">
        <v>0</v>
      </c>
      <c r="K467" s="142">
        <f t="shared" si="40"/>
        <v>0</v>
      </c>
      <c r="L467" s="142">
        <f t="shared" si="41"/>
        <v>13430340</v>
      </c>
    </row>
    <row r="468" spans="5:12" x14ac:dyDescent="0.35">
      <c r="E468" s="135">
        <v>455</v>
      </c>
      <c r="F468" s="135">
        <v>0</v>
      </c>
      <c r="G468" s="141">
        <f t="shared" si="37"/>
        <v>0</v>
      </c>
      <c r="H468" s="155">
        <f t="shared" si="38"/>
        <v>0</v>
      </c>
      <c r="I468" s="142">
        <f t="shared" si="39"/>
        <v>13430340</v>
      </c>
      <c r="J468" s="142">
        <v>0</v>
      </c>
      <c r="K468" s="142">
        <f t="shared" si="40"/>
        <v>0</v>
      </c>
      <c r="L468" s="142">
        <f t="shared" si="41"/>
        <v>13430340</v>
      </c>
    </row>
    <row r="469" spans="5:12" x14ac:dyDescent="0.35">
      <c r="E469" s="135">
        <v>456</v>
      </c>
      <c r="F469" s="135">
        <v>0</v>
      </c>
      <c r="G469" s="141">
        <f t="shared" si="37"/>
        <v>0</v>
      </c>
      <c r="H469" s="155">
        <f t="shared" si="38"/>
        <v>0</v>
      </c>
      <c r="I469" s="142">
        <f t="shared" si="39"/>
        <v>13430340</v>
      </c>
      <c r="J469" s="142">
        <v>0</v>
      </c>
      <c r="K469" s="142">
        <f t="shared" si="40"/>
        <v>0</v>
      </c>
      <c r="L469" s="142">
        <f t="shared" si="41"/>
        <v>13430340</v>
      </c>
    </row>
    <row r="470" spans="5:12" x14ac:dyDescent="0.35">
      <c r="E470" s="135">
        <v>457</v>
      </c>
      <c r="F470" s="135">
        <v>0</v>
      </c>
      <c r="G470" s="141">
        <f t="shared" si="37"/>
        <v>0</v>
      </c>
      <c r="H470" s="155">
        <f t="shared" si="38"/>
        <v>0</v>
      </c>
      <c r="I470" s="142">
        <f t="shared" si="39"/>
        <v>13430340</v>
      </c>
      <c r="J470" s="142">
        <v>0</v>
      </c>
      <c r="K470" s="142">
        <f t="shared" si="40"/>
        <v>0</v>
      </c>
      <c r="L470" s="142">
        <f t="shared" si="41"/>
        <v>13430340</v>
      </c>
    </row>
    <row r="471" spans="5:12" x14ac:dyDescent="0.35">
      <c r="E471" s="135">
        <v>458</v>
      </c>
      <c r="F471" s="135">
        <v>0</v>
      </c>
      <c r="G471" s="141">
        <f t="shared" si="37"/>
        <v>0</v>
      </c>
      <c r="H471" s="155">
        <f t="shared" si="38"/>
        <v>0</v>
      </c>
      <c r="I471" s="142">
        <f t="shared" si="39"/>
        <v>13430340</v>
      </c>
      <c r="J471" s="142">
        <v>0</v>
      </c>
      <c r="K471" s="142">
        <f t="shared" si="40"/>
        <v>0</v>
      </c>
      <c r="L471" s="142">
        <f t="shared" si="41"/>
        <v>13430340</v>
      </c>
    </row>
    <row r="472" spans="5:12" x14ac:dyDescent="0.35">
      <c r="E472" s="135">
        <v>459</v>
      </c>
      <c r="F472" s="135">
        <v>0</v>
      </c>
      <c r="G472" s="141">
        <f t="shared" si="37"/>
        <v>0</v>
      </c>
      <c r="H472" s="155">
        <f t="shared" si="38"/>
        <v>0</v>
      </c>
      <c r="I472" s="142">
        <f t="shared" si="39"/>
        <v>13430340</v>
      </c>
      <c r="J472" s="142">
        <v>0</v>
      </c>
      <c r="K472" s="142">
        <f t="shared" si="40"/>
        <v>0</v>
      </c>
      <c r="L472" s="142">
        <f t="shared" si="41"/>
        <v>13430340</v>
      </c>
    </row>
    <row r="473" spans="5:12" x14ac:dyDescent="0.35">
      <c r="E473" s="135">
        <v>460</v>
      </c>
      <c r="F473" s="135">
        <v>0</v>
      </c>
      <c r="G473" s="141">
        <f t="shared" si="37"/>
        <v>0</v>
      </c>
      <c r="H473" s="155">
        <f t="shared" si="38"/>
        <v>0</v>
      </c>
      <c r="I473" s="142">
        <f t="shared" si="39"/>
        <v>13430340</v>
      </c>
      <c r="J473" s="142">
        <v>0</v>
      </c>
      <c r="K473" s="142">
        <f t="shared" si="40"/>
        <v>0</v>
      </c>
      <c r="L473" s="142">
        <f t="shared" si="41"/>
        <v>13430340</v>
      </c>
    </row>
    <row r="474" spans="5:12" x14ac:dyDescent="0.35">
      <c r="E474" s="135">
        <v>461</v>
      </c>
      <c r="F474" s="135">
        <v>0</v>
      </c>
      <c r="G474" s="141">
        <f t="shared" si="37"/>
        <v>0</v>
      </c>
      <c r="H474" s="155">
        <f t="shared" si="38"/>
        <v>0</v>
      </c>
      <c r="I474" s="142">
        <f t="shared" si="39"/>
        <v>13430340</v>
      </c>
      <c r="J474" s="142">
        <v>0</v>
      </c>
      <c r="K474" s="142">
        <f t="shared" si="40"/>
        <v>0</v>
      </c>
      <c r="L474" s="142">
        <f t="shared" si="41"/>
        <v>13430340</v>
      </c>
    </row>
    <row r="475" spans="5:12" x14ac:dyDescent="0.35">
      <c r="E475" s="135">
        <v>462</v>
      </c>
      <c r="F475" s="135">
        <v>0</v>
      </c>
      <c r="G475" s="141">
        <f t="shared" si="37"/>
        <v>0</v>
      </c>
      <c r="H475" s="155">
        <f t="shared" si="38"/>
        <v>0</v>
      </c>
      <c r="I475" s="142">
        <f t="shared" si="39"/>
        <v>13430340</v>
      </c>
      <c r="J475" s="142">
        <v>0</v>
      </c>
      <c r="K475" s="142">
        <f t="shared" si="40"/>
        <v>0</v>
      </c>
      <c r="L475" s="142">
        <f t="shared" si="41"/>
        <v>13430340</v>
      </c>
    </row>
    <row r="476" spans="5:12" x14ac:dyDescent="0.35">
      <c r="E476" s="135">
        <v>463</v>
      </c>
      <c r="F476" s="135">
        <v>0</v>
      </c>
      <c r="G476" s="141">
        <f t="shared" si="37"/>
        <v>0</v>
      </c>
      <c r="H476" s="155">
        <f t="shared" si="38"/>
        <v>0</v>
      </c>
      <c r="I476" s="142">
        <f t="shared" si="39"/>
        <v>13430340</v>
      </c>
      <c r="J476" s="142">
        <v>0</v>
      </c>
      <c r="K476" s="142">
        <f t="shared" si="40"/>
        <v>0</v>
      </c>
      <c r="L476" s="142">
        <f t="shared" si="41"/>
        <v>13430340</v>
      </c>
    </row>
    <row r="477" spans="5:12" x14ac:dyDescent="0.35">
      <c r="E477" s="135">
        <v>464</v>
      </c>
      <c r="F477" s="135">
        <v>0</v>
      </c>
      <c r="G477" s="141">
        <f t="shared" si="37"/>
        <v>0</v>
      </c>
      <c r="H477" s="155">
        <f t="shared" si="38"/>
        <v>0</v>
      </c>
      <c r="I477" s="142">
        <f t="shared" si="39"/>
        <v>13430340</v>
      </c>
      <c r="J477" s="142">
        <v>0</v>
      </c>
      <c r="K477" s="142">
        <f t="shared" si="40"/>
        <v>0</v>
      </c>
      <c r="L477" s="142">
        <f t="shared" si="41"/>
        <v>13430340</v>
      </c>
    </row>
    <row r="478" spans="5:12" x14ac:dyDescent="0.35">
      <c r="E478" s="135">
        <v>465</v>
      </c>
      <c r="F478" s="135">
        <v>0</v>
      </c>
      <c r="G478" s="141">
        <f t="shared" si="37"/>
        <v>0</v>
      </c>
      <c r="H478" s="155">
        <f t="shared" si="38"/>
        <v>0</v>
      </c>
      <c r="I478" s="142">
        <f t="shared" si="39"/>
        <v>13430340</v>
      </c>
      <c r="J478" s="142">
        <v>0</v>
      </c>
      <c r="K478" s="142">
        <f t="shared" si="40"/>
        <v>0</v>
      </c>
      <c r="L478" s="142">
        <f t="shared" si="41"/>
        <v>13430340</v>
      </c>
    </row>
    <row r="479" spans="5:12" x14ac:dyDescent="0.35">
      <c r="E479" s="135">
        <v>466</v>
      </c>
      <c r="F479" s="135">
        <v>0</v>
      </c>
      <c r="G479" s="141">
        <f t="shared" si="37"/>
        <v>0</v>
      </c>
      <c r="H479" s="155">
        <f t="shared" si="38"/>
        <v>0</v>
      </c>
      <c r="I479" s="142">
        <f t="shared" si="39"/>
        <v>13430340</v>
      </c>
      <c r="J479" s="142">
        <v>0</v>
      </c>
      <c r="K479" s="142">
        <f t="shared" si="40"/>
        <v>0</v>
      </c>
      <c r="L479" s="142">
        <f t="shared" si="41"/>
        <v>13430340</v>
      </c>
    </row>
    <row r="480" spans="5:12" x14ac:dyDescent="0.35">
      <c r="E480" s="135">
        <v>467</v>
      </c>
      <c r="F480" s="135">
        <v>0</v>
      </c>
      <c r="G480" s="141">
        <f t="shared" si="37"/>
        <v>0</v>
      </c>
      <c r="H480" s="155">
        <f t="shared" si="38"/>
        <v>0</v>
      </c>
      <c r="I480" s="142">
        <f t="shared" si="39"/>
        <v>13430340</v>
      </c>
      <c r="J480" s="142">
        <v>0</v>
      </c>
      <c r="K480" s="142">
        <f t="shared" si="40"/>
        <v>0</v>
      </c>
      <c r="L480" s="142">
        <f t="shared" si="41"/>
        <v>13430340</v>
      </c>
    </row>
    <row r="481" spans="5:12" x14ac:dyDescent="0.35">
      <c r="E481" s="135">
        <v>468</v>
      </c>
      <c r="F481" s="135">
        <v>0</v>
      </c>
      <c r="G481" s="141">
        <f t="shared" si="37"/>
        <v>0</v>
      </c>
      <c r="H481" s="155">
        <f t="shared" si="38"/>
        <v>0</v>
      </c>
      <c r="I481" s="142">
        <f t="shared" si="39"/>
        <v>13430340</v>
      </c>
      <c r="J481" s="142">
        <v>0</v>
      </c>
      <c r="K481" s="142">
        <f t="shared" si="40"/>
        <v>0</v>
      </c>
      <c r="L481" s="142">
        <f t="shared" si="41"/>
        <v>13430340</v>
      </c>
    </row>
    <row r="482" spans="5:12" x14ac:dyDescent="0.35">
      <c r="E482" s="135">
        <v>469</v>
      </c>
      <c r="F482" s="135">
        <v>0</v>
      </c>
      <c r="G482" s="141">
        <f t="shared" si="37"/>
        <v>0</v>
      </c>
      <c r="H482" s="155">
        <f t="shared" si="38"/>
        <v>0</v>
      </c>
      <c r="I482" s="142">
        <f t="shared" si="39"/>
        <v>13430340</v>
      </c>
      <c r="J482" s="142">
        <v>0</v>
      </c>
      <c r="K482" s="142">
        <f t="shared" si="40"/>
        <v>0</v>
      </c>
      <c r="L482" s="142">
        <f t="shared" si="41"/>
        <v>13430340</v>
      </c>
    </row>
    <row r="483" spans="5:12" x14ac:dyDescent="0.35">
      <c r="E483" s="135">
        <v>470</v>
      </c>
      <c r="F483" s="135">
        <v>0</v>
      </c>
      <c r="G483" s="141">
        <f t="shared" si="37"/>
        <v>0</v>
      </c>
      <c r="H483" s="155">
        <f t="shared" si="38"/>
        <v>0</v>
      </c>
      <c r="I483" s="142">
        <f t="shared" si="39"/>
        <v>13430340</v>
      </c>
      <c r="J483" s="142">
        <v>0</v>
      </c>
      <c r="K483" s="142">
        <f t="shared" si="40"/>
        <v>0</v>
      </c>
      <c r="L483" s="142">
        <f t="shared" si="41"/>
        <v>13430340</v>
      </c>
    </row>
    <row r="484" spans="5:12" x14ac:dyDescent="0.35">
      <c r="E484" s="135">
        <v>471</v>
      </c>
      <c r="F484" s="135">
        <v>1</v>
      </c>
      <c r="G484" s="141">
        <f t="shared" si="37"/>
        <v>23.813582244547764</v>
      </c>
      <c r="H484" s="155">
        <f t="shared" si="38"/>
        <v>0</v>
      </c>
      <c r="I484" s="142">
        <f t="shared" si="39"/>
        <v>13430340</v>
      </c>
      <c r="J484" s="142">
        <v>0</v>
      </c>
      <c r="K484" s="142">
        <f t="shared" si="40"/>
        <v>136632.93323927111</v>
      </c>
      <c r="L484" s="142">
        <f t="shared" si="41"/>
        <v>13566972.933239272</v>
      </c>
    </row>
    <row r="485" spans="5:12" x14ac:dyDescent="0.35">
      <c r="E485" s="135">
        <v>472</v>
      </c>
      <c r="F485" s="135">
        <v>0</v>
      </c>
      <c r="G485" s="141">
        <f t="shared" si="37"/>
        <v>0</v>
      </c>
      <c r="H485" s="155">
        <f t="shared" si="38"/>
        <v>0</v>
      </c>
      <c r="I485" s="142">
        <f t="shared" si="39"/>
        <v>13430340</v>
      </c>
      <c r="J485" s="142">
        <v>0</v>
      </c>
      <c r="K485" s="142">
        <f t="shared" si="40"/>
        <v>0</v>
      </c>
      <c r="L485" s="142">
        <f t="shared" si="41"/>
        <v>13430340</v>
      </c>
    </row>
    <row r="486" spans="5:12" x14ac:dyDescent="0.35">
      <c r="E486" s="135">
        <v>473</v>
      </c>
      <c r="F486" s="135">
        <v>0</v>
      </c>
      <c r="G486" s="141">
        <f t="shared" si="37"/>
        <v>0</v>
      </c>
      <c r="H486" s="155">
        <f t="shared" si="38"/>
        <v>0</v>
      </c>
      <c r="I486" s="142">
        <f t="shared" si="39"/>
        <v>13430340</v>
      </c>
      <c r="J486" s="142">
        <v>0</v>
      </c>
      <c r="K486" s="142">
        <f t="shared" si="40"/>
        <v>0</v>
      </c>
      <c r="L486" s="142">
        <f t="shared" si="41"/>
        <v>13430340</v>
      </c>
    </row>
    <row r="487" spans="5:12" x14ac:dyDescent="0.35">
      <c r="E487" s="135">
        <v>474</v>
      </c>
      <c r="F487" s="135">
        <v>0</v>
      </c>
      <c r="G487" s="141">
        <f t="shared" si="37"/>
        <v>0</v>
      </c>
      <c r="H487" s="155">
        <f t="shared" si="38"/>
        <v>0</v>
      </c>
      <c r="I487" s="142">
        <f t="shared" si="39"/>
        <v>13430340</v>
      </c>
      <c r="J487" s="142">
        <v>0</v>
      </c>
      <c r="K487" s="142">
        <f t="shared" si="40"/>
        <v>0</v>
      </c>
      <c r="L487" s="142">
        <f t="shared" si="41"/>
        <v>13430340</v>
      </c>
    </row>
    <row r="488" spans="5:12" x14ac:dyDescent="0.35">
      <c r="E488" s="135">
        <v>475</v>
      </c>
      <c r="F488" s="135">
        <v>0</v>
      </c>
      <c r="G488" s="141">
        <f t="shared" si="37"/>
        <v>0</v>
      </c>
      <c r="H488" s="155">
        <f t="shared" si="38"/>
        <v>0</v>
      </c>
      <c r="I488" s="142">
        <f t="shared" si="39"/>
        <v>13430340</v>
      </c>
      <c r="J488" s="142">
        <v>0</v>
      </c>
      <c r="K488" s="142">
        <f t="shared" si="40"/>
        <v>0</v>
      </c>
      <c r="L488" s="142">
        <f t="shared" si="41"/>
        <v>13430340</v>
      </c>
    </row>
    <row r="489" spans="5:12" x14ac:dyDescent="0.35">
      <c r="E489" s="135">
        <v>476</v>
      </c>
      <c r="F489" s="135">
        <v>1</v>
      </c>
      <c r="G489" s="141">
        <f t="shared" si="37"/>
        <v>23.813582244547764</v>
      </c>
      <c r="H489" s="155">
        <f t="shared" si="38"/>
        <v>0</v>
      </c>
      <c r="I489" s="142">
        <f t="shared" si="39"/>
        <v>13430340</v>
      </c>
      <c r="J489" s="142">
        <v>0</v>
      </c>
      <c r="K489" s="142">
        <f t="shared" si="40"/>
        <v>136632.93323927111</v>
      </c>
      <c r="L489" s="142">
        <f t="shared" si="41"/>
        <v>13566972.933239272</v>
      </c>
    </row>
    <row r="490" spans="5:12" x14ac:dyDescent="0.35">
      <c r="E490" s="135">
        <v>477</v>
      </c>
      <c r="F490" s="135">
        <v>0</v>
      </c>
      <c r="G490" s="141">
        <f t="shared" si="37"/>
        <v>0</v>
      </c>
      <c r="H490" s="155">
        <f t="shared" si="38"/>
        <v>0</v>
      </c>
      <c r="I490" s="142">
        <f t="shared" si="39"/>
        <v>13430340</v>
      </c>
      <c r="J490" s="142">
        <v>0</v>
      </c>
      <c r="K490" s="142">
        <f t="shared" si="40"/>
        <v>0</v>
      </c>
      <c r="L490" s="142">
        <f t="shared" si="41"/>
        <v>13430340</v>
      </c>
    </row>
    <row r="491" spans="5:12" x14ac:dyDescent="0.35">
      <c r="E491" s="135">
        <v>478</v>
      </c>
      <c r="F491" s="135">
        <v>0</v>
      </c>
      <c r="G491" s="141">
        <f t="shared" si="37"/>
        <v>0</v>
      </c>
      <c r="H491" s="155">
        <f t="shared" si="38"/>
        <v>0</v>
      </c>
      <c r="I491" s="142">
        <f t="shared" si="39"/>
        <v>13430340</v>
      </c>
      <c r="J491" s="142">
        <v>0</v>
      </c>
      <c r="K491" s="142">
        <f t="shared" si="40"/>
        <v>0</v>
      </c>
      <c r="L491" s="142">
        <f t="shared" si="41"/>
        <v>13430340</v>
      </c>
    </row>
    <row r="492" spans="5:12" x14ac:dyDescent="0.35">
      <c r="E492" s="135">
        <v>479</v>
      </c>
      <c r="F492" s="135">
        <v>0</v>
      </c>
      <c r="G492" s="141">
        <f t="shared" si="37"/>
        <v>0</v>
      </c>
      <c r="H492" s="155">
        <f t="shared" si="38"/>
        <v>0</v>
      </c>
      <c r="I492" s="142">
        <f t="shared" si="39"/>
        <v>13430340</v>
      </c>
      <c r="J492" s="142">
        <v>0</v>
      </c>
      <c r="K492" s="142">
        <f t="shared" si="40"/>
        <v>0</v>
      </c>
      <c r="L492" s="142">
        <f t="shared" si="41"/>
        <v>13430340</v>
      </c>
    </row>
    <row r="493" spans="5:12" x14ac:dyDescent="0.35">
      <c r="E493" s="135">
        <v>480</v>
      </c>
      <c r="F493" s="135">
        <v>1</v>
      </c>
      <c r="G493" s="141">
        <f t="shared" si="37"/>
        <v>23.813582244547764</v>
      </c>
      <c r="H493" s="155">
        <f t="shared" si="38"/>
        <v>0</v>
      </c>
      <c r="I493" s="142">
        <f t="shared" si="39"/>
        <v>13430340</v>
      </c>
      <c r="J493" s="142">
        <v>0</v>
      </c>
      <c r="K493" s="142">
        <f t="shared" si="40"/>
        <v>136632.93323927111</v>
      </c>
      <c r="L493" s="142">
        <f t="shared" si="41"/>
        <v>13566972.933239272</v>
      </c>
    </row>
    <row r="494" spans="5:12" x14ac:dyDescent="0.35">
      <c r="E494" s="135">
        <v>481</v>
      </c>
      <c r="F494" s="135">
        <v>1</v>
      </c>
      <c r="G494" s="141">
        <f t="shared" si="37"/>
        <v>23.813582244547764</v>
      </c>
      <c r="H494" s="155">
        <f t="shared" si="38"/>
        <v>0</v>
      </c>
      <c r="I494" s="142">
        <f t="shared" si="39"/>
        <v>13430340</v>
      </c>
      <c r="J494" s="142">
        <v>0</v>
      </c>
      <c r="K494" s="142">
        <f t="shared" si="40"/>
        <v>136632.93323927111</v>
      </c>
      <c r="L494" s="142">
        <f t="shared" si="41"/>
        <v>13566972.933239272</v>
      </c>
    </row>
    <row r="495" spans="5:12" x14ac:dyDescent="0.35">
      <c r="E495" s="135">
        <v>482</v>
      </c>
      <c r="F495" s="135">
        <v>0</v>
      </c>
      <c r="G495" s="141">
        <f t="shared" si="37"/>
        <v>0</v>
      </c>
      <c r="H495" s="155">
        <f t="shared" si="38"/>
        <v>0</v>
      </c>
      <c r="I495" s="142">
        <f t="shared" si="39"/>
        <v>13430340</v>
      </c>
      <c r="J495" s="142">
        <v>0</v>
      </c>
      <c r="K495" s="142">
        <f t="shared" si="40"/>
        <v>0</v>
      </c>
      <c r="L495" s="142">
        <f t="shared" si="41"/>
        <v>13430340</v>
      </c>
    </row>
    <row r="496" spans="5:12" x14ac:dyDescent="0.35">
      <c r="E496" s="135">
        <v>483</v>
      </c>
      <c r="F496" s="135">
        <v>0</v>
      </c>
      <c r="G496" s="141">
        <f t="shared" si="37"/>
        <v>0</v>
      </c>
      <c r="H496" s="155">
        <f t="shared" si="38"/>
        <v>0</v>
      </c>
      <c r="I496" s="142">
        <f t="shared" si="39"/>
        <v>13430340</v>
      </c>
      <c r="J496" s="142">
        <v>0</v>
      </c>
      <c r="K496" s="142">
        <f t="shared" si="40"/>
        <v>0</v>
      </c>
      <c r="L496" s="142">
        <f t="shared" si="41"/>
        <v>13430340</v>
      </c>
    </row>
    <row r="497" spans="5:12" x14ac:dyDescent="0.35">
      <c r="E497" s="135">
        <v>484</v>
      </c>
      <c r="F497" s="135">
        <v>0</v>
      </c>
      <c r="G497" s="141">
        <f t="shared" si="37"/>
        <v>0</v>
      </c>
      <c r="H497" s="155">
        <f t="shared" si="38"/>
        <v>0</v>
      </c>
      <c r="I497" s="142">
        <f t="shared" si="39"/>
        <v>13430340</v>
      </c>
      <c r="J497" s="142">
        <v>0</v>
      </c>
      <c r="K497" s="142">
        <f t="shared" si="40"/>
        <v>0</v>
      </c>
      <c r="L497" s="142">
        <f t="shared" si="41"/>
        <v>13430340</v>
      </c>
    </row>
    <row r="498" spans="5:12" x14ac:dyDescent="0.35">
      <c r="E498" s="135">
        <v>485</v>
      </c>
      <c r="F498" s="135">
        <v>0</v>
      </c>
      <c r="G498" s="141">
        <f t="shared" si="37"/>
        <v>0</v>
      </c>
      <c r="H498" s="155">
        <f t="shared" si="38"/>
        <v>0</v>
      </c>
      <c r="I498" s="142">
        <f t="shared" si="39"/>
        <v>13430340</v>
      </c>
      <c r="J498" s="142">
        <v>0</v>
      </c>
      <c r="K498" s="142">
        <f t="shared" si="40"/>
        <v>0</v>
      </c>
      <c r="L498" s="142">
        <f t="shared" si="41"/>
        <v>13430340</v>
      </c>
    </row>
    <row r="499" spans="5:12" x14ac:dyDescent="0.35">
      <c r="E499" s="135">
        <v>486</v>
      </c>
      <c r="F499" s="135">
        <v>0</v>
      </c>
      <c r="G499" s="141">
        <f t="shared" si="37"/>
        <v>0</v>
      </c>
      <c r="H499" s="155">
        <f t="shared" si="38"/>
        <v>0</v>
      </c>
      <c r="I499" s="142">
        <f t="shared" si="39"/>
        <v>13430340</v>
      </c>
      <c r="J499" s="142">
        <v>0</v>
      </c>
      <c r="K499" s="142">
        <f t="shared" si="40"/>
        <v>0</v>
      </c>
      <c r="L499" s="142">
        <f t="shared" si="41"/>
        <v>13430340</v>
      </c>
    </row>
    <row r="500" spans="5:12" x14ac:dyDescent="0.35">
      <c r="E500" s="135">
        <v>487</v>
      </c>
      <c r="F500" s="135">
        <v>0</v>
      </c>
      <c r="G500" s="141">
        <f t="shared" si="37"/>
        <v>0</v>
      </c>
      <c r="H500" s="155">
        <f t="shared" si="38"/>
        <v>0</v>
      </c>
      <c r="I500" s="142">
        <f t="shared" si="39"/>
        <v>13430340</v>
      </c>
      <c r="J500" s="142">
        <v>0</v>
      </c>
      <c r="K500" s="142">
        <f t="shared" si="40"/>
        <v>0</v>
      </c>
      <c r="L500" s="142">
        <f t="shared" si="41"/>
        <v>13430340</v>
      </c>
    </row>
    <row r="501" spans="5:12" x14ac:dyDescent="0.35">
      <c r="E501" s="135">
        <v>488</v>
      </c>
      <c r="F501" s="135">
        <v>0</v>
      </c>
      <c r="G501" s="141">
        <f t="shared" si="37"/>
        <v>0</v>
      </c>
      <c r="H501" s="155">
        <f t="shared" si="38"/>
        <v>0</v>
      </c>
      <c r="I501" s="142">
        <f t="shared" si="39"/>
        <v>13430340</v>
      </c>
      <c r="J501" s="142">
        <v>0</v>
      </c>
      <c r="K501" s="142">
        <f t="shared" si="40"/>
        <v>0</v>
      </c>
      <c r="L501" s="142">
        <f t="shared" si="41"/>
        <v>13430340</v>
      </c>
    </row>
    <row r="502" spans="5:12" x14ac:dyDescent="0.35">
      <c r="E502" s="135">
        <v>489</v>
      </c>
      <c r="F502" s="135">
        <v>0</v>
      </c>
      <c r="G502" s="141">
        <f t="shared" si="37"/>
        <v>0</v>
      </c>
      <c r="H502" s="155">
        <f t="shared" si="38"/>
        <v>0</v>
      </c>
      <c r="I502" s="142">
        <f t="shared" si="39"/>
        <v>13430340</v>
      </c>
      <c r="J502" s="142">
        <v>0</v>
      </c>
      <c r="K502" s="142">
        <f t="shared" si="40"/>
        <v>0</v>
      </c>
      <c r="L502" s="142">
        <f t="shared" si="41"/>
        <v>13430340</v>
      </c>
    </row>
    <row r="503" spans="5:12" x14ac:dyDescent="0.35">
      <c r="E503" s="135">
        <v>490</v>
      </c>
      <c r="F503" s="135">
        <v>0</v>
      </c>
      <c r="G503" s="141">
        <f t="shared" si="37"/>
        <v>0</v>
      </c>
      <c r="H503" s="155">
        <f t="shared" si="38"/>
        <v>0</v>
      </c>
      <c r="I503" s="142">
        <f t="shared" si="39"/>
        <v>13430340</v>
      </c>
      <c r="J503" s="142">
        <v>0</v>
      </c>
      <c r="K503" s="142">
        <f t="shared" si="40"/>
        <v>0</v>
      </c>
      <c r="L503" s="142">
        <f t="shared" si="41"/>
        <v>13430340</v>
      </c>
    </row>
    <row r="504" spans="5:12" x14ac:dyDescent="0.35">
      <c r="E504" s="135">
        <v>491</v>
      </c>
      <c r="F504" s="135">
        <v>0</v>
      </c>
      <c r="G504" s="141">
        <f t="shared" si="37"/>
        <v>0</v>
      </c>
      <c r="H504" s="155">
        <f t="shared" si="38"/>
        <v>0</v>
      </c>
      <c r="I504" s="142">
        <f t="shared" si="39"/>
        <v>13430340</v>
      </c>
      <c r="J504" s="142">
        <v>0</v>
      </c>
      <c r="K504" s="142">
        <f t="shared" si="40"/>
        <v>0</v>
      </c>
      <c r="L504" s="142">
        <f t="shared" si="41"/>
        <v>13430340</v>
      </c>
    </row>
    <row r="505" spans="5:12" x14ac:dyDescent="0.35">
      <c r="E505" s="135">
        <v>492</v>
      </c>
      <c r="F505" s="135">
        <v>0</v>
      </c>
      <c r="G505" s="141">
        <f t="shared" si="37"/>
        <v>0</v>
      </c>
      <c r="H505" s="155">
        <f t="shared" si="38"/>
        <v>0</v>
      </c>
      <c r="I505" s="142">
        <f t="shared" si="39"/>
        <v>13430340</v>
      </c>
      <c r="J505" s="142">
        <v>0</v>
      </c>
      <c r="K505" s="142">
        <f t="shared" si="40"/>
        <v>0</v>
      </c>
      <c r="L505" s="142">
        <f t="shared" si="41"/>
        <v>13430340</v>
      </c>
    </row>
    <row r="506" spans="5:12" x14ac:dyDescent="0.35">
      <c r="E506" s="135">
        <v>493</v>
      </c>
      <c r="F506" s="135">
        <v>0</v>
      </c>
      <c r="G506" s="141">
        <f t="shared" si="37"/>
        <v>0</v>
      </c>
      <c r="H506" s="155">
        <f t="shared" si="38"/>
        <v>0</v>
      </c>
      <c r="I506" s="142">
        <f t="shared" si="39"/>
        <v>13430340</v>
      </c>
      <c r="J506" s="142">
        <v>0</v>
      </c>
      <c r="K506" s="142">
        <f t="shared" si="40"/>
        <v>0</v>
      </c>
      <c r="L506" s="142">
        <f t="shared" si="41"/>
        <v>13430340</v>
      </c>
    </row>
    <row r="507" spans="5:12" x14ac:dyDescent="0.35">
      <c r="E507" s="135">
        <v>494</v>
      </c>
      <c r="F507" s="135">
        <v>0</v>
      </c>
      <c r="G507" s="141">
        <f t="shared" si="37"/>
        <v>0</v>
      </c>
      <c r="H507" s="155">
        <f t="shared" si="38"/>
        <v>0</v>
      </c>
      <c r="I507" s="142">
        <f t="shared" si="39"/>
        <v>13430340</v>
      </c>
      <c r="J507" s="142">
        <v>0</v>
      </c>
      <c r="K507" s="142">
        <f t="shared" si="40"/>
        <v>0</v>
      </c>
      <c r="L507" s="142">
        <f t="shared" si="41"/>
        <v>13430340</v>
      </c>
    </row>
    <row r="508" spans="5:12" x14ac:dyDescent="0.35">
      <c r="E508" s="135">
        <v>495</v>
      </c>
      <c r="F508" s="135">
        <v>0</v>
      </c>
      <c r="G508" s="141">
        <f t="shared" si="37"/>
        <v>0</v>
      </c>
      <c r="H508" s="155">
        <f t="shared" si="38"/>
        <v>0</v>
      </c>
      <c r="I508" s="142">
        <f t="shared" si="39"/>
        <v>13430340</v>
      </c>
      <c r="J508" s="142">
        <v>0</v>
      </c>
      <c r="K508" s="142">
        <f t="shared" si="40"/>
        <v>0</v>
      </c>
      <c r="L508" s="142">
        <f t="shared" si="41"/>
        <v>13430340</v>
      </c>
    </row>
    <row r="509" spans="5:12" x14ac:dyDescent="0.35">
      <c r="E509" s="135">
        <v>496</v>
      </c>
      <c r="F509" s="135">
        <v>0</v>
      </c>
      <c r="G509" s="141">
        <f t="shared" si="37"/>
        <v>0</v>
      </c>
      <c r="H509" s="155">
        <f t="shared" si="38"/>
        <v>0</v>
      </c>
      <c r="I509" s="142">
        <f t="shared" si="39"/>
        <v>13430340</v>
      </c>
      <c r="J509" s="142">
        <v>0</v>
      </c>
      <c r="K509" s="142">
        <f t="shared" si="40"/>
        <v>0</v>
      </c>
      <c r="L509" s="142">
        <f t="shared" si="41"/>
        <v>13430340</v>
      </c>
    </row>
    <row r="510" spans="5:12" x14ac:dyDescent="0.35">
      <c r="E510" s="135">
        <v>497</v>
      </c>
      <c r="F510" s="135">
        <v>0</v>
      </c>
      <c r="G510" s="141">
        <f t="shared" si="37"/>
        <v>0</v>
      </c>
      <c r="H510" s="155">
        <f t="shared" si="38"/>
        <v>0</v>
      </c>
      <c r="I510" s="142">
        <f t="shared" si="39"/>
        <v>13430340</v>
      </c>
      <c r="J510" s="142">
        <v>0</v>
      </c>
      <c r="K510" s="142">
        <f t="shared" si="40"/>
        <v>0</v>
      </c>
      <c r="L510" s="142">
        <f t="shared" si="41"/>
        <v>13430340</v>
      </c>
    </row>
    <row r="511" spans="5:12" x14ac:dyDescent="0.35">
      <c r="E511" s="135">
        <v>498</v>
      </c>
      <c r="F511" s="135">
        <v>0</v>
      </c>
      <c r="G511" s="141">
        <f t="shared" si="37"/>
        <v>0</v>
      </c>
      <c r="H511" s="155">
        <f t="shared" si="38"/>
        <v>0</v>
      </c>
      <c r="I511" s="142">
        <f t="shared" si="39"/>
        <v>13430340</v>
      </c>
      <c r="J511" s="142">
        <v>0</v>
      </c>
      <c r="K511" s="142">
        <f t="shared" si="40"/>
        <v>0</v>
      </c>
      <c r="L511" s="142">
        <f t="shared" si="41"/>
        <v>13430340</v>
      </c>
    </row>
    <row r="512" spans="5:12" x14ac:dyDescent="0.35">
      <c r="E512" s="135">
        <v>499</v>
      </c>
      <c r="F512" s="135">
        <v>1</v>
      </c>
      <c r="G512" s="141">
        <f t="shared" si="37"/>
        <v>23.813582244547764</v>
      </c>
      <c r="H512" s="155">
        <f t="shared" si="38"/>
        <v>0</v>
      </c>
      <c r="I512" s="142">
        <f t="shared" si="39"/>
        <v>13430340</v>
      </c>
      <c r="J512" s="142">
        <v>0</v>
      </c>
      <c r="K512" s="142">
        <f t="shared" si="40"/>
        <v>136632.93323927111</v>
      </c>
      <c r="L512" s="142">
        <f t="shared" si="41"/>
        <v>13566972.933239272</v>
      </c>
    </row>
    <row r="513" spans="5:12" x14ac:dyDescent="0.35">
      <c r="E513" s="135">
        <v>500</v>
      </c>
      <c r="F513" s="135">
        <v>0</v>
      </c>
      <c r="G513" s="141">
        <f t="shared" si="37"/>
        <v>0</v>
      </c>
      <c r="H513" s="155">
        <f t="shared" si="38"/>
        <v>0</v>
      </c>
      <c r="I513" s="142">
        <f t="shared" si="39"/>
        <v>13430340</v>
      </c>
      <c r="J513" s="142">
        <v>0</v>
      </c>
      <c r="K513" s="142">
        <f t="shared" si="40"/>
        <v>0</v>
      </c>
      <c r="L513" s="142">
        <f t="shared" si="41"/>
        <v>13430340</v>
      </c>
    </row>
    <row r="514" spans="5:12" x14ac:dyDescent="0.35">
      <c r="E514" s="135">
        <v>501</v>
      </c>
      <c r="F514" s="135">
        <v>0</v>
      </c>
      <c r="G514" s="141">
        <f t="shared" si="37"/>
        <v>0</v>
      </c>
      <c r="H514" s="155">
        <f t="shared" si="38"/>
        <v>0</v>
      </c>
      <c r="I514" s="142">
        <f t="shared" si="39"/>
        <v>13430340</v>
      </c>
      <c r="J514" s="142">
        <v>0</v>
      </c>
      <c r="K514" s="142">
        <f t="shared" si="40"/>
        <v>0</v>
      </c>
      <c r="L514" s="142">
        <f t="shared" si="41"/>
        <v>13430340</v>
      </c>
    </row>
    <row r="515" spans="5:12" x14ac:dyDescent="0.35">
      <c r="E515" s="135">
        <v>502</v>
      </c>
      <c r="F515" s="135">
        <v>0</v>
      </c>
      <c r="G515" s="141">
        <f t="shared" si="37"/>
        <v>0</v>
      </c>
      <c r="H515" s="155">
        <f t="shared" si="38"/>
        <v>0</v>
      </c>
      <c r="I515" s="142">
        <f t="shared" si="39"/>
        <v>13430340</v>
      </c>
      <c r="J515" s="142">
        <v>0</v>
      </c>
      <c r="K515" s="142">
        <f t="shared" si="40"/>
        <v>0</v>
      </c>
      <c r="L515" s="142">
        <f t="shared" si="41"/>
        <v>13430340</v>
      </c>
    </row>
    <row r="516" spans="5:12" x14ac:dyDescent="0.35">
      <c r="E516" s="135">
        <v>503</v>
      </c>
      <c r="F516" s="135">
        <v>0</v>
      </c>
      <c r="G516" s="141">
        <f t="shared" si="37"/>
        <v>0</v>
      </c>
      <c r="H516" s="155">
        <f t="shared" si="38"/>
        <v>0</v>
      </c>
      <c r="I516" s="142">
        <f t="shared" si="39"/>
        <v>13430340</v>
      </c>
      <c r="J516" s="142">
        <v>0</v>
      </c>
      <c r="K516" s="142">
        <f t="shared" si="40"/>
        <v>0</v>
      </c>
      <c r="L516" s="142">
        <f t="shared" si="41"/>
        <v>13430340</v>
      </c>
    </row>
    <row r="517" spans="5:12" x14ac:dyDescent="0.35">
      <c r="E517" s="135">
        <v>504</v>
      </c>
      <c r="F517" s="135">
        <v>0</v>
      </c>
      <c r="G517" s="141">
        <f t="shared" si="37"/>
        <v>0</v>
      </c>
      <c r="H517" s="155">
        <f t="shared" si="38"/>
        <v>0</v>
      </c>
      <c r="I517" s="142">
        <f t="shared" si="39"/>
        <v>13430340</v>
      </c>
      <c r="J517" s="142">
        <v>0</v>
      </c>
      <c r="K517" s="142">
        <f t="shared" si="40"/>
        <v>0</v>
      </c>
      <c r="L517" s="142">
        <f t="shared" si="41"/>
        <v>13430340</v>
      </c>
    </row>
    <row r="518" spans="5:12" x14ac:dyDescent="0.35">
      <c r="E518" s="135">
        <v>505</v>
      </c>
      <c r="F518" s="135">
        <v>0</v>
      </c>
      <c r="G518" s="141">
        <f t="shared" si="37"/>
        <v>0</v>
      </c>
      <c r="H518" s="155">
        <f t="shared" si="38"/>
        <v>0</v>
      </c>
      <c r="I518" s="142">
        <f t="shared" si="39"/>
        <v>13430340</v>
      </c>
      <c r="J518" s="142">
        <v>0</v>
      </c>
      <c r="K518" s="142">
        <f t="shared" si="40"/>
        <v>0</v>
      </c>
      <c r="L518" s="142">
        <f t="shared" si="41"/>
        <v>13430340</v>
      </c>
    </row>
    <row r="519" spans="5:12" x14ac:dyDescent="0.35">
      <c r="E519" s="135">
        <v>506</v>
      </c>
      <c r="F519" s="135">
        <v>0</v>
      </c>
      <c r="G519" s="141">
        <f t="shared" si="37"/>
        <v>0</v>
      </c>
      <c r="H519" s="155">
        <f t="shared" si="38"/>
        <v>0</v>
      </c>
      <c r="I519" s="142">
        <f t="shared" si="39"/>
        <v>13430340</v>
      </c>
      <c r="J519" s="142">
        <v>0</v>
      </c>
      <c r="K519" s="142">
        <f t="shared" si="40"/>
        <v>0</v>
      </c>
      <c r="L519" s="142">
        <f t="shared" si="41"/>
        <v>13430340</v>
      </c>
    </row>
    <row r="520" spans="5:12" x14ac:dyDescent="0.35">
      <c r="E520" s="135">
        <v>507</v>
      </c>
      <c r="F520" s="135">
        <v>0</v>
      </c>
      <c r="G520" s="141">
        <f t="shared" si="37"/>
        <v>0</v>
      </c>
      <c r="H520" s="155">
        <f t="shared" si="38"/>
        <v>0</v>
      </c>
      <c r="I520" s="142">
        <f t="shared" si="39"/>
        <v>13430340</v>
      </c>
      <c r="J520" s="142">
        <v>0</v>
      </c>
      <c r="K520" s="142">
        <f t="shared" si="40"/>
        <v>0</v>
      </c>
      <c r="L520" s="142">
        <f t="shared" si="41"/>
        <v>13430340</v>
      </c>
    </row>
    <row r="521" spans="5:12" x14ac:dyDescent="0.35">
      <c r="E521" s="135">
        <v>508</v>
      </c>
      <c r="F521" s="135">
        <v>0</v>
      </c>
      <c r="G521" s="141">
        <f t="shared" si="37"/>
        <v>0</v>
      </c>
      <c r="H521" s="155">
        <f t="shared" si="38"/>
        <v>0</v>
      </c>
      <c r="I521" s="142">
        <f t="shared" si="39"/>
        <v>13430340</v>
      </c>
      <c r="J521" s="142">
        <v>0</v>
      </c>
      <c r="K521" s="142">
        <f t="shared" si="40"/>
        <v>0</v>
      </c>
      <c r="L521" s="142">
        <f t="shared" si="41"/>
        <v>13430340</v>
      </c>
    </row>
    <row r="522" spans="5:12" x14ac:dyDescent="0.35">
      <c r="E522" s="135">
        <v>509</v>
      </c>
      <c r="F522" s="135">
        <v>0</v>
      </c>
      <c r="G522" s="141">
        <f t="shared" si="37"/>
        <v>0</v>
      </c>
      <c r="H522" s="155">
        <f t="shared" si="38"/>
        <v>0</v>
      </c>
      <c r="I522" s="142">
        <f t="shared" si="39"/>
        <v>13430340</v>
      </c>
      <c r="J522" s="142">
        <v>0</v>
      </c>
      <c r="K522" s="142">
        <f t="shared" si="40"/>
        <v>0</v>
      </c>
      <c r="L522" s="142">
        <f t="shared" si="41"/>
        <v>13430340</v>
      </c>
    </row>
    <row r="523" spans="5:12" x14ac:dyDescent="0.35">
      <c r="E523" s="135">
        <v>510</v>
      </c>
      <c r="F523" s="135">
        <v>0</v>
      </c>
      <c r="G523" s="141">
        <f t="shared" si="37"/>
        <v>0</v>
      </c>
      <c r="H523" s="155">
        <f t="shared" si="38"/>
        <v>0</v>
      </c>
      <c r="I523" s="142">
        <f t="shared" si="39"/>
        <v>13430340</v>
      </c>
      <c r="J523" s="142">
        <v>0</v>
      </c>
      <c r="K523" s="142">
        <f t="shared" si="40"/>
        <v>0</v>
      </c>
      <c r="L523" s="142">
        <f t="shared" si="41"/>
        <v>13430340</v>
      </c>
    </row>
    <row r="524" spans="5:12" x14ac:dyDescent="0.35">
      <c r="E524" s="135">
        <v>511</v>
      </c>
      <c r="F524" s="135">
        <v>0</v>
      </c>
      <c r="G524" s="141">
        <f t="shared" si="37"/>
        <v>0</v>
      </c>
      <c r="H524" s="155">
        <f t="shared" si="38"/>
        <v>0</v>
      </c>
      <c r="I524" s="142">
        <f t="shared" si="39"/>
        <v>13430340</v>
      </c>
      <c r="J524" s="142">
        <v>0</v>
      </c>
      <c r="K524" s="142">
        <f t="shared" si="40"/>
        <v>0</v>
      </c>
      <c r="L524" s="142">
        <f t="shared" si="41"/>
        <v>13430340</v>
      </c>
    </row>
    <row r="525" spans="5:12" x14ac:dyDescent="0.35">
      <c r="E525" s="135">
        <v>512</v>
      </c>
      <c r="F525" s="135">
        <v>0</v>
      </c>
      <c r="G525" s="141">
        <f t="shared" si="37"/>
        <v>0</v>
      </c>
      <c r="H525" s="155">
        <f t="shared" si="38"/>
        <v>0</v>
      </c>
      <c r="I525" s="142">
        <f t="shared" si="39"/>
        <v>13430340</v>
      </c>
      <c r="J525" s="142">
        <v>0</v>
      </c>
      <c r="K525" s="142">
        <f t="shared" si="40"/>
        <v>0</v>
      </c>
      <c r="L525" s="142">
        <f t="shared" si="41"/>
        <v>13430340</v>
      </c>
    </row>
    <row r="526" spans="5:12" x14ac:dyDescent="0.35">
      <c r="E526" s="135">
        <v>513</v>
      </c>
      <c r="F526" s="135">
        <v>0</v>
      </c>
      <c r="G526" s="141">
        <f t="shared" ref="G526:G589" si="42">F526*$C$10</f>
        <v>0</v>
      </c>
      <c r="H526" s="155">
        <f t="shared" ref="H526:H589" si="43">IF(F526 &gt; 1,$C$14*20000,0)</f>
        <v>0</v>
      </c>
      <c r="I526" s="142">
        <f t="shared" ref="I526:I589" si="44">IF(F526 &gt; 1,$C$5+$G$2,$G$2)</f>
        <v>13430340</v>
      </c>
      <c r="J526" s="142">
        <v>0</v>
      </c>
      <c r="K526" s="142">
        <f t="shared" ref="K526:K589" si="45">F526*$C$6</f>
        <v>0</v>
      </c>
      <c r="L526" s="142">
        <f t="shared" ref="L526:L589" si="46">J526+I526+K526</f>
        <v>13430340</v>
      </c>
    </row>
    <row r="527" spans="5:12" x14ac:dyDescent="0.35">
      <c r="E527" s="135">
        <v>514</v>
      </c>
      <c r="F527" s="135">
        <v>0</v>
      </c>
      <c r="G527" s="141">
        <f t="shared" si="42"/>
        <v>0</v>
      </c>
      <c r="H527" s="155">
        <f t="shared" si="43"/>
        <v>0</v>
      </c>
      <c r="I527" s="142">
        <f t="shared" si="44"/>
        <v>13430340</v>
      </c>
      <c r="J527" s="142">
        <v>0</v>
      </c>
      <c r="K527" s="142">
        <f t="shared" si="45"/>
        <v>0</v>
      </c>
      <c r="L527" s="142">
        <f t="shared" si="46"/>
        <v>13430340</v>
      </c>
    </row>
    <row r="528" spans="5:12" x14ac:dyDescent="0.35">
      <c r="E528" s="135">
        <v>515</v>
      </c>
      <c r="F528" s="135">
        <v>0</v>
      </c>
      <c r="G528" s="141">
        <f t="shared" si="42"/>
        <v>0</v>
      </c>
      <c r="H528" s="155">
        <f t="shared" si="43"/>
        <v>0</v>
      </c>
      <c r="I528" s="142">
        <f t="shared" si="44"/>
        <v>13430340</v>
      </c>
      <c r="J528" s="142">
        <v>0</v>
      </c>
      <c r="K528" s="142">
        <f t="shared" si="45"/>
        <v>0</v>
      </c>
      <c r="L528" s="142">
        <f t="shared" si="46"/>
        <v>13430340</v>
      </c>
    </row>
    <row r="529" spans="5:12" x14ac:dyDescent="0.35">
      <c r="E529" s="135">
        <v>516</v>
      </c>
      <c r="F529" s="135">
        <v>0</v>
      </c>
      <c r="G529" s="141">
        <f t="shared" si="42"/>
        <v>0</v>
      </c>
      <c r="H529" s="155">
        <f t="shared" si="43"/>
        <v>0</v>
      </c>
      <c r="I529" s="142">
        <f t="shared" si="44"/>
        <v>13430340</v>
      </c>
      <c r="J529" s="142">
        <v>0</v>
      </c>
      <c r="K529" s="142">
        <f t="shared" si="45"/>
        <v>0</v>
      </c>
      <c r="L529" s="142">
        <f t="shared" si="46"/>
        <v>13430340</v>
      </c>
    </row>
    <row r="530" spans="5:12" x14ac:dyDescent="0.35">
      <c r="E530" s="135">
        <v>517</v>
      </c>
      <c r="F530" s="135">
        <v>0</v>
      </c>
      <c r="G530" s="141">
        <f t="shared" si="42"/>
        <v>0</v>
      </c>
      <c r="H530" s="155">
        <f t="shared" si="43"/>
        <v>0</v>
      </c>
      <c r="I530" s="142">
        <f t="shared" si="44"/>
        <v>13430340</v>
      </c>
      <c r="J530" s="142">
        <v>0</v>
      </c>
      <c r="K530" s="142">
        <f t="shared" si="45"/>
        <v>0</v>
      </c>
      <c r="L530" s="142">
        <f t="shared" si="46"/>
        <v>13430340</v>
      </c>
    </row>
    <row r="531" spans="5:12" x14ac:dyDescent="0.35">
      <c r="E531" s="135">
        <v>518</v>
      </c>
      <c r="F531" s="135">
        <v>0</v>
      </c>
      <c r="G531" s="141">
        <f t="shared" si="42"/>
        <v>0</v>
      </c>
      <c r="H531" s="155">
        <f t="shared" si="43"/>
        <v>0</v>
      </c>
      <c r="I531" s="142">
        <f t="shared" si="44"/>
        <v>13430340</v>
      </c>
      <c r="J531" s="142">
        <v>0</v>
      </c>
      <c r="K531" s="142">
        <f t="shared" si="45"/>
        <v>0</v>
      </c>
      <c r="L531" s="142">
        <f t="shared" si="46"/>
        <v>13430340</v>
      </c>
    </row>
    <row r="532" spans="5:12" x14ac:dyDescent="0.35">
      <c r="E532" s="135">
        <v>519</v>
      </c>
      <c r="F532" s="135">
        <v>0</v>
      </c>
      <c r="G532" s="141">
        <f t="shared" si="42"/>
        <v>0</v>
      </c>
      <c r="H532" s="155">
        <f t="shared" si="43"/>
        <v>0</v>
      </c>
      <c r="I532" s="142">
        <f t="shared" si="44"/>
        <v>13430340</v>
      </c>
      <c r="J532" s="142">
        <v>0</v>
      </c>
      <c r="K532" s="142">
        <f t="shared" si="45"/>
        <v>0</v>
      </c>
      <c r="L532" s="142">
        <f t="shared" si="46"/>
        <v>13430340</v>
      </c>
    </row>
    <row r="533" spans="5:12" x14ac:dyDescent="0.35">
      <c r="E533" s="135">
        <v>520</v>
      </c>
      <c r="F533" s="135">
        <v>0</v>
      </c>
      <c r="G533" s="141">
        <f t="shared" si="42"/>
        <v>0</v>
      </c>
      <c r="H533" s="155">
        <f t="shared" si="43"/>
        <v>0</v>
      </c>
      <c r="I533" s="142">
        <f t="shared" si="44"/>
        <v>13430340</v>
      </c>
      <c r="J533" s="142">
        <v>0</v>
      </c>
      <c r="K533" s="142">
        <f t="shared" si="45"/>
        <v>0</v>
      </c>
      <c r="L533" s="142">
        <f t="shared" si="46"/>
        <v>13430340</v>
      </c>
    </row>
    <row r="534" spans="5:12" x14ac:dyDescent="0.35">
      <c r="E534" s="135">
        <v>521</v>
      </c>
      <c r="F534" s="135">
        <v>0</v>
      </c>
      <c r="G534" s="141">
        <f t="shared" si="42"/>
        <v>0</v>
      </c>
      <c r="H534" s="155">
        <f t="shared" si="43"/>
        <v>0</v>
      </c>
      <c r="I534" s="142">
        <f t="shared" si="44"/>
        <v>13430340</v>
      </c>
      <c r="J534" s="142">
        <v>0</v>
      </c>
      <c r="K534" s="142">
        <f t="shared" si="45"/>
        <v>0</v>
      </c>
      <c r="L534" s="142">
        <f t="shared" si="46"/>
        <v>13430340</v>
      </c>
    </row>
    <row r="535" spans="5:12" x14ac:dyDescent="0.35">
      <c r="E535" s="135">
        <v>522</v>
      </c>
      <c r="F535" s="135">
        <v>0</v>
      </c>
      <c r="G535" s="141">
        <f t="shared" si="42"/>
        <v>0</v>
      </c>
      <c r="H535" s="155">
        <f t="shared" si="43"/>
        <v>0</v>
      </c>
      <c r="I535" s="142">
        <f t="shared" si="44"/>
        <v>13430340</v>
      </c>
      <c r="J535" s="142">
        <v>0</v>
      </c>
      <c r="K535" s="142">
        <f t="shared" si="45"/>
        <v>0</v>
      </c>
      <c r="L535" s="142">
        <f t="shared" si="46"/>
        <v>13430340</v>
      </c>
    </row>
    <row r="536" spans="5:12" x14ac:dyDescent="0.35">
      <c r="E536" s="135">
        <v>523</v>
      </c>
      <c r="F536" s="135">
        <v>0</v>
      </c>
      <c r="G536" s="141">
        <f t="shared" si="42"/>
        <v>0</v>
      </c>
      <c r="H536" s="155">
        <f t="shared" si="43"/>
        <v>0</v>
      </c>
      <c r="I536" s="142">
        <f t="shared" si="44"/>
        <v>13430340</v>
      </c>
      <c r="J536" s="142">
        <v>0</v>
      </c>
      <c r="K536" s="142">
        <f t="shared" si="45"/>
        <v>0</v>
      </c>
      <c r="L536" s="142">
        <f t="shared" si="46"/>
        <v>13430340</v>
      </c>
    </row>
    <row r="537" spans="5:12" x14ac:dyDescent="0.35">
      <c r="E537" s="135">
        <v>524</v>
      </c>
      <c r="F537" s="135">
        <v>0</v>
      </c>
      <c r="G537" s="141">
        <f t="shared" si="42"/>
        <v>0</v>
      </c>
      <c r="H537" s="155">
        <f t="shared" si="43"/>
        <v>0</v>
      </c>
      <c r="I537" s="142">
        <f t="shared" si="44"/>
        <v>13430340</v>
      </c>
      <c r="J537" s="142">
        <v>0</v>
      </c>
      <c r="K537" s="142">
        <f t="shared" si="45"/>
        <v>0</v>
      </c>
      <c r="L537" s="142">
        <f t="shared" si="46"/>
        <v>13430340</v>
      </c>
    </row>
    <row r="538" spans="5:12" x14ac:dyDescent="0.35">
      <c r="E538" s="135">
        <v>525</v>
      </c>
      <c r="F538" s="135">
        <v>1</v>
      </c>
      <c r="G538" s="141">
        <f t="shared" si="42"/>
        <v>23.813582244547764</v>
      </c>
      <c r="H538" s="155">
        <f t="shared" si="43"/>
        <v>0</v>
      </c>
      <c r="I538" s="142">
        <f t="shared" si="44"/>
        <v>13430340</v>
      </c>
      <c r="J538" s="142">
        <v>0</v>
      </c>
      <c r="K538" s="142">
        <f t="shared" si="45"/>
        <v>136632.93323927111</v>
      </c>
      <c r="L538" s="142">
        <f t="shared" si="46"/>
        <v>13566972.933239272</v>
      </c>
    </row>
    <row r="539" spans="5:12" x14ac:dyDescent="0.35">
      <c r="E539" s="135">
        <v>526</v>
      </c>
      <c r="F539" s="135">
        <v>0</v>
      </c>
      <c r="G539" s="141">
        <f t="shared" si="42"/>
        <v>0</v>
      </c>
      <c r="H539" s="155">
        <f t="shared" si="43"/>
        <v>0</v>
      </c>
      <c r="I539" s="142">
        <f t="shared" si="44"/>
        <v>13430340</v>
      </c>
      <c r="J539" s="142">
        <v>0</v>
      </c>
      <c r="K539" s="142">
        <f t="shared" si="45"/>
        <v>0</v>
      </c>
      <c r="L539" s="142">
        <f t="shared" si="46"/>
        <v>13430340</v>
      </c>
    </row>
    <row r="540" spans="5:12" x14ac:dyDescent="0.35">
      <c r="E540" s="135">
        <v>527</v>
      </c>
      <c r="F540" s="135">
        <v>0</v>
      </c>
      <c r="G540" s="141">
        <f t="shared" si="42"/>
        <v>0</v>
      </c>
      <c r="H540" s="155">
        <f t="shared" si="43"/>
        <v>0</v>
      </c>
      <c r="I540" s="142">
        <f t="shared" si="44"/>
        <v>13430340</v>
      </c>
      <c r="J540" s="142">
        <v>0</v>
      </c>
      <c r="K540" s="142">
        <f t="shared" si="45"/>
        <v>0</v>
      </c>
      <c r="L540" s="142">
        <f t="shared" si="46"/>
        <v>13430340</v>
      </c>
    </row>
    <row r="541" spans="5:12" x14ac:dyDescent="0.35">
      <c r="E541" s="135">
        <v>528</v>
      </c>
      <c r="F541" s="135">
        <v>0</v>
      </c>
      <c r="G541" s="141">
        <f t="shared" si="42"/>
        <v>0</v>
      </c>
      <c r="H541" s="155">
        <f t="shared" si="43"/>
        <v>0</v>
      </c>
      <c r="I541" s="142">
        <f t="shared" si="44"/>
        <v>13430340</v>
      </c>
      <c r="J541" s="142">
        <v>0</v>
      </c>
      <c r="K541" s="142">
        <f t="shared" si="45"/>
        <v>0</v>
      </c>
      <c r="L541" s="142">
        <f t="shared" si="46"/>
        <v>13430340</v>
      </c>
    </row>
    <row r="542" spans="5:12" x14ac:dyDescent="0.35">
      <c r="E542" s="135">
        <v>529</v>
      </c>
      <c r="F542" s="135">
        <v>0</v>
      </c>
      <c r="G542" s="141">
        <f t="shared" si="42"/>
        <v>0</v>
      </c>
      <c r="H542" s="155">
        <f t="shared" si="43"/>
        <v>0</v>
      </c>
      <c r="I542" s="142">
        <f t="shared" si="44"/>
        <v>13430340</v>
      </c>
      <c r="J542" s="142">
        <v>0</v>
      </c>
      <c r="K542" s="142">
        <f t="shared" si="45"/>
        <v>0</v>
      </c>
      <c r="L542" s="142">
        <f t="shared" si="46"/>
        <v>13430340</v>
      </c>
    </row>
    <row r="543" spans="5:12" x14ac:dyDescent="0.35">
      <c r="E543" s="135">
        <v>530</v>
      </c>
      <c r="F543" s="135">
        <v>0</v>
      </c>
      <c r="G543" s="141">
        <f t="shared" si="42"/>
        <v>0</v>
      </c>
      <c r="H543" s="155">
        <f t="shared" si="43"/>
        <v>0</v>
      </c>
      <c r="I543" s="142">
        <f t="shared" si="44"/>
        <v>13430340</v>
      </c>
      <c r="J543" s="142">
        <v>0</v>
      </c>
      <c r="K543" s="142">
        <f t="shared" si="45"/>
        <v>0</v>
      </c>
      <c r="L543" s="142">
        <f t="shared" si="46"/>
        <v>13430340</v>
      </c>
    </row>
    <row r="544" spans="5:12" x14ac:dyDescent="0.35">
      <c r="E544" s="135">
        <v>531</v>
      </c>
      <c r="F544" s="135">
        <v>1</v>
      </c>
      <c r="G544" s="141">
        <f t="shared" si="42"/>
        <v>23.813582244547764</v>
      </c>
      <c r="H544" s="155">
        <f t="shared" si="43"/>
        <v>0</v>
      </c>
      <c r="I544" s="142">
        <f t="shared" si="44"/>
        <v>13430340</v>
      </c>
      <c r="J544" s="142">
        <v>0</v>
      </c>
      <c r="K544" s="142">
        <f t="shared" si="45"/>
        <v>136632.93323927111</v>
      </c>
      <c r="L544" s="142">
        <f t="shared" si="46"/>
        <v>13566972.933239272</v>
      </c>
    </row>
    <row r="545" spans="5:12" x14ac:dyDescent="0.35">
      <c r="E545" s="135">
        <v>532</v>
      </c>
      <c r="F545" s="135">
        <v>0</v>
      </c>
      <c r="G545" s="141">
        <f t="shared" si="42"/>
        <v>0</v>
      </c>
      <c r="H545" s="155">
        <f t="shared" si="43"/>
        <v>0</v>
      </c>
      <c r="I545" s="142">
        <f t="shared" si="44"/>
        <v>13430340</v>
      </c>
      <c r="J545" s="142">
        <v>0</v>
      </c>
      <c r="K545" s="142">
        <f t="shared" si="45"/>
        <v>0</v>
      </c>
      <c r="L545" s="142">
        <f t="shared" si="46"/>
        <v>13430340</v>
      </c>
    </row>
    <row r="546" spans="5:12" x14ac:dyDescent="0.35">
      <c r="E546" s="135">
        <v>533</v>
      </c>
      <c r="F546" s="135">
        <v>0</v>
      </c>
      <c r="G546" s="141">
        <f t="shared" si="42"/>
        <v>0</v>
      </c>
      <c r="H546" s="155">
        <f t="shared" si="43"/>
        <v>0</v>
      </c>
      <c r="I546" s="142">
        <f t="shared" si="44"/>
        <v>13430340</v>
      </c>
      <c r="J546" s="142">
        <v>0</v>
      </c>
      <c r="K546" s="142">
        <f t="shared" si="45"/>
        <v>0</v>
      </c>
      <c r="L546" s="142">
        <f t="shared" si="46"/>
        <v>13430340</v>
      </c>
    </row>
    <row r="547" spans="5:12" x14ac:dyDescent="0.35">
      <c r="E547" s="135">
        <v>534</v>
      </c>
      <c r="F547" s="135">
        <v>0</v>
      </c>
      <c r="G547" s="141">
        <f t="shared" si="42"/>
        <v>0</v>
      </c>
      <c r="H547" s="155">
        <f t="shared" si="43"/>
        <v>0</v>
      </c>
      <c r="I547" s="142">
        <f t="shared" si="44"/>
        <v>13430340</v>
      </c>
      <c r="J547" s="142">
        <v>0</v>
      </c>
      <c r="K547" s="142">
        <f t="shared" si="45"/>
        <v>0</v>
      </c>
      <c r="L547" s="142">
        <f t="shared" si="46"/>
        <v>13430340</v>
      </c>
    </row>
    <row r="548" spans="5:12" x14ac:dyDescent="0.35">
      <c r="E548" s="135">
        <v>535</v>
      </c>
      <c r="F548" s="135">
        <v>0</v>
      </c>
      <c r="G548" s="141">
        <f t="shared" si="42"/>
        <v>0</v>
      </c>
      <c r="H548" s="155">
        <f t="shared" si="43"/>
        <v>0</v>
      </c>
      <c r="I548" s="142">
        <f t="shared" si="44"/>
        <v>13430340</v>
      </c>
      <c r="J548" s="142">
        <v>0</v>
      </c>
      <c r="K548" s="142">
        <f t="shared" si="45"/>
        <v>0</v>
      </c>
      <c r="L548" s="142">
        <f t="shared" si="46"/>
        <v>13430340</v>
      </c>
    </row>
    <row r="549" spans="5:12" x14ac:dyDescent="0.35">
      <c r="E549" s="135">
        <v>536</v>
      </c>
      <c r="F549" s="135">
        <v>0</v>
      </c>
      <c r="G549" s="141">
        <f t="shared" si="42"/>
        <v>0</v>
      </c>
      <c r="H549" s="155">
        <f t="shared" si="43"/>
        <v>0</v>
      </c>
      <c r="I549" s="142">
        <f t="shared" si="44"/>
        <v>13430340</v>
      </c>
      <c r="J549" s="142">
        <v>0</v>
      </c>
      <c r="K549" s="142">
        <f t="shared" si="45"/>
        <v>0</v>
      </c>
      <c r="L549" s="142">
        <f t="shared" si="46"/>
        <v>13430340</v>
      </c>
    </row>
    <row r="550" spans="5:12" x14ac:dyDescent="0.35">
      <c r="E550" s="135">
        <v>537</v>
      </c>
      <c r="F550" s="135">
        <v>0</v>
      </c>
      <c r="G550" s="141">
        <f t="shared" si="42"/>
        <v>0</v>
      </c>
      <c r="H550" s="155">
        <f t="shared" si="43"/>
        <v>0</v>
      </c>
      <c r="I550" s="142">
        <f t="shared" si="44"/>
        <v>13430340</v>
      </c>
      <c r="J550" s="142">
        <v>0</v>
      </c>
      <c r="K550" s="142">
        <f t="shared" si="45"/>
        <v>0</v>
      </c>
      <c r="L550" s="142">
        <f t="shared" si="46"/>
        <v>13430340</v>
      </c>
    </row>
    <row r="551" spans="5:12" x14ac:dyDescent="0.35">
      <c r="E551" s="135">
        <v>538</v>
      </c>
      <c r="F551" s="135">
        <v>0</v>
      </c>
      <c r="G551" s="141">
        <f t="shared" si="42"/>
        <v>0</v>
      </c>
      <c r="H551" s="155">
        <f t="shared" si="43"/>
        <v>0</v>
      </c>
      <c r="I551" s="142">
        <f t="shared" si="44"/>
        <v>13430340</v>
      </c>
      <c r="J551" s="142">
        <v>0</v>
      </c>
      <c r="K551" s="142">
        <f t="shared" si="45"/>
        <v>0</v>
      </c>
      <c r="L551" s="142">
        <f t="shared" si="46"/>
        <v>13430340</v>
      </c>
    </row>
    <row r="552" spans="5:12" x14ac:dyDescent="0.35">
      <c r="E552" s="135">
        <v>539</v>
      </c>
      <c r="F552" s="135">
        <v>0</v>
      </c>
      <c r="G552" s="141">
        <f t="shared" si="42"/>
        <v>0</v>
      </c>
      <c r="H552" s="155">
        <f t="shared" si="43"/>
        <v>0</v>
      </c>
      <c r="I552" s="142">
        <f t="shared" si="44"/>
        <v>13430340</v>
      </c>
      <c r="J552" s="142">
        <v>0</v>
      </c>
      <c r="K552" s="142">
        <f t="shared" si="45"/>
        <v>0</v>
      </c>
      <c r="L552" s="142">
        <f t="shared" si="46"/>
        <v>13430340</v>
      </c>
    </row>
    <row r="553" spans="5:12" x14ac:dyDescent="0.35">
      <c r="E553" s="135">
        <v>540</v>
      </c>
      <c r="F553" s="135">
        <v>0</v>
      </c>
      <c r="G553" s="141">
        <f t="shared" si="42"/>
        <v>0</v>
      </c>
      <c r="H553" s="155">
        <f t="shared" si="43"/>
        <v>0</v>
      </c>
      <c r="I553" s="142">
        <f t="shared" si="44"/>
        <v>13430340</v>
      </c>
      <c r="J553" s="142">
        <v>0</v>
      </c>
      <c r="K553" s="142">
        <f t="shared" si="45"/>
        <v>0</v>
      </c>
      <c r="L553" s="142">
        <f t="shared" si="46"/>
        <v>13430340</v>
      </c>
    </row>
    <row r="554" spans="5:12" x14ac:dyDescent="0.35">
      <c r="E554" s="135">
        <v>541</v>
      </c>
      <c r="F554" s="135">
        <v>0</v>
      </c>
      <c r="G554" s="141">
        <f t="shared" si="42"/>
        <v>0</v>
      </c>
      <c r="H554" s="155">
        <f t="shared" si="43"/>
        <v>0</v>
      </c>
      <c r="I554" s="142">
        <f t="shared" si="44"/>
        <v>13430340</v>
      </c>
      <c r="J554" s="142">
        <v>0</v>
      </c>
      <c r="K554" s="142">
        <f t="shared" si="45"/>
        <v>0</v>
      </c>
      <c r="L554" s="142">
        <f t="shared" si="46"/>
        <v>13430340</v>
      </c>
    </row>
    <row r="555" spans="5:12" x14ac:dyDescent="0.35">
      <c r="E555" s="135">
        <v>542</v>
      </c>
      <c r="F555" s="135">
        <v>0</v>
      </c>
      <c r="G555" s="141">
        <f t="shared" si="42"/>
        <v>0</v>
      </c>
      <c r="H555" s="155">
        <f t="shared" si="43"/>
        <v>0</v>
      </c>
      <c r="I555" s="142">
        <f t="shared" si="44"/>
        <v>13430340</v>
      </c>
      <c r="J555" s="142">
        <v>0</v>
      </c>
      <c r="K555" s="142">
        <f t="shared" si="45"/>
        <v>0</v>
      </c>
      <c r="L555" s="142">
        <f t="shared" si="46"/>
        <v>13430340</v>
      </c>
    </row>
    <row r="556" spans="5:12" x14ac:dyDescent="0.35">
      <c r="E556" s="135">
        <v>543</v>
      </c>
      <c r="F556" s="135">
        <v>1</v>
      </c>
      <c r="G556" s="141">
        <f t="shared" si="42"/>
        <v>23.813582244547764</v>
      </c>
      <c r="H556" s="155">
        <f t="shared" si="43"/>
        <v>0</v>
      </c>
      <c r="I556" s="142">
        <f t="shared" si="44"/>
        <v>13430340</v>
      </c>
      <c r="J556" s="142">
        <v>0</v>
      </c>
      <c r="K556" s="142">
        <f t="shared" si="45"/>
        <v>136632.93323927111</v>
      </c>
      <c r="L556" s="142">
        <f t="shared" si="46"/>
        <v>13566972.933239272</v>
      </c>
    </row>
    <row r="557" spans="5:12" x14ac:dyDescent="0.35">
      <c r="E557" s="135">
        <v>544</v>
      </c>
      <c r="F557" s="135">
        <v>0</v>
      </c>
      <c r="G557" s="141">
        <f t="shared" si="42"/>
        <v>0</v>
      </c>
      <c r="H557" s="155">
        <f t="shared" si="43"/>
        <v>0</v>
      </c>
      <c r="I557" s="142">
        <f t="shared" si="44"/>
        <v>13430340</v>
      </c>
      <c r="J557" s="142">
        <v>0</v>
      </c>
      <c r="K557" s="142">
        <f t="shared" si="45"/>
        <v>0</v>
      </c>
      <c r="L557" s="142">
        <f t="shared" si="46"/>
        <v>13430340</v>
      </c>
    </row>
    <row r="558" spans="5:12" x14ac:dyDescent="0.35">
      <c r="E558" s="135">
        <v>545</v>
      </c>
      <c r="F558" s="135">
        <v>0</v>
      </c>
      <c r="G558" s="141">
        <f t="shared" si="42"/>
        <v>0</v>
      </c>
      <c r="H558" s="155">
        <f t="shared" si="43"/>
        <v>0</v>
      </c>
      <c r="I558" s="142">
        <f t="shared" si="44"/>
        <v>13430340</v>
      </c>
      <c r="J558" s="142">
        <v>0</v>
      </c>
      <c r="K558" s="142">
        <f t="shared" si="45"/>
        <v>0</v>
      </c>
      <c r="L558" s="142">
        <f t="shared" si="46"/>
        <v>13430340</v>
      </c>
    </row>
    <row r="559" spans="5:12" x14ac:dyDescent="0.35">
      <c r="E559" s="135">
        <v>546</v>
      </c>
      <c r="F559" s="135">
        <v>0</v>
      </c>
      <c r="G559" s="141">
        <f t="shared" si="42"/>
        <v>0</v>
      </c>
      <c r="H559" s="155">
        <f t="shared" si="43"/>
        <v>0</v>
      </c>
      <c r="I559" s="142">
        <f t="shared" si="44"/>
        <v>13430340</v>
      </c>
      <c r="J559" s="142">
        <v>0</v>
      </c>
      <c r="K559" s="142">
        <f t="shared" si="45"/>
        <v>0</v>
      </c>
      <c r="L559" s="142">
        <f t="shared" si="46"/>
        <v>13430340</v>
      </c>
    </row>
    <row r="560" spans="5:12" x14ac:dyDescent="0.35">
      <c r="E560" s="135">
        <v>547</v>
      </c>
      <c r="F560" s="135">
        <v>0</v>
      </c>
      <c r="G560" s="141">
        <f t="shared" si="42"/>
        <v>0</v>
      </c>
      <c r="H560" s="155">
        <f t="shared" si="43"/>
        <v>0</v>
      </c>
      <c r="I560" s="142">
        <f t="shared" si="44"/>
        <v>13430340</v>
      </c>
      <c r="J560" s="142">
        <v>0</v>
      </c>
      <c r="K560" s="142">
        <f t="shared" si="45"/>
        <v>0</v>
      </c>
      <c r="L560" s="142">
        <f t="shared" si="46"/>
        <v>13430340</v>
      </c>
    </row>
    <row r="561" spans="5:12" x14ac:dyDescent="0.35">
      <c r="E561" s="135">
        <v>548</v>
      </c>
      <c r="F561" s="135">
        <v>0</v>
      </c>
      <c r="G561" s="141">
        <f t="shared" si="42"/>
        <v>0</v>
      </c>
      <c r="H561" s="155">
        <f t="shared" si="43"/>
        <v>0</v>
      </c>
      <c r="I561" s="142">
        <f t="shared" si="44"/>
        <v>13430340</v>
      </c>
      <c r="J561" s="142">
        <v>0</v>
      </c>
      <c r="K561" s="142">
        <f t="shared" si="45"/>
        <v>0</v>
      </c>
      <c r="L561" s="142">
        <f t="shared" si="46"/>
        <v>13430340</v>
      </c>
    </row>
    <row r="562" spans="5:12" x14ac:dyDescent="0.35">
      <c r="E562" s="135">
        <v>549</v>
      </c>
      <c r="F562" s="135">
        <v>0</v>
      </c>
      <c r="G562" s="141">
        <f t="shared" si="42"/>
        <v>0</v>
      </c>
      <c r="H562" s="155">
        <f t="shared" si="43"/>
        <v>0</v>
      </c>
      <c r="I562" s="142">
        <f t="shared" si="44"/>
        <v>13430340</v>
      </c>
      <c r="J562" s="142">
        <v>0</v>
      </c>
      <c r="K562" s="142">
        <f t="shared" si="45"/>
        <v>0</v>
      </c>
      <c r="L562" s="142">
        <f t="shared" si="46"/>
        <v>13430340</v>
      </c>
    </row>
    <row r="563" spans="5:12" x14ac:dyDescent="0.35">
      <c r="E563" s="135">
        <v>550</v>
      </c>
      <c r="F563" s="135">
        <v>0</v>
      </c>
      <c r="G563" s="141">
        <f t="shared" si="42"/>
        <v>0</v>
      </c>
      <c r="H563" s="155">
        <f t="shared" si="43"/>
        <v>0</v>
      </c>
      <c r="I563" s="142">
        <f t="shared" si="44"/>
        <v>13430340</v>
      </c>
      <c r="J563" s="142">
        <v>0</v>
      </c>
      <c r="K563" s="142">
        <f t="shared" si="45"/>
        <v>0</v>
      </c>
      <c r="L563" s="142">
        <f t="shared" si="46"/>
        <v>13430340</v>
      </c>
    </row>
    <row r="564" spans="5:12" x14ac:dyDescent="0.35">
      <c r="E564" s="135">
        <v>551</v>
      </c>
      <c r="F564" s="135">
        <v>0</v>
      </c>
      <c r="G564" s="141">
        <f t="shared" si="42"/>
        <v>0</v>
      </c>
      <c r="H564" s="155">
        <f t="shared" si="43"/>
        <v>0</v>
      </c>
      <c r="I564" s="142">
        <f t="shared" si="44"/>
        <v>13430340</v>
      </c>
      <c r="J564" s="142">
        <v>0</v>
      </c>
      <c r="K564" s="142">
        <f t="shared" si="45"/>
        <v>0</v>
      </c>
      <c r="L564" s="142">
        <f t="shared" si="46"/>
        <v>13430340</v>
      </c>
    </row>
    <row r="565" spans="5:12" x14ac:dyDescent="0.35">
      <c r="E565" s="135">
        <v>552</v>
      </c>
      <c r="F565" s="135">
        <v>0</v>
      </c>
      <c r="G565" s="141">
        <f t="shared" si="42"/>
        <v>0</v>
      </c>
      <c r="H565" s="155">
        <f t="shared" si="43"/>
        <v>0</v>
      </c>
      <c r="I565" s="142">
        <f t="shared" si="44"/>
        <v>13430340</v>
      </c>
      <c r="J565" s="142">
        <v>0</v>
      </c>
      <c r="K565" s="142">
        <f t="shared" si="45"/>
        <v>0</v>
      </c>
      <c r="L565" s="142">
        <f t="shared" si="46"/>
        <v>13430340</v>
      </c>
    </row>
    <row r="566" spans="5:12" x14ac:dyDescent="0.35">
      <c r="E566" s="135">
        <v>553</v>
      </c>
      <c r="F566" s="135">
        <v>0</v>
      </c>
      <c r="G566" s="141">
        <f t="shared" si="42"/>
        <v>0</v>
      </c>
      <c r="H566" s="155">
        <f t="shared" si="43"/>
        <v>0</v>
      </c>
      <c r="I566" s="142">
        <f t="shared" si="44"/>
        <v>13430340</v>
      </c>
      <c r="J566" s="142">
        <v>0</v>
      </c>
      <c r="K566" s="142">
        <f t="shared" si="45"/>
        <v>0</v>
      </c>
      <c r="L566" s="142">
        <f t="shared" si="46"/>
        <v>13430340</v>
      </c>
    </row>
    <row r="567" spans="5:12" x14ac:dyDescent="0.35">
      <c r="E567" s="135">
        <v>554</v>
      </c>
      <c r="F567" s="135">
        <v>0</v>
      </c>
      <c r="G567" s="141">
        <f t="shared" si="42"/>
        <v>0</v>
      </c>
      <c r="H567" s="155">
        <f t="shared" si="43"/>
        <v>0</v>
      </c>
      <c r="I567" s="142">
        <f t="shared" si="44"/>
        <v>13430340</v>
      </c>
      <c r="J567" s="142">
        <v>0</v>
      </c>
      <c r="K567" s="142">
        <f t="shared" si="45"/>
        <v>0</v>
      </c>
      <c r="L567" s="142">
        <f t="shared" si="46"/>
        <v>13430340</v>
      </c>
    </row>
    <row r="568" spans="5:12" x14ac:dyDescent="0.35">
      <c r="E568" s="135">
        <v>555</v>
      </c>
      <c r="F568" s="135">
        <v>0</v>
      </c>
      <c r="G568" s="141">
        <f t="shared" si="42"/>
        <v>0</v>
      </c>
      <c r="H568" s="155">
        <f t="shared" si="43"/>
        <v>0</v>
      </c>
      <c r="I568" s="142">
        <f t="shared" si="44"/>
        <v>13430340</v>
      </c>
      <c r="J568" s="142">
        <v>0</v>
      </c>
      <c r="K568" s="142">
        <f t="shared" si="45"/>
        <v>0</v>
      </c>
      <c r="L568" s="142">
        <f t="shared" si="46"/>
        <v>13430340</v>
      </c>
    </row>
    <row r="569" spans="5:12" x14ac:dyDescent="0.35">
      <c r="E569" s="135">
        <v>556</v>
      </c>
      <c r="F569" s="135">
        <v>0</v>
      </c>
      <c r="G569" s="141">
        <f t="shared" si="42"/>
        <v>0</v>
      </c>
      <c r="H569" s="155">
        <f t="shared" si="43"/>
        <v>0</v>
      </c>
      <c r="I569" s="142">
        <f t="shared" si="44"/>
        <v>13430340</v>
      </c>
      <c r="J569" s="142">
        <v>0</v>
      </c>
      <c r="K569" s="142">
        <f t="shared" si="45"/>
        <v>0</v>
      </c>
      <c r="L569" s="142">
        <f t="shared" si="46"/>
        <v>13430340</v>
      </c>
    </row>
    <row r="570" spans="5:12" x14ac:dyDescent="0.35">
      <c r="E570" s="135">
        <v>557</v>
      </c>
      <c r="F570" s="135">
        <v>0</v>
      </c>
      <c r="G570" s="141">
        <f t="shared" si="42"/>
        <v>0</v>
      </c>
      <c r="H570" s="155">
        <f t="shared" si="43"/>
        <v>0</v>
      </c>
      <c r="I570" s="142">
        <f t="shared" si="44"/>
        <v>13430340</v>
      </c>
      <c r="J570" s="142">
        <v>0</v>
      </c>
      <c r="K570" s="142">
        <f t="shared" si="45"/>
        <v>0</v>
      </c>
      <c r="L570" s="142">
        <f t="shared" si="46"/>
        <v>13430340</v>
      </c>
    </row>
    <row r="571" spans="5:12" x14ac:dyDescent="0.35">
      <c r="E571" s="135">
        <v>558</v>
      </c>
      <c r="F571" s="135">
        <v>0</v>
      </c>
      <c r="G571" s="141">
        <f t="shared" si="42"/>
        <v>0</v>
      </c>
      <c r="H571" s="155">
        <f t="shared" si="43"/>
        <v>0</v>
      </c>
      <c r="I571" s="142">
        <f t="shared" si="44"/>
        <v>13430340</v>
      </c>
      <c r="J571" s="142">
        <v>0</v>
      </c>
      <c r="K571" s="142">
        <f t="shared" si="45"/>
        <v>0</v>
      </c>
      <c r="L571" s="142">
        <f t="shared" si="46"/>
        <v>13430340</v>
      </c>
    </row>
    <row r="572" spans="5:12" x14ac:dyDescent="0.35">
      <c r="E572" s="135">
        <v>559</v>
      </c>
      <c r="F572" s="135">
        <v>0</v>
      </c>
      <c r="G572" s="141">
        <f t="shared" si="42"/>
        <v>0</v>
      </c>
      <c r="H572" s="155">
        <f t="shared" si="43"/>
        <v>0</v>
      </c>
      <c r="I572" s="142">
        <f t="shared" si="44"/>
        <v>13430340</v>
      </c>
      <c r="J572" s="142">
        <v>0</v>
      </c>
      <c r="K572" s="142">
        <f t="shared" si="45"/>
        <v>0</v>
      </c>
      <c r="L572" s="142">
        <f t="shared" si="46"/>
        <v>13430340</v>
      </c>
    </row>
    <row r="573" spans="5:12" x14ac:dyDescent="0.35">
      <c r="E573" s="135">
        <v>560</v>
      </c>
      <c r="F573" s="135">
        <v>0</v>
      </c>
      <c r="G573" s="141">
        <f t="shared" si="42"/>
        <v>0</v>
      </c>
      <c r="H573" s="155">
        <f t="shared" si="43"/>
        <v>0</v>
      </c>
      <c r="I573" s="142">
        <f t="shared" si="44"/>
        <v>13430340</v>
      </c>
      <c r="J573" s="142">
        <v>0</v>
      </c>
      <c r="K573" s="142">
        <f t="shared" si="45"/>
        <v>0</v>
      </c>
      <c r="L573" s="142">
        <f t="shared" si="46"/>
        <v>13430340</v>
      </c>
    </row>
    <row r="574" spans="5:12" x14ac:dyDescent="0.35">
      <c r="E574" s="135">
        <v>561</v>
      </c>
      <c r="F574" s="135">
        <v>0</v>
      </c>
      <c r="G574" s="141">
        <f t="shared" si="42"/>
        <v>0</v>
      </c>
      <c r="H574" s="155">
        <f t="shared" si="43"/>
        <v>0</v>
      </c>
      <c r="I574" s="142">
        <f t="shared" si="44"/>
        <v>13430340</v>
      </c>
      <c r="J574" s="142">
        <v>0</v>
      </c>
      <c r="K574" s="142">
        <f t="shared" si="45"/>
        <v>0</v>
      </c>
      <c r="L574" s="142">
        <f t="shared" si="46"/>
        <v>13430340</v>
      </c>
    </row>
    <row r="575" spans="5:12" x14ac:dyDescent="0.35">
      <c r="E575" s="135">
        <v>562</v>
      </c>
      <c r="F575" s="135">
        <v>0</v>
      </c>
      <c r="G575" s="141">
        <f t="shared" si="42"/>
        <v>0</v>
      </c>
      <c r="H575" s="155">
        <f t="shared" si="43"/>
        <v>0</v>
      </c>
      <c r="I575" s="142">
        <f t="shared" si="44"/>
        <v>13430340</v>
      </c>
      <c r="J575" s="142">
        <v>0</v>
      </c>
      <c r="K575" s="142">
        <f t="shared" si="45"/>
        <v>0</v>
      </c>
      <c r="L575" s="142">
        <f t="shared" si="46"/>
        <v>13430340</v>
      </c>
    </row>
    <row r="576" spans="5:12" x14ac:dyDescent="0.35">
      <c r="E576" s="135">
        <v>563</v>
      </c>
      <c r="F576" s="135">
        <v>0</v>
      </c>
      <c r="G576" s="141">
        <f t="shared" si="42"/>
        <v>0</v>
      </c>
      <c r="H576" s="155">
        <f t="shared" si="43"/>
        <v>0</v>
      </c>
      <c r="I576" s="142">
        <f t="shared" si="44"/>
        <v>13430340</v>
      </c>
      <c r="J576" s="142">
        <v>0</v>
      </c>
      <c r="K576" s="142">
        <f t="shared" si="45"/>
        <v>0</v>
      </c>
      <c r="L576" s="142">
        <f t="shared" si="46"/>
        <v>13430340</v>
      </c>
    </row>
    <row r="577" spans="5:12" x14ac:dyDescent="0.35">
      <c r="E577" s="135">
        <v>564</v>
      </c>
      <c r="F577" s="135">
        <v>1</v>
      </c>
      <c r="G577" s="141">
        <f t="shared" si="42"/>
        <v>23.813582244547764</v>
      </c>
      <c r="H577" s="155">
        <f t="shared" si="43"/>
        <v>0</v>
      </c>
      <c r="I577" s="142">
        <f t="shared" si="44"/>
        <v>13430340</v>
      </c>
      <c r="J577" s="142">
        <v>0</v>
      </c>
      <c r="K577" s="142">
        <f t="shared" si="45"/>
        <v>136632.93323927111</v>
      </c>
      <c r="L577" s="142">
        <f t="shared" si="46"/>
        <v>13566972.933239272</v>
      </c>
    </row>
    <row r="578" spans="5:12" x14ac:dyDescent="0.35">
      <c r="E578" s="135">
        <v>565</v>
      </c>
      <c r="F578" s="135">
        <v>0</v>
      </c>
      <c r="G578" s="141">
        <f t="shared" si="42"/>
        <v>0</v>
      </c>
      <c r="H578" s="155">
        <f t="shared" si="43"/>
        <v>0</v>
      </c>
      <c r="I578" s="142">
        <f t="shared" si="44"/>
        <v>13430340</v>
      </c>
      <c r="J578" s="142">
        <v>0</v>
      </c>
      <c r="K578" s="142">
        <f t="shared" si="45"/>
        <v>0</v>
      </c>
      <c r="L578" s="142">
        <f t="shared" si="46"/>
        <v>13430340</v>
      </c>
    </row>
    <row r="579" spans="5:12" x14ac:dyDescent="0.35">
      <c r="E579" s="135">
        <v>566</v>
      </c>
      <c r="F579" s="135">
        <v>0</v>
      </c>
      <c r="G579" s="141">
        <f t="shared" si="42"/>
        <v>0</v>
      </c>
      <c r="H579" s="155">
        <f t="shared" si="43"/>
        <v>0</v>
      </c>
      <c r="I579" s="142">
        <f t="shared" si="44"/>
        <v>13430340</v>
      </c>
      <c r="J579" s="142">
        <v>0</v>
      </c>
      <c r="K579" s="142">
        <f t="shared" si="45"/>
        <v>0</v>
      </c>
      <c r="L579" s="142">
        <f t="shared" si="46"/>
        <v>13430340</v>
      </c>
    </row>
    <row r="580" spans="5:12" x14ac:dyDescent="0.35">
      <c r="E580" s="135">
        <v>567</v>
      </c>
      <c r="F580" s="135">
        <v>1</v>
      </c>
      <c r="G580" s="141">
        <f t="shared" si="42"/>
        <v>23.813582244547764</v>
      </c>
      <c r="H580" s="155">
        <f t="shared" si="43"/>
        <v>0</v>
      </c>
      <c r="I580" s="142">
        <f t="shared" si="44"/>
        <v>13430340</v>
      </c>
      <c r="J580" s="142">
        <v>0</v>
      </c>
      <c r="K580" s="142">
        <f t="shared" si="45"/>
        <v>136632.93323927111</v>
      </c>
      <c r="L580" s="142">
        <f t="shared" si="46"/>
        <v>13566972.933239272</v>
      </c>
    </row>
    <row r="581" spans="5:12" x14ac:dyDescent="0.35">
      <c r="E581" s="135">
        <v>568</v>
      </c>
      <c r="F581" s="135">
        <v>1</v>
      </c>
      <c r="G581" s="141">
        <f t="shared" si="42"/>
        <v>23.813582244547764</v>
      </c>
      <c r="H581" s="155">
        <f t="shared" si="43"/>
        <v>0</v>
      </c>
      <c r="I581" s="142">
        <f t="shared" si="44"/>
        <v>13430340</v>
      </c>
      <c r="J581" s="142">
        <v>0</v>
      </c>
      <c r="K581" s="142">
        <f t="shared" si="45"/>
        <v>136632.93323927111</v>
      </c>
      <c r="L581" s="142">
        <f t="shared" si="46"/>
        <v>13566972.933239272</v>
      </c>
    </row>
    <row r="582" spans="5:12" x14ac:dyDescent="0.35">
      <c r="E582" s="135">
        <v>569</v>
      </c>
      <c r="F582" s="135">
        <v>0</v>
      </c>
      <c r="G582" s="141">
        <f t="shared" si="42"/>
        <v>0</v>
      </c>
      <c r="H582" s="155">
        <f t="shared" si="43"/>
        <v>0</v>
      </c>
      <c r="I582" s="142">
        <f t="shared" si="44"/>
        <v>13430340</v>
      </c>
      <c r="J582" s="142">
        <v>0</v>
      </c>
      <c r="K582" s="142">
        <f t="shared" si="45"/>
        <v>0</v>
      </c>
      <c r="L582" s="142">
        <f t="shared" si="46"/>
        <v>13430340</v>
      </c>
    </row>
    <row r="583" spans="5:12" x14ac:dyDescent="0.35">
      <c r="E583" s="135">
        <v>570</v>
      </c>
      <c r="F583" s="135">
        <v>0</v>
      </c>
      <c r="G583" s="141">
        <f t="shared" si="42"/>
        <v>0</v>
      </c>
      <c r="H583" s="155">
        <f t="shared" si="43"/>
        <v>0</v>
      </c>
      <c r="I583" s="142">
        <f t="shared" si="44"/>
        <v>13430340</v>
      </c>
      <c r="J583" s="142">
        <v>0</v>
      </c>
      <c r="K583" s="142">
        <f t="shared" si="45"/>
        <v>0</v>
      </c>
      <c r="L583" s="142">
        <f t="shared" si="46"/>
        <v>13430340</v>
      </c>
    </row>
    <row r="584" spans="5:12" x14ac:dyDescent="0.35">
      <c r="E584" s="135">
        <v>571</v>
      </c>
      <c r="F584" s="135">
        <v>0</v>
      </c>
      <c r="G584" s="141">
        <f t="shared" si="42"/>
        <v>0</v>
      </c>
      <c r="H584" s="155">
        <f t="shared" si="43"/>
        <v>0</v>
      </c>
      <c r="I584" s="142">
        <f t="shared" si="44"/>
        <v>13430340</v>
      </c>
      <c r="J584" s="142">
        <v>0</v>
      </c>
      <c r="K584" s="142">
        <f t="shared" si="45"/>
        <v>0</v>
      </c>
      <c r="L584" s="142">
        <f t="shared" si="46"/>
        <v>13430340</v>
      </c>
    </row>
    <row r="585" spans="5:12" x14ac:dyDescent="0.35">
      <c r="E585" s="135">
        <v>572</v>
      </c>
      <c r="F585" s="135">
        <v>0</v>
      </c>
      <c r="G585" s="141">
        <f t="shared" si="42"/>
        <v>0</v>
      </c>
      <c r="H585" s="155">
        <f t="shared" si="43"/>
        <v>0</v>
      </c>
      <c r="I585" s="142">
        <f t="shared" si="44"/>
        <v>13430340</v>
      </c>
      <c r="J585" s="142">
        <v>0</v>
      </c>
      <c r="K585" s="142">
        <f t="shared" si="45"/>
        <v>0</v>
      </c>
      <c r="L585" s="142">
        <f t="shared" si="46"/>
        <v>13430340</v>
      </c>
    </row>
    <row r="586" spans="5:12" x14ac:dyDescent="0.35">
      <c r="E586" s="135">
        <v>573</v>
      </c>
      <c r="F586" s="135">
        <v>1</v>
      </c>
      <c r="G586" s="141">
        <f t="shared" si="42"/>
        <v>23.813582244547764</v>
      </c>
      <c r="H586" s="155">
        <f t="shared" si="43"/>
        <v>0</v>
      </c>
      <c r="I586" s="142">
        <f t="shared" si="44"/>
        <v>13430340</v>
      </c>
      <c r="J586" s="142">
        <v>0</v>
      </c>
      <c r="K586" s="142">
        <f t="shared" si="45"/>
        <v>136632.93323927111</v>
      </c>
      <c r="L586" s="142">
        <f t="shared" si="46"/>
        <v>13566972.933239272</v>
      </c>
    </row>
    <row r="587" spans="5:12" x14ac:dyDescent="0.35">
      <c r="E587" s="135">
        <v>574</v>
      </c>
      <c r="F587" s="135">
        <v>0</v>
      </c>
      <c r="G587" s="141">
        <f t="shared" si="42"/>
        <v>0</v>
      </c>
      <c r="H587" s="155">
        <f t="shared" si="43"/>
        <v>0</v>
      </c>
      <c r="I587" s="142">
        <f t="shared" si="44"/>
        <v>13430340</v>
      </c>
      <c r="J587" s="142">
        <v>0</v>
      </c>
      <c r="K587" s="142">
        <f t="shared" si="45"/>
        <v>0</v>
      </c>
      <c r="L587" s="142">
        <f t="shared" si="46"/>
        <v>13430340</v>
      </c>
    </row>
    <row r="588" spans="5:12" x14ac:dyDescent="0.35">
      <c r="E588" s="135">
        <v>575</v>
      </c>
      <c r="F588" s="135">
        <v>0</v>
      </c>
      <c r="G588" s="141">
        <f t="shared" si="42"/>
        <v>0</v>
      </c>
      <c r="H588" s="155">
        <f t="shared" si="43"/>
        <v>0</v>
      </c>
      <c r="I588" s="142">
        <f t="shared" si="44"/>
        <v>13430340</v>
      </c>
      <c r="J588" s="142">
        <v>0</v>
      </c>
      <c r="K588" s="142">
        <f t="shared" si="45"/>
        <v>0</v>
      </c>
      <c r="L588" s="142">
        <f t="shared" si="46"/>
        <v>13430340</v>
      </c>
    </row>
    <row r="589" spans="5:12" x14ac:dyDescent="0.35">
      <c r="E589" s="135">
        <v>576</v>
      </c>
      <c r="F589" s="135">
        <v>0</v>
      </c>
      <c r="G589" s="141">
        <f t="shared" si="42"/>
        <v>0</v>
      </c>
      <c r="H589" s="155">
        <f t="shared" si="43"/>
        <v>0</v>
      </c>
      <c r="I589" s="142">
        <f t="shared" si="44"/>
        <v>13430340</v>
      </c>
      <c r="J589" s="142">
        <v>0</v>
      </c>
      <c r="K589" s="142">
        <f t="shared" si="45"/>
        <v>0</v>
      </c>
      <c r="L589" s="142">
        <f t="shared" si="46"/>
        <v>13430340</v>
      </c>
    </row>
    <row r="590" spans="5:12" x14ac:dyDescent="0.35">
      <c r="E590" s="135">
        <v>577</v>
      </c>
      <c r="F590" s="135">
        <v>0</v>
      </c>
      <c r="G590" s="141">
        <f t="shared" ref="G590:G653" si="47">F590*$C$10</f>
        <v>0</v>
      </c>
      <c r="H590" s="155">
        <f t="shared" ref="H590:H653" si="48">IF(F590 &gt; 1,$C$14*20000,0)</f>
        <v>0</v>
      </c>
      <c r="I590" s="142">
        <f t="shared" ref="I590:I653" si="49">IF(F590 &gt; 1,$C$5+$G$2,$G$2)</f>
        <v>13430340</v>
      </c>
      <c r="J590" s="142">
        <v>0</v>
      </c>
      <c r="K590" s="142">
        <f t="shared" ref="K590:K653" si="50">F590*$C$6</f>
        <v>0</v>
      </c>
      <c r="L590" s="142">
        <f t="shared" ref="L590:L653" si="51">J590+I590+K590</f>
        <v>13430340</v>
      </c>
    </row>
    <row r="591" spans="5:12" x14ac:dyDescent="0.35">
      <c r="E591" s="135">
        <v>578</v>
      </c>
      <c r="F591" s="135">
        <v>1</v>
      </c>
      <c r="G591" s="141">
        <f t="shared" si="47"/>
        <v>23.813582244547764</v>
      </c>
      <c r="H591" s="155">
        <f t="shared" si="48"/>
        <v>0</v>
      </c>
      <c r="I591" s="142">
        <f t="shared" si="49"/>
        <v>13430340</v>
      </c>
      <c r="J591" s="142">
        <v>0</v>
      </c>
      <c r="K591" s="142">
        <f t="shared" si="50"/>
        <v>136632.93323927111</v>
      </c>
      <c r="L591" s="142">
        <f t="shared" si="51"/>
        <v>13566972.933239272</v>
      </c>
    </row>
    <row r="592" spans="5:12" x14ac:dyDescent="0.35">
      <c r="E592" s="135">
        <v>579</v>
      </c>
      <c r="F592" s="135">
        <v>0</v>
      </c>
      <c r="G592" s="141">
        <f t="shared" si="47"/>
        <v>0</v>
      </c>
      <c r="H592" s="155">
        <f t="shared" si="48"/>
        <v>0</v>
      </c>
      <c r="I592" s="142">
        <f t="shared" si="49"/>
        <v>13430340</v>
      </c>
      <c r="J592" s="142">
        <v>0</v>
      </c>
      <c r="K592" s="142">
        <f t="shared" si="50"/>
        <v>0</v>
      </c>
      <c r="L592" s="142">
        <f t="shared" si="51"/>
        <v>13430340</v>
      </c>
    </row>
    <row r="593" spans="5:12" x14ac:dyDescent="0.35">
      <c r="E593" s="135">
        <v>580</v>
      </c>
      <c r="F593" s="135">
        <v>0</v>
      </c>
      <c r="G593" s="141">
        <f t="shared" si="47"/>
        <v>0</v>
      </c>
      <c r="H593" s="155">
        <f t="shared" si="48"/>
        <v>0</v>
      </c>
      <c r="I593" s="142">
        <f t="shared" si="49"/>
        <v>13430340</v>
      </c>
      <c r="J593" s="142">
        <v>0</v>
      </c>
      <c r="K593" s="142">
        <f t="shared" si="50"/>
        <v>0</v>
      </c>
      <c r="L593" s="142">
        <f t="shared" si="51"/>
        <v>13430340</v>
      </c>
    </row>
    <row r="594" spans="5:12" x14ac:dyDescent="0.35">
      <c r="E594" s="135">
        <v>581</v>
      </c>
      <c r="F594" s="135">
        <v>1</v>
      </c>
      <c r="G594" s="141">
        <f t="shared" si="47"/>
        <v>23.813582244547764</v>
      </c>
      <c r="H594" s="155">
        <f t="shared" si="48"/>
        <v>0</v>
      </c>
      <c r="I594" s="142">
        <f t="shared" si="49"/>
        <v>13430340</v>
      </c>
      <c r="J594" s="142">
        <v>0</v>
      </c>
      <c r="K594" s="142">
        <f t="shared" si="50"/>
        <v>136632.93323927111</v>
      </c>
      <c r="L594" s="142">
        <f t="shared" si="51"/>
        <v>13566972.933239272</v>
      </c>
    </row>
    <row r="595" spans="5:12" x14ac:dyDescent="0.35">
      <c r="E595" s="135">
        <v>582</v>
      </c>
      <c r="F595" s="135">
        <v>0</v>
      </c>
      <c r="G595" s="141">
        <f t="shared" si="47"/>
        <v>0</v>
      </c>
      <c r="H595" s="155">
        <f t="shared" si="48"/>
        <v>0</v>
      </c>
      <c r="I595" s="142">
        <f t="shared" si="49"/>
        <v>13430340</v>
      </c>
      <c r="J595" s="142">
        <v>0</v>
      </c>
      <c r="K595" s="142">
        <f t="shared" si="50"/>
        <v>0</v>
      </c>
      <c r="L595" s="142">
        <f t="shared" si="51"/>
        <v>13430340</v>
      </c>
    </row>
    <row r="596" spans="5:12" x14ac:dyDescent="0.35">
      <c r="E596" s="135">
        <v>583</v>
      </c>
      <c r="F596" s="135">
        <v>0</v>
      </c>
      <c r="G596" s="141">
        <f t="shared" si="47"/>
        <v>0</v>
      </c>
      <c r="H596" s="155">
        <f t="shared" si="48"/>
        <v>0</v>
      </c>
      <c r="I596" s="142">
        <f t="shared" si="49"/>
        <v>13430340</v>
      </c>
      <c r="J596" s="142">
        <v>0</v>
      </c>
      <c r="K596" s="142">
        <f t="shared" si="50"/>
        <v>0</v>
      </c>
      <c r="L596" s="142">
        <f t="shared" si="51"/>
        <v>13430340</v>
      </c>
    </row>
    <row r="597" spans="5:12" x14ac:dyDescent="0.35">
      <c r="E597" s="135">
        <v>584</v>
      </c>
      <c r="F597" s="135">
        <v>0</v>
      </c>
      <c r="G597" s="141">
        <f t="shared" si="47"/>
        <v>0</v>
      </c>
      <c r="H597" s="155">
        <f t="shared" si="48"/>
        <v>0</v>
      </c>
      <c r="I597" s="142">
        <f t="shared" si="49"/>
        <v>13430340</v>
      </c>
      <c r="J597" s="142">
        <v>0</v>
      </c>
      <c r="K597" s="142">
        <f t="shared" si="50"/>
        <v>0</v>
      </c>
      <c r="L597" s="142">
        <f t="shared" si="51"/>
        <v>13430340</v>
      </c>
    </row>
    <row r="598" spans="5:12" x14ac:dyDescent="0.35">
      <c r="E598" s="135">
        <v>585</v>
      </c>
      <c r="F598" s="135">
        <v>0</v>
      </c>
      <c r="G598" s="141">
        <f t="shared" si="47"/>
        <v>0</v>
      </c>
      <c r="H598" s="155">
        <f t="shared" si="48"/>
        <v>0</v>
      </c>
      <c r="I598" s="142">
        <f t="shared" si="49"/>
        <v>13430340</v>
      </c>
      <c r="J598" s="142">
        <v>0</v>
      </c>
      <c r="K598" s="142">
        <f t="shared" si="50"/>
        <v>0</v>
      </c>
      <c r="L598" s="142">
        <f t="shared" si="51"/>
        <v>13430340</v>
      </c>
    </row>
    <row r="599" spans="5:12" x14ac:dyDescent="0.35">
      <c r="E599" s="135">
        <v>586</v>
      </c>
      <c r="F599" s="135">
        <v>1</v>
      </c>
      <c r="G599" s="141">
        <f t="shared" si="47"/>
        <v>23.813582244547764</v>
      </c>
      <c r="H599" s="155">
        <f t="shared" si="48"/>
        <v>0</v>
      </c>
      <c r="I599" s="142">
        <f t="shared" si="49"/>
        <v>13430340</v>
      </c>
      <c r="J599" s="142">
        <v>0</v>
      </c>
      <c r="K599" s="142">
        <f t="shared" si="50"/>
        <v>136632.93323927111</v>
      </c>
      <c r="L599" s="142">
        <f t="shared" si="51"/>
        <v>13566972.933239272</v>
      </c>
    </row>
    <row r="600" spans="5:12" x14ac:dyDescent="0.35">
      <c r="E600" s="135">
        <v>587</v>
      </c>
      <c r="F600" s="135">
        <v>0</v>
      </c>
      <c r="G600" s="141">
        <f t="shared" si="47"/>
        <v>0</v>
      </c>
      <c r="H600" s="155">
        <f t="shared" si="48"/>
        <v>0</v>
      </c>
      <c r="I600" s="142">
        <f t="shared" si="49"/>
        <v>13430340</v>
      </c>
      <c r="J600" s="142">
        <v>0</v>
      </c>
      <c r="K600" s="142">
        <f t="shared" si="50"/>
        <v>0</v>
      </c>
      <c r="L600" s="142">
        <f t="shared" si="51"/>
        <v>13430340</v>
      </c>
    </row>
    <row r="601" spans="5:12" x14ac:dyDescent="0.35">
      <c r="E601" s="135">
        <v>588</v>
      </c>
      <c r="F601" s="135">
        <v>0</v>
      </c>
      <c r="G601" s="141">
        <f t="shared" si="47"/>
        <v>0</v>
      </c>
      <c r="H601" s="155">
        <f t="shared" si="48"/>
        <v>0</v>
      </c>
      <c r="I601" s="142">
        <f t="shared" si="49"/>
        <v>13430340</v>
      </c>
      <c r="J601" s="142">
        <v>0</v>
      </c>
      <c r="K601" s="142">
        <f t="shared" si="50"/>
        <v>0</v>
      </c>
      <c r="L601" s="142">
        <f t="shared" si="51"/>
        <v>13430340</v>
      </c>
    </row>
    <row r="602" spans="5:12" x14ac:dyDescent="0.35">
      <c r="E602" s="135">
        <v>589</v>
      </c>
      <c r="F602" s="135">
        <v>0</v>
      </c>
      <c r="G602" s="141">
        <f t="shared" si="47"/>
        <v>0</v>
      </c>
      <c r="H602" s="155">
        <f t="shared" si="48"/>
        <v>0</v>
      </c>
      <c r="I602" s="142">
        <f t="shared" si="49"/>
        <v>13430340</v>
      </c>
      <c r="J602" s="142">
        <v>0</v>
      </c>
      <c r="K602" s="142">
        <f t="shared" si="50"/>
        <v>0</v>
      </c>
      <c r="L602" s="142">
        <f t="shared" si="51"/>
        <v>13430340</v>
      </c>
    </row>
    <row r="603" spans="5:12" x14ac:dyDescent="0.35">
      <c r="E603" s="135">
        <v>590</v>
      </c>
      <c r="F603" s="135">
        <v>0</v>
      </c>
      <c r="G603" s="141">
        <f t="shared" si="47"/>
        <v>0</v>
      </c>
      <c r="H603" s="155">
        <f t="shared" si="48"/>
        <v>0</v>
      </c>
      <c r="I603" s="142">
        <f t="shared" si="49"/>
        <v>13430340</v>
      </c>
      <c r="J603" s="142">
        <v>0</v>
      </c>
      <c r="K603" s="142">
        <f t="shared" si="50"/>
        <v>0</v>
      </c>
      <c r="L603" s="142">
        <f t="shared" si="51"/>
        <v>13430340</v>
      </c>
    </row>
    <row r="604" spans="5:12" x14ac:dyDescent="0.35">
      <c r="E604" s="135">
        <v>591</v>
      </c>
      <c r="F604" s="135">
        <v>0</v>
      </c>
      <c r="G604" s="141">
        <f t="shared" si="47"/>
        <v>0</v>
      </c>
      <c r="H604" s="155">
        <f t="shared" si="48"/>
        <v>0</v>
      </c>
      <c r="I604" s="142">
        <f t="shared" si="49"/>
        <v>13430340</v>
      </c>
      <c r="J604" s="142">
        <v>0</v>
      </c>
      <c r="K604" s="142">
        <f t="shared" si="50"/>
        <v>0</v>
      </c>
      <c r="L604" s="142">
        <f t="shared" si="51"/>
        <v>13430340</v>
      </c>
    </row>
    <row r="605" spans="5:12" x14ac:dyDescent="0.35">
      <c r="E605" s="135">
        <v>592</v>
      </c>
      <c r="F605" s="135">
        <v>0</v>
      </c>
      <c r="G605" s="141">
        <f t="shared" si="47"/>
        <v>0</v>
      </c>
      <c r="H605" s="155">
        <f t="shared" si="48"/>
        <v>0</v>
      </c>
      <c r="I605" s="142">
        <f t="shared" si="49"/>
        <v>13430340</v>
      </c>
      <c r="J605" s="142">
        <v>0</v>
      </c>
      <c r="K605" s="142">
        <f t="shared" si="50"/>
        <v>0</v>
      </c>
      <c r="L605" s="142">
        <f t="shared" si="51"/>
        <v>13430340</v>
      </c>
    </row>
    <row r="606" spans="5:12" x14ac:dyDescent="0.35">
      <c r="E606" s="135">
        <v>593</v>
      </c>
      <c r="F606" s="135">
        <v>1</v>
      </c>
      <c r="G606" s="141">
        <f t="shared" si="47"/>
        <v>23.813582244547764</v>
      </c>
      <c r="H606" s="155">
        <f t="shared" si="48"/>
        <v>0</v>
      </c>
      <c r="I606" s="142">
        <f t="shared" si="49"/>
        <v>13430340</v>
      </c>
      <c r="J606" s="142">
        <v>0</v>
      </c>
      <c r="K606" s="142">
        <f t="shared" si="50"/>
        <v>136632.93323927111</v>
      </c>
      <c r="L606" s="142">
        <f t="shared" si="51"/>
        <v>13566972.933239272</v>
      </c>
    </row>
    <row r="607" spans="5:12" x14ac:dyDescent="0.35">
      <c r="E607" s="135">
        <v>594</v>
      </c>
      <c r="F607" s="135">
        <v>0</v>
      </c>
      <c r="G607" s="141">
        <f t="shared" si="47"/>
        <v>0</v>
      </c>
      <c r="H607" s="155">
        <f t="shared" si="48"/>
        <v>0</v>
      </c>
      <c r="I607" s="142">
        <f t="shared" si="49"/>
        <v>13430340</v>
      </c>
      <c r="J607" s="142">
        <v>0</v>
      </c>
      <c r="K607" s="142">
        <f t="shared" si="50"/>
        <v>0</v>
      </c>
      <c r="L607" s="142">
        <f t="shared" si="51"/>
        <v>13430340</v>
      </c>
    </row>
    <row r="608" spans="5:12" x14ac:dyDescent="0.35">
      <c r="E608" s="135">
        <v>595</v>
      </c>
      <c r="F608" s="135">
        <v>0</v>
      </c>
      <c r="G608" s="141">
        <f t="shared" si="47"/>
        <v>0</v>
      </c>
      <c r="H608" s="155">
        <f t="shared" si="48"/>
        <v>0</v>
      </c>
      <c r="I608" s="142">
        <f t="shared" si="49"/>
        <v>13430340</v>
      </c>
      <c r="J608" s="142">
        <v>0</v>
      </c>
      <c r="K608" s="142">
        <f t="shared" si="50"/>
        <v>0</v>
      </c>
      <c r="L608" s="142">
        <f t="shared" si="51"/>
        <v>13430340</v>
      </c>
    </row>
    <row r="609" spans="5:12" x14ac:dyDescent="0.35">
      <c r="E609" s="135">
        <v>596</v>
      </c>
      <c r="F609" s="135">
        <v>0</v>
      </c>
      <c r="G609" s="141">
        <f t="shared" si="47"/>
        <v>0</v>
      </c>
      <c r="H609" s="155">
        <f t="shared" si="48"/>
        <v>0</v>
      </c>
      <c r="I609" s="142">
        <f t="shared" si="49"/>
        <v>13430340</v>
      </c>
      <c r="J609" s="142">
        <v>0</v>
      </c>
      <c r="K609" s="142">
        <f t="shared" si="50"/>
        <v>0</v>
      </c>
      <c r="L609" s="142">
        <f t="shared" si="51"/>
        <v>13430340</v>
      </c>
    </row>
    <row r="610" spans="5:12" x14ac:dyDescent="0.35">
      <c r="E610" s="135">
        <v>597</v>
      </c>
      <c r="F610" s="135">
        <v>0</v>
      </c>
      <c r="G610" s="141">
        <f t="shared" si="47"/>
        <v>0</v>
      </c>
      <c r="H610" s="155">
        <f t="shared" si="48"/>
        <v>0</v>
      </c>
      <c r="I610" s="142">
        <f t="shared" si="49"/>
        <v>13430340</v>
      </c>
      <c r="J610" s="142">
        <v>0</v>
      </c>
      <c r="K610" s="142">
        <f t="shared" si="50"/>
        <v>0</v>
      </c>
      <c r="L610" s="142">
        <f t="shared" si="51"/>
        <v>13430340</v>
      </c>
    </row>
    <row r="611" spans="5:12" x14ac:dyDescent="0.35">
      <c r="E611" s="135">
        <v>598</v>
      </c>
      <c r="F611" s="135">
        <v>1</v>
      </c>
      <c r="G611" s="141">
        <f t="shared" si="47"/>
        <v>23.813582244547764</v>
      </c>
      <c r="H611" s="155">
        <f t="shared" si="48"/>
        <v>0</v>
      </c>
      <c r="I611" s="142">
        <f t="shared" si="49"/>
        <v>13430340</v>
      </c>
      <c r="J611" s="142">
        <v>0</v>
      </c>
      <c r="K611" s="142">
        <f t="shared" si="50"/>
        <v>136632.93323927111</v>
      </c>
      <c r="L611" s="142">
        <f t="shared" si="51"/>
        <v>13566972.933239272</v>
      </c>
    </row>
    <row r="612" spans="5:12" x14ac:dyDescent="0.35">
      <c r="E612" s="135">
        <v>599</v>
      </c>
      <c r="F612" s="135">
        <v>0</v>
      </c>
      <c r="G612" s="141">
        <f t="shared" si="47"/>
        <v>0</v>
      </c>
      <c r="H612" s="155">
        <f t="shared" si="48"/>
        <v>0</v>
      </c>
      <c r="I612" s="142">
        <f t="shared" si="49"/>
        <v>13430340</v>
      </c>
      <c r="J612" s="142">
        <v>0</v>
      </c>
      <c r="K612" s="142">
        <f t="shared" si="50"/>
        <v>0</v>
      </c>
      <c r="L612" s="142">
        <f t="shared" si="51"/>
        <v>13430340</v>
      </c>
    </row>
    <row r="613" spans="5:12" x14ac:dyDescent="0.35">
      <c r="E613" s="135">
        <v>600</v>
      </c>
      <c r="F613" s="135">
        <v>0</v>
      </c>
      <c r="G613" s="141">
        <f t="shared" si="47"/>
        <v>0</v>
      </c>
      <c r="H613" s="155">
        <f t="shared" si="48"/>
        <v>0</v>
      </c>
      <c r="I613" s="142">
        <f t="shared" si="49"/>
        <v>13430340</v>
      </c>
      <c r="J613" s="142">
        <v>0</v>
      </c>
      <c r="K613" s="142">
        <f t="shared" si="50"/>
        <v>0</v>
      </c>
      <c r="L613" s="142">
        <f t="shared" si="51"/>
        <v>13430340</v>
      </c>
    </row>
    <row r="614" spans="5:12" x14ac:dyDescent="0.35">
      <c r="E614" s="135">
        <v>601</v>
      </c>
      <c r="F614" s="135">
        <v>0</v>
      </c>
      <c r="G614" s="141">
        <f t="shared" si="47"/>
        <v>0</v>
      </c>
      <c r="H614" s="155">
        <f t="shared" si="48"/>
        <v>0</v>
      </c>
      <c r="I614" s="142">
        <f t="shared" si="49"/>
        <v>13430340</v>
      </c>
      <c r="J614" s="142">
        <v>0</v>
      </c>
      <c r="K614" s="142">
        <f t="shared" si="50"/>
        <v>0</v>
      </c>
      <c r="L614" s="142">
        <f t="shared" si="51"/>
        <v>13430340</v>
      </c>
    </row>
    <row r="615" spans="5:12" x14ac:dyDescent="0.35">
      <c r="E615" s="135">
        <v>602</v>
      </c>
      <c r="F615" s="135">
        <v>0</v>
      </c>
      <c r="G615" s="141">
        <f t="shared" si="47"/>
        <v>0</v>
      </c>
      <c r="H615" s="155">
        <f t="shared" si="48"/>
        <v>0</v>
      </c>
      <c r="I615" s="142">
        <f t="shared" si="49"/>
        <v>13430340</v>
      </c>
      <c r="J615" s="142">
        <v>0</v>
      </c>
      <c r="K615" s="142">
        <f t="shared" si="50"/>
        <v>0</v>
      </c>
      <c r="L615" s="142">
        <f t="shared" si="51"/>
        <v>13430340</v>
      </c>
    </row>
    <row r="616" spans="5:12" x14ac:dyDescent="0.35">
      <c r="E616" s="135">
        <v>603</v>
      </c>
      <c r="F616" s="135">
        <v>0</v>
      </c>
      <c r="G616" s="141">
        <f t="shared" si="47"/>
        <v>0</v>
      </c>
      <c r="H616" s="155">
        <f t="shared" si="48"/>
        <v>0</v>
      </c>
      <c r="I616" s="142">
        <f t="shared" si="49"/>
        <v>13430340</v>
      </c>
      <c r="J616" s="142">
        <v>0</v>
      </c>
      <c r="K616" s="142">
        <f t="shared" si="50"/>
        <v>0</v>
      </c>
      <c r="L616" s="142">
        <f t="shared" si="51"/>
        <v>13430340</v>
      </c>
    </row>
    <row r="617" spans="5:12" x14ac:dyDescent="0.35">
      <c r="E617" s="135">
        <v>604</v>
      </c>
      <c r="F617" s="135">
        <v>0</v>
      </c>
      <c r="G617" s="141">
        <f t="shared" si="47"/>
        <v>0</v>
      </c>
      <c r="H617" s="155">
        <f t="shared" si="48"/>
        <v>0</v>
      </c>
      <c r="I617" s="142">
        <f t="shared" si="49"/>
        <v>13430340</v>
      </c>
      <c r="J617" s="142">
        <v>0</v>
      </c>
      <c r="K617" s="142">
        <f t="shared" si="50"/>
        <v>0</v>
      </c>
      <c r="L617" s="142">
        <f t="shared" si="51"/>
        <v>13430340</v>
      </c>
    </row>
    <row r="618" spans="5:12" x14ac:dyDescent="0.35">
      <c r="E618" s="135">
        <v>605</v>
      </c>
      <c r="F618" s="135">
        <v>2</v>
      </c>
      <c r="G618" s="141">
        <f t="shared" si="47"/>
        <v>47.627164489095527</v>
      </c>
      <c r="H618" s="155">
        <f t="shared" si="48"/>
        <v>200</v>
      </c>
      <c r="I618" s="142">
        <f t="shared" si="49"/>
        <v>27930340</v>
      </c>
      <c r="J618" s="142">
        <v>0</v>
      </c>
      <c r="K618" s="142">
        <f t="shared" si="50"/>
        <v>273265.86647854222</v>
      </c>
      <c r="L618" s="142">
        <f t="shared" si="51"/>
        <v>28203605.866478544</v>
      </c>
    </row>
    <row r="619" spans="5:12" x14ac:dyDescent="0.35">
      <c r="E619" s="135">
        <v>606</v>
      </c>
      <c r="F619" s="135">
        <v>0</v>
      </c>
      <c r="G619" s="141">
        <f t="shared" si="47"/>
        <v>0</v>
      </c>
      <c r="H619" s="155">
        <f t="shared" si="48"/>
        <v>0</v>
      </c>
      <c r="I619" s="142">
        <f t="shared" si="49"/>
        <v>13430340</v>
      </c>
      <c r="J619" s="142">
        <v>0</v>
      </c>
      <c r="K619" s="142">
        <f t="shared" si="50"/>
        <v>0</v>
      </c>
      <c r="L619" s="142">
        <f t="shared" si="51"/>
        <v>13430340</v>
      </c>
    </row>
    <row r="620" spans="5:12" x14ac:dyDescent="0.35">
      <c r="E620" s="135">
        <v>607</v>
      </c>
      <c r="F620" s="135">
        <v>0</v>
      </c>
      <c r="G620" s="141">
        <f t="shared" si="47"/>
        <v>0</v>
      </c>
      <c r="H620" s="155">
        <f t="shared" si="48"/>
        <v>0</v>
      </c>
      <c r="I620" s="142">
        <f t="shared" si="49"/>
        <v>13430340</v>
      </c>
      <c r="J620" s="142">
        <v>0</v>
      </c>
      <c r="K620" s="142">
        <f t="shared" si="50"/>
        <v>0</v>
      </c>
      <c r="L620" s="142">
        <f t="shared" si="51"/>
        <v>13430340</v>
      </c>
    </row>
    <row r="621" spans="5:12" x14ac:dyDescent="0.35">
      <c r="E621" s="135">
        <v>608</v>
      </c>
      <c r="F621" s="135">
        <v>0</v>
      </c>
      <c r="G621" s="141">
        <f t="shared" si="47"/>
        <v>0</v>
      </c>
      <c r="H621" s="155">
        <f t="shared" si="48"/>
        <v>0</v>
      </c>
      <c r="I621" s="142">
        <f t="shared" si="49"/>
        <v>13430340</v>
      </c>
      <c r="J621" s="142">
        <v>0</v>
      </c>
      <c r="K621" s="142">
        <f t="shared" si="50"/>
        <v>0</v>
      </c>
      <c r="L621" s="142">
        <f t="shared" si="51"/>
        <v>13430340</v>
      </c>
    </row>
    <row r="622" spans="5:12" x14ac:dyDescent="0.35">
      <c r="E622" s="135">
        <v>609</v>
      </c>
      <c r="F622" s="135">
        <v>0</v>
      </c>
      <c r="G622" s="141">
        <f t="shared" si="47"/>
        <v>0</v>
      </c>
      <c r="H622" s="155">
        <f t="shared" si="48"/>
        <v>0</v>
      </c>
      <c r="I622" s="142">
        <f t="shared" si="49"/>
        <v>13430340</v>
      </c>
      <c r="J622" s="142">
        <v>0</v>
      </c>
      <c r="K622" s="142">
        <f t="shared" si="50"/>
        <v>0</v>
      </c>
      <c r="L622" s="142">
        <f t="shared" si="51"/>
        <v>13430340</v>
      </c>
    </row>
    <row r="623" spans="5:12" x14ac:dyDescent="0.35">
      <c r="E623" s="135">
        <v>610</v>
      </c>
      <c r="F623" s="135">
        <v>0</v>
      </c>
      <c r="G623" s="141">
        <f t="shared" si="47"/>
        <v>0</v>
      </c>
      <c r="H623" s="155">
        <f t="shared" si="48"/>
        <v>0</v>
      </c>
      <c r="I623" s="142">
        <f t="shared" si="49"/>
        <v>13430340</v>
      </c>
      <c r="J623" s="142">
        <v>0</v>
      </c>
      <c r="K623" s="142">
        <f t="shared" si="50"/>
        <v>0</v>
      </c>
      <c r="L623" s="142">
        <f t="shared" si="51"/>
        <v>13430340</v>
      </c>
    </row>
    <row r="624" spans="5:12" x14ac:dyDescent="0.35">
      <c r="E624" s="135">
        <v>611</v>
      </c>
      <c r="F624" s="135">
        <v>0</v>
      </c>
      <c r="G624" s="141">
        <f t="shared" si="47"/>
        <v>0</v>
      </c>
      <c r="H624" s="155">
        <f t="shared" si="48"/>
        <v>0</v>
      </c>
      <c r="I624" s="142">
        <f t="shared" si="49"/>
        <v>13430340</v>
      </c>
      <c r="J624" s="142">
        <v>0</v>
      </c>
      <c r="K624" s="142">
        <f t="shared" si="50"/>
        <v>0</v>
      </c>
      <c r="L624" s="142">
        <f t="shared" si="51"/>
        <v>13430340</v>
      </c>
    </row>
    <row r="625" spans="5:12" x14ac:dyDescent="0.35">
      <c r="E625" s="135">
        <v>612</v>
      </c>
      <c r="F625" s="135">
        <v>1</v>
      </c>
      <c r="G625" s="141">
        <f t="shared" si="47"/>
        <v>23.813582244547764</v>
      </c>
      <c r="H625" s="155">
        <f t="shared" si="48"/>
        <v>0</v>
      </c>
      <c r="I625" s="142">
        <f t="shared" si="49"/>
        <v>13430340</v>
      </c>
      <c r="J625" s="142">
        <v>0</v>
      </c>
      <c r="K625" s="142">
        <f t="shared" si="50"/>
        <v>136632.93323927111</v>
      </c>
      <c r="L625" s="142">
        <f t="shared" si="51"/>
        <v>13566972.933239272</v>
      </c>
    </row>
    <row r="626" spans="5:12" x14ac:dyDescent="0.35">
      <c r="E626" s="135">
        <v>613</v>
      </c>
      <c r="F626" s="135">
        <v>0</v>
      </c>
      <c r="G626" s="141">
        <f t="shared" si="47"/>
        <v>0</v>
      </c>
      <c r="H626" s="155">
        <f t="shared" si="48"/>
        <v>0</v>
      </c>
      <c r="I626" s="142">
        <f t="shared" si="49"/>
        <v>13430340</v>
      </c>
      <c r="J626" s="142">
        <v>0</v>
      </c>
      <c r="K626" s="142">
        <f t="shared" si="50"/>
        <v>0</v>
      </c>
      <c r="L626" s="142">
        <f t="shared" si="51"/>
        <v>13430340</v>
      </c>
    </row>
    <row r="627" spans="5:12" x14ac:dyDescent="0.35">
      <c r="E627" s="135">
        <v>614</v>
      </c>
      <c r="F627" s="135">
        <v>0</v>
      </c>
      <c r="G627" s="141">
        <f t="shared" si="47"/>
        <v>0</v>
      </c>
      <c r="H627" s="155">
        <f t="shared" si="48"/>
        <v>0</v>
      </c>
      <c r="I627" s="142">
        <f t="shared" si="49"/>
        <v>13430340</v>
      </c>
      <c r="J627" s="142">
        <v>0</v>
      </c>
      <c r="K627" s="142">
        <f t="shared" si="50"/>
        <v>0</v>
      </c>
      <c r="L627" s="142">
        <f t="shared" si="51"/>
        <v>13430340</v>
      </c>
    </row>
    <row r="628" spans="5:12" x14ac:dyDescent="0.35">
      <c r="E628" s="135">
        <v>615</v>
      </c>
      <c r="F628" s="135">
        <v>0</v>
      </c>
      <c r="G628" s="141">
        <f t="shared" si="47"/>
        <v>0</v>
      </c>
      <c r="H628" s="155">
        <f t="shared" si="48"/>
        <v>0</v>
      </c>
      <c r="I628" s="142">
        <f t="shared" si="49"/>
        <v>13430340</v>
      </c>
      <c r="J628" s="142">
        <v>0</v>
      </c>
      <c r="K628" s="142">
        <f t="shared" si="50"/>
        <v>0</v>
      </c>
      <c r="L628" s="142">
        <f t="shared" si="51"/>
        <v>13430340</v>
      </c>
    </row>
    <row r="629" spans="5:12" x14ac:dyDescent="0.35">
      <c r="E629" s="135">
        <v>616</v>
      </c>
      <c r="F629" s="135">
        <v>0</v>
      </c>
      <c r="G629" s="141">
        <f t="shared" si="47"/>
        <v>0</v>
      </c>
      <c r="H629" s="155">
        <f t="shared" si="48"/>
        <v>0</v>
      </c>
      <c r="I629" s="142">
        <f t="shared" si="49"/>
        <v>13430340</v>
      </c>
      <c r="J629" s="142">
        <v>0</v>
      </c>
      <c r="K629" s="142">
        <f t="shared" si="50"/>
        <v>0</v>
      </c>
      <c r="L629" s="142">
        <f t="shared" si="51"/>
        <v>13430340</v>
      </c>
    </row>
    <row r="630" spans="5:12" x14ac:dyDescent="0.35">
      <c r="E630" s="135">
        <v>617</v>
      </c>
      <c r="F630" s="135">
        <v>0</v>
      </c>
      <c r="G630" s="141">
        <f t="shared" si="47"/>
        <v>0</v>
      </c>
      <c r="H630" s="155">
        <f t="shared" si="48"/>
        <v>0</v>
      </c>
      <c r="I630" s="142">
        <f t="shared" si="49"/>
        <v>13430340</v>
      </c>
      <c r="J630" s="142">
        <v>0</v>
      </c>
      <c r="K630" s="142">
        <f t="shared" si="50"/>
        <v>0</v>
      </c>
      <c r="L630" s="142">
        <f t="shared" si="51"/>
        <v>13430340</v>
      </c>
    </row>
    <row r="631" spans="5:12" x14ac:dyDescent="0.35">
      <c r="E631" s="135">
        <v>618</v>
      </c>
      <c r="F631" s="135">
        <v>0</v>
      </c>
      <c r="G631" s="141">
        <f t="shared" si="47"/>
        <v>0</v>
      </c>
      <c r="H631" s="155">
        <f t="shared" si="48"/>
        <v>0</v>
      </c>
      <c r="I631" s="142">
        <f t="shared" si="49"/>
        <v>13430340</v>
      </c>
      <c r="J631" s="142">
        <v>0</v>
      </c>
      <c r="K631" s="142">
        <f t="shared" si="50"/>
        <v>0</v>
      </c>
      <c r="L631" s="142">
        <f t="shared" si="51"/>
        <v>13430340</v>
      </c>
    </row>
    <row r="632" spans="5:12" x14ac:dyDescent="0.35">
      <c r="E632" s="135">
        <v>619</v>
      </c>
      <c r="F632" s="135">
        <v>0</v>
      </c>
      <c r="G632" s="141">
        <f t="shared" si="47"/>
        <v>0</v>
      </c>
      <c r="H632" s="155">
        <f t="shared" si="48"/>
        <v>0</v>
      </c>
      <c r="I632" s="142">
        <f t="shared" si="49"/>
        <v>13430340</v>
      </c>
      <c r="J632" s="142">
        <v>0</v>
      </c>
      <c r="K632" s="142">
        <f t="shared" si="50"/>
        <v>0</v>
      </c>
      <c r="L632" s="142">
        <f t="shared" si="51"/>
        <v>13430340</v>
      </c>
    </row>
    <row r="633" spans="5:12" x14ac:dyDescent="0.35">
      <c r="E633" s="135">
        <v>620</v>
      </c>
      <c r="F633" s="135">
        <v>0</v>
      </c>
      <c r="G633" s="141">
        <f t="shared" si="47"/>
        <v>0</v>
      </c>
      <c r="H633" s="155">
        <f t="shared" si="48"/>
        <v>0</v>
      </c>
      <c r="I633" s="142">
        <f t="shared" si="49"/>
        <v>13430340</v>
      </c>
      <c r="J633" s="142">
        <v>0</v>
      </c>
      <c r="K633" s="142">
        <f t="shared" si="50"/>
        <v>0</v>
      </c>
      <c r="L633" s="142">
        <f t="shared" si="51"/>
        <v>13430340</v>
      </c>
    </row>
    <row r="634" spans="5:12" x14ac:dyDescent="0.35">
      <c r="E634" s="135">
        <v>621</v>
      </c>
      <c r="F634" s="135">
        <v>0</v>
      </c>
      <c r="G634" s="141">
        <f t="shared" si="47"/>
        <v>0</v>
      </c>
      <c r="H634" s="155">
        <f t="shared" si="48"/>
        <v>0</v>
      </c>
      <c r="I634" s="142">
        <f t="shared" si="49"/>
        <v>13430340</v>
      </c>
      <c r="J634" s="142">
        <v>0</v>
      </c>
      <c r="K634" s="142">
        <f t="shared" si="50"/>
        <v>0</v>
      </c>
      <c r="L634" s="142">
        <f t="shared" si="51"/>
        <v>13430340</v>
      </c>
    </row>
    <row r="635" spans="5:12" x14ac:dyDescent="0.35">
      <c r="E635" s="135">
        <v>622</v>
      </c>
      <c r="F635" s="135">
        <v>0</v>
      </c>
      <c r="G635" s="141">
        <f t="shared" si="47"/>
        <v>0</v>
      </c>
      <c r="H635" s="155">
        <f t="shared" si="48"/>
        <v>0</v>
      </c>
      <c r="I635" s="142">
        <f t="shared" si="49"/>
        <v>13430340</v>
      </c>
      <c r="J635" s="142">
        <v>0</v>
      </c>
      <c r="K635" s="142">
        <f t="shared" si="50"/>
        <v>0</v>
      </c>
      <c r="L635" s="142">
        <f t="shared" si="51"/>
        <v>13430340</v>
      </c>
    </row>
    <row r="636" spans="5:12" x14ac:dyDescent="0.35">
      <c r="E636" s="135">
        <v>623</v>
      </c>
      <c r="F636" s="135">
        <v>0</v>
      </c>
      <c r="G636" s="141">
        <f t="shared" si="47"/>
        <v>0</v>
      </c>
      <c r="H636" s="155">
        <f t="shared" si="48"/>
        <v>0</v>
      </c>
      <c r="I636" s="142">
        <f t="shared" si="49"/>
        <v>13430340</v>
      </c>
      <c r="J636" s="142">
        <v>0</v>
      </c>
      <c r="K636" s="142">
        <f t="shared" si="50"/>
        <v>0</v>
      </c>
      <c r="L636" s="142">
        <f t="shared" si="51"/>
        <v>13430340</v>
      </c>
    </row>
    <row r="637" spans="5:12" x14ac:dyDescent="0.35">
      <c r="E637" s="135">
        <v>624</v>
      </c>
      <c r="F637" s="135">
        <v>0</v>
      </c>
      <c r="G637" s="141">
        <f t="shared" si="47"/>
        <v>0</v>
      </c>
      <c r="H637" s="155">
        <f t="shared" si="48"/>
        <v>0</v>
      </c>
      <c r="I637" s="142">
        <f t="shared" si="49"/>
        <v>13430340</v>
      </c>
      <c r="J637" s="142">
        <v>0</v>
      </c>
      <c r="K637" s="142">
        <f t="shared" si="50"/>
        <v>0</v>
      </c>
      <c r="L637" s="142">
        <f t="shared" si="51"/>
        <v>13430340</v>
      </c>
    </row>
    <row r="638" spans="5:12" x14ac:dyDescent="0.35">
      <c r="E638" s="135">
        <v>625</v>
      </c>
      <c r="F638" s="135">
        <v>1</v>
      </c>
      <c r="G638" s="141">
        <f t="shared" si="47"/>
        <v>23.813582244547764</v>
      </c>
      <c r="H638" s="155">
        <f t="shared" si="48"/>
        <v>0</v>
      </c>
      <c r="I638" s="142">
        <f t="shared" si="49"/>
        <v>13430340</v>
      </c>
      <c r="J638" s="142">
        <v>0</v>
      </c>
      <c r="K638" s="142">
        <f t="shared" si="50"/>
        <v>136632.93323927111</v>
      </c>
      <c r="L638" s="142">
        <f t="shared" si="51"/>
        <v>13566972.933239272</v>
      </c>
    </row>
    <row r="639" spans="5:12" x14ac:dyDescent="0.35">
      <c r="E639" s="135">
        <v>626</v>
      </c>
      <c r="F639" s="135">
        <v>0</v>
      </c>
      <c r="G639" s="141">
        <f t="shared" si="47"/>
        <v>0</v>
      </c>
      <c r="H639" s="155">
        <f t="shared" si="48"/>
        <v>0</v>
      </c>
      <c r="I639" s="142">
        <f t="shared" si="49"/>
        <v>13430340</v>
      </c>
      <c r="J639" s="142">
        <v>0</v>
      </c>
      <c r="K639" s="142">
        <f t="shared" si="50"/>
        <v>0</v>
      </c>
      <c r="L639" s="142">
        <f t="shared" si="51"/>
        <v>13430340</v>
      </c>
    </row>
    <row r="640" spans="5:12" x14ac:dyDescent="0.35">
      <c r="E640" s="135">
        <v>627</v>
      </c>
      <c r="F640" s="135">
        <v>0</v>
      </c>
      <c r="G640" s="141">
        <f t="shared" si="47"/>
        <v>0</v>
      </c>
      <c r="H640" s="155">
        <f t="shared" si="48"/>
        <v>0</v>
      </c>
      <c r="I640" s="142">
        <f t="shared" si="49"/>
        <v>13430340</v>
      </c>
      <c r="J640" s="142">
        <v>0</v>
      </c>
      <c r="K640" s="142">
        <f t="shared" si="50"/>
        <v>0</v>
      </c>
      <c r="L640" s="142">
        <f t="shared" si="51"/>
        <v>13430340</v>
      </c>
    </row>
    <row r="641" spans="5:12" x14ac:dyDescent="0.35">
      <c r="E641" s="135">
        <v>628</v>
      </c>
      <c r="F641" s="135">
        <v>0</v>
      </c>
      <c r="G641" s="141">
        <f t="shared" si="47"/>
        <v>0</v>
      </c>
      <c r="H641" s="155">
        <f t="shared" si="48"/>
        <v>0</v>
      </c>
      <c r="I641" s="142">
        <f t="shared" si="49"/>
        <v>13430340</v>
      </c>
      <c r="J641" s="142">
        <v>0</v>
      </c>
      <c r="K641" s="142">
        <f t="shared" si="50"/>
        <v>0</v>
      </c>
      <c r="L641" s="142">
        <f t="shared" si="51"/>
        <v>13430340</v>
      </c>
    </row>
    <row r="642" spans="5:12" x14ac:dyDescent="0.35">
      <c r="E642" s="135">
        <v>629</v>
      </c>
      <c r="F642" s="135">
        <v>0</v>
      </c>
      <c r="G642" s="141">
        <f t="shared" si="47"/>
        <v>0</v>
      </c>
      <c r="H642" s="155">
        <f t="shared" si="48"/>
        <v>0</v>
      </c>
      <c r="I642" s="142">
        <f t="shared" si="49"/>
        <v>13430340</v>
      </c>
      <c r="J642" s="142">
        <v>0</v>
      </c>
      <c r="K642" s="142">
        <f t="shared" si="50"/>
        <v>0</v>
      </c>
      <c r="L642" s="142">
        <f t="shared" si="51"/>
        <v>13430340</v>
      </c>
    </row>
    <row r="643" spans="5:12" x14ac:dyDescent="0.35">
      <c r="E643" s="135">
        <v>630</v>
      </c>
      <c r="F643" s="135">
        <v>0</v>
      </c>
      <c r="G643" s="141">
        <f t="shared" si="47"/>
        <v>0</v>
      </c>
      <c r="H643" s="155">
        <f t="shared" si="48"/>
        <v>0</v>
      </c>
      <c r="I643" s="142">
        <f t="shared" si="49"/>
        <v>13430340</v>
      </c>
      <c r="J643" s="142">
        <v>0</v>
      </c>
      <c r="K643" s="142">
        <f t="shared" si="50"/>
        <v>0</v>
      </c>
      <c r="L643" s="142">
        <f t="shared" si="51"/>
        <v>13430340</v>
      </c>
    </row>
    <row r="644" spans="5:12" x14ac:dyDescent="0.35">
      <c r="E644" s="135">
        <v>631</v>
      </c>
      <c r="F644" s="135">
        <v>0</v>
      </c>
      <c r="G644" s="141">
        <f t="shared" si="47"/>
        <v>0</v>
      </c>
      <c r="H644" s="155">
        <f t="shared" si="48"/>
        <v>0</v>
      </c>
      <c r="I644" s="142">
        <f t="shared" si="49"/>
        <v>13430340</v>
      </c>
      <c r="J644" s="142">
        <v>0</v>
      </c>
      <c r="K644" s="142">
        <f t="shared" si="50"/>
        <v>0</v>
      </c>
      <c r="L644" s="142">
        <f t="shared" si="51"/>
        <v>13430340</v>
      </c>
    </row>
    <row r="645" spans="5:12" x14ac:dyDescent="0.35">
      <c r="E645" s="135">
        <v>632</v>
      </c>
      <c r="F645" s="135">
        <v>0</v>
      </c>
      <c r="G645" s="141">
        <f t="shared" si="47"/>
        <v>0</v>
      </c>
      <c r="H645" s="155">
        <f t="shared" si="48"/>
        <v>0</v>
      </c>
      <c r="I645" s="142">
        <f t="shared" si="49"/>
        <v>13430340</v>
      </c>
      <c r="J645" s="142">
        <v>0</v>
      </c>
      <c r="K645" s="142">
        <f t="shared" si="50"/>
        <v>0</v>
      </c>
      <c r="L645" s="142">
        <f t="shared" si="51"/>
        <v>13430340</v>
      </c>
    </row>
    <row r="646" spans="5:12" x14ac:dyDescent="0.35">
      <c r="E646" s="135">
        <v>633</v>
      </c>
      <c r="F646" s="135">
        <v>0</v>
      </c>
      <c r="G646" s="141">
        <f t="shared" si="47"/>
        <v>0</v>
      </c>
      <c r="H646" s="155">
        <f t="shared" si="48"/>
        <v>0</v>
      </c>
      <c r="I646" s="142">
        <f t="shared" si="49"/>
        <v>13430340</v>
      </c>
      <c r="J646" s="142">
        <v>0</v>
      </c>
      <c r="K646" s="142">
        <f t="shared" si="50"/>
        <v>0</v>
      </c>
      <c r="L646" s="142">
        <f t="shared" si="51"/>
        <v>13430340</v>
      </c>
    </row>
    <row r="647" spans="5:12" x14ac:dyDescent="0.35">
      <c r="E647" s="135">
        <v>634</v>
      </c>
      <c r="F647" s="135">
        <v>0</v>
      </c>
      <c r="G647" s="141">
        <f t="shared" si="47"/>
        <v>0</v>
      </c>
      <c r="H647" s="155">
        <f t="shared" si="48"/>
        <v>0</v>
      </c>
      <c r="I647" s="142">
        <f t="shared" si="49"/>
        <v>13430340</v>
      </c>
      <c r="J647" s="142">
        <v>0</v>
      </c>
      <c r="K647" s="142">
        <f t="shared" si="50"/>
        <v>0</v>
      </c>
      <c r="L647" s="142">
        <f t="shared" si="51"/>
        <v>13430340</v>
      </c>
    </row>
    <row r="648" spans="5:12" x14ac:dyDescent="0.35">
      <c r="E648" s="135">
        <v>635</v>
      </c>
      <c r="F648" s="135">
        <v>0</v>
      </c>
      <c r="G648" s="141">
        <f t="shared" si="47"/>
        <v>0</v>
      </c>
      <c r="H648" s="155">
        <f t="shared" si="48"/>
        <v>0</v>
      </c>
      <c r="I648" s="142">
        <f t="shared" si="49"/>
        <v>13430340</v>
      </c>
      <c r="J648" s="142">
        <v>0</v>
      </c>
      <c r="K648" s="142">
        <f t="shared" si="50"/>
        <v>0</v>
      </c>
      <c r="L648" s="142">
        <f t="shared" si="51"/>
        <v>13430340</v>
      </c>
    </row>
    <row r="649" spans="5:12" x14ac:dyDescent="0.35">
      <c r="E649" s="135">
        <v>636</v>
      </c>
      <c r="F649" s="135">
        <v>0</v>
      </c>
      <c r="G649" s="141">
        <f t="shared" si="47"/>
        <v>0</v>
      </c>
      <c r="H649" s="155">
        <f t="shared" si="48"/>
        <v>0</v>
      </c>
      <c r="I649" s="142">
        <f t="shared" si="49"/>
        <v>13430340</v>
      </c>
      <c r="J649" s="142">
        <v>0</v>
      </c>
      <c r="K649" s="142">
        <f t="shared" si="50"/>
        <v>0</v>
      </c>
      <c r="L649" s="142">
        <f t="shared" si="51"/>
        <v>13430340</v>
      </c>
    </row>
    <row r="650" spans="5:12" x14ac:dyDescent="0.35">
      <c r="E650" s="135">
        <v>637</v>
      </c>
      <c r="F650" s="135">
        <v>0</v>
      </c>
      <c r="G650" s="141">
        <f t="shared" si="47"/>
        <v>0</v>
      </c>
      <c r="H650" s="155">
        <f t="shared" si="48"/>
        <v>0</v>
      </c>
      <c r="I650" s="142">
        <f t="shared" si="49"/>
        <v>13430340</v>
      </c>
      <c r="J650" s="142">
        <v>0</v>
      </c>
      <c r="K650" s="142">
        <f t="shared" si="50"/>
        <v>0</v>
      </c>
      <c r="L650" s="142">
        <f t="shared" si="51"/>
        <v>13430340</v>
      </c>
    </row>
    <row r="651" spans="5:12" x14ac:dyDescent="0.35">
      <c r="E651" s="135">
        <v>638</v>
      </c>
      <c r="F651" s="135">
        <v>0</v>
      </c>
      <c r="G651" s="141">
        <f t="shared" si="47"/>
        <v>0</v>
      </c>
      <c r="H651" s="155">
        <f t="shared" si="48"/>
        <v>0</v>
      </c>
      <c r="I651" s="142">
        <f t="shared" si="49"/>
        <v>13430340</v>
      </c>
      <c r="J651" s="142">
        <v>0</v>
      </c>
      <c r="K651" s="142">
        <f t="shared" si="50"/>
        <v>0</v>
      </c>
      <c r="L651" s="142">
        <f t="shared" si="51"/>
        <v>13430340</v>
      </c>
    </row>
    <row r="652" spans="5:12" x14ac:dyDescent="0.35">
      <c r="E652" s="135">
        <v>639</v>
      </c>
      <c r="F652" s="135">
        <v>0</v>
      </c>
      <c r="G652" s="141">
        <f t="shared" si="47"/>
        <v>0</v>
      </c>
      <c r="H652" s="155">
        <f t="shared" si="48"/>
        <v>0</v>
      </c>
      <c r="I652" s="142">
        <f t="shared" si="49"/>
        <v>13430340</v>
      </c>
      <c r="J652" s="142">
        <v>0</v>
      </c>
      <c r="K652" s="142">
        <f t="shared" si="50"/>
        <v>0</v>
      </c>
      <c r="L652" s="142">
        <f t="shared" si="51"/>
        <v>13430340</v>
      </c>
    </row>
    <row r="653" spans="5:12" x14ac:dyDescent="0.35">
      <c r="E653" s="135">
        <v>640</v>
      </c>
      <c r="F653" s="135">
        <v>0</v>
      </c>
      <c r="G653" s="141">
        <f t="shared" si="47"/>
        <v>0</v>
      </c>
      <c r="H653" s="155">
        <f t="shared" si="48"/>
        <v>0</v>
      </c>
      <c r="I653" s="142">
        <f t="shared" si="49"/>
        <v>13430340</v>
      </c>
      <c r="J653" s="142">
        <v>0</v>
      </c>
      <c r="K653" s="142">
        <f t="shared" si="50"/>
        <v>0</v>
      </c>
      <c r="L653" s="142">
        <f t="shared" si="51"/>
        <v>13430340</v>
      </c>
    </row>
    <row r="654" spans="5:12" x14ac:dyDescent="0.35">
      <c r="E654" s="135">
        <v>641</v>
      </c>
      <c r="F654" s="135">
        <v>0</v>
      </c>
      <c r="G654" s="141">
        <f t="shared" ref="G654:G717" si="52">F654*$C$10</f>
        <v>0</v>
      </c>
      <c r="H654" s="155">
        <f t="shared" ref="H654:H717" si="53">IF(F654 &gt; 1,$C$14*20000,0)</f>
        <v>0</v>
      </c>
      <c r="I654" s="142">
        <f t="shared" ref="I654:I717" si="54">IF(F654 &gt; 1,$C$5+$G$2,$G$2)</f>
        <v>13430340</v>
      </c>
      <c r="J654" s="142">
        <v>0</v>
      </c>
      <c r="K654" s="142">
        <f t="shared" ref="K654:K717" si="55">F654*$C$6</f>
        <v>0</v>
      </c>
      <c r="L654" s="142">
        <f t="shared" ref="L654:L717" si="56">J654+I654+K654</f>
        <v>13430340</v>
      </c>
    </row>
    <row r="655" spans="5:12" x14ac:dyDescent="0.35">
      <c r="E655" s="135">
        <v>642</v>
      </c>
      <c r="F655" s="135">
        <v>0</v>
      </c>
      <c r="G655" s="141">
        <f t="shared" si="52"/>
        <v>0</v>
      </c>
      <c r="H655" s="155">
        <f t="shared" si="53"/>
        <v>0</v>
      </c>
      <c r="I655" s="142">
        <f t="shared" si="54"/>
        <v>13430340</v>
      </c>
      <c r="J655" s="142">
        <v>0</v>
      </c>
      <c r="K655" s="142">
        <f t="shared" si="55"/>
        <v>0</v>
      </c>
      <c r="L655" s="142">
        <f t="shared" si="56"/>
        <v>13430340</v>
      </c>
    </row>
    <row r="656" spans="5:12" x14ac:dyDescent="0.35">
      <c r="E656" s="135">
        <v>643</v>
      </c>
      <c r="F656" s="135">
        <v>0</v>
      </c>
      <c r="G656" s="141">
        <f t="shared" si="52"/>
        <v>0</v>
      </c>
      <c r="H656" s="155">
        <f t="shared" si="53"/>
        <v>0</v>
      </c>
      <c r="I656" s="142">
        <f t="shared" si="54"/>
        <v>13430340</v>
      </c>
      <c r="J656" s="142">
        <v>0</v>
      </c>
      <c r="K656" s="142">
        <f t="shared" si="55"/>
        <v>0</v>
      </c>
      <c r="L656" s="142">
        <f t="shared" si="56"/>
        <v>13430340</v>
      </c>
    </row>
    <row r="657" spans="5:12" x14ac:dyDescent="0.35">
      <c r="E657" s="135">
        <v>644</v>
      </c>
      <c r="F657" s="135">
        <v>1</v>
      </c>
      <c r="G657" s="141">
        <f t="shared" si="52"/>
        <v>23.813582244547764</v>
      </c>
      <c r="H657" s="155">
        <f t="shared" si="53"/>
        <v>0</v>
      </c>
      <c r="I657" s="142">
        <f t="shared" si="54"/>
        <v>13430340</v>
      </c>
      <c r="J657" s="142">
        <v>0</v>
      </c>
      <c r="K657" s="142">
        <f t="shared" si="55"/>
        <v>136632.93323927111</v>
      </c>
      <c r="L657" s="142">
        <f t="shared" si="56"/>
        <v>13566972.933239272</v>
      </c>
    </row>
    <row r="658" spans="5:12" x14ac:dyDescent="0.35">
      <c r="E658" s="135">
        <v>645</v>
      </c>
      <c r="F658" s="135">
        <v>0</v>
      </c>
      <c r="G658" s="141">
        <f t="shared" si="52"/>
        <v>0</v>
      </c>
      <c r="H658" s="155">
        <f t="shared" si="53"/>
        <v>0</v>
      </c>
      <c r="I658" s="142">
        <f t="shared" si="54"/>
        <v>13430340</v>
      </c>
      <c r="J658" s="142">
        <v>0</v>
      </c>
      <c r="K658" s="142">
        <f t="shared" si="55"/>
        <v>0</v>
      </c>
      <c r="L658" s="142">
        <f t="shared" si="56"/>
        <v>13430340</v>
      </c>
    </row>
    <row r="659" spans="5:12" x14ac:dyDescent="0.35">
      <c r="E659" s="135">
        <v>646</v>
      </c>
      <c r="F659" s="135">
        <v>1</v>
      </c>
      <c r="G659" s="141">
        <f t="shared" si="52"/>
        <v>23.813582244547764</v>
      </c>
      <c r="H659" s="155">
        <f t="shared" si="53"/>
        <v>0</v>
      </c>
      <c r="I659" s="142">
        <f t="shared" si="54"/>
        <v>13430340</v>
      </c>
      <c r="J659" s="142">
        <v>0</v>
      </c>
      <c r="K659" s="142">
        <f t="shared" si="55"/>
        <v>136632.93323927111</v>
      </c>
      <c r="L659" s="142">
        <f t="shared" si="56"/>
        <v>13566972.933239272</v>
      </c>
    </row>
    <row r="660" spans="5:12" x14ac:dyDescent="0.35">
      <c r="E660" s="135">
        <v>647</v>
      </c>
      <c r="F660" s="135">
        <v>0</v>
      </c>
      <c r="G660" s="141">
        <f t="shared" si="52"/>
        <v>0</v>
      </c>
      <c r="H660" s="155">
        <f t="shared" si="53"/>
        <v>0</v>
      </c>
      <c r="I660" s="142">
        <f t="shared" si="54"/>
        <v>13430340</v>
      </c>
      <c r="J660" s="142">
        <v>0</v>
      </c>
      <c r="K660" s="142">
        <f t="shared" si="55"/>
        <v>0</v>
      </c>
      <c r="L660" s="142">
        <f t="shared" si="56"/>
        <v>13430340</v>
      </c>
    </row>
    <row r="661" spans="5:12" x14ac:dyDescent="0.35">
      <c r="E661" s="135">
        <v>648</v>
      </c>
      <c r="F661" s="135">
        <v>0</v>
      </c>
      <c r="G661" s="141">
        <f t="shared" si="52"/>
        <v>0</v>
      </c>
      <c r="H661" s="155">
        <f t="shared" si="53"/>
        <v>0</v>
      </c>
      <c r="I661" s="142">
        <f t="shared" si="54"/>
        <v>13430340</v>
      </c>
      <c r="J661" s="142">
        <v>0</v>
      </c>
      <c r="K661" s="142">
        <f t="shared" si="55"/>
        <v>0</v>
      </c>
      <c r="L661" s="142">
        <f t="shared" si="56"/>
        <v>13430340</v>
      </c>
    </row>
    <row r="662" spans="5:12" x14ac:dyDescent="0.35">
      <c r="E662" s="135">
        <v>649</v>
      </c>
      <c r="F662" s="135">
        <v>0</v>
      </c>
      <c r="G662" s="141">
        <f t="shared" si="52"/>
        <v>0</v>
      </c>
      <c r="H662" s="155">
        <f t="shared" si="53"/>
        <v>0</v>
      </c>
      <c r="I662" s="142">
        <f t="shared" si="54"/>
        <v>13430340</v>
      </c>
      <c r="J662" s="142">
        <v>0</v>
      </c>
      <c r="K662" s="142">
        <f t="shared" si="55"/>
        <v>0</v>
      </c>
      <c r="L662" s="142">
        <f t="shared" si="56"/>
        <v>13430340</v>
      </c>
    </row>
    <row r="663" spans="5:12" x14ac:dyDescent="0.35">
      <c r="E663" s="135">
        <v>650</v>
      </c>
      <c r="F663" s="135">
        <v>0</v>
      </c>
      <c r="G663" s="141">
        <f t="shared" si="52"/>
        <v>0</v>
      </c>
      <c r="H663" s="155">
        <f t="shared" si="53"/>
        <v>0</v>
      </c>
      <c r="I663" s="142">
        <f t="shared" si="54"/>
        <v>13430340</v>
      </c>
      <c r="J663" s="142">
        <v>0</v>
      </c>
      <c r="K663" s="142">
        <f t="shared" si="55"/>
        <v>0</v>
      </c>
      <c r="L663" s="142">
        <f t="shared" si="56"/>
        <v>13430340</v>
      </c>
    </row>
    <row r="664" spans="5:12" x14ac:dyDescent="0.35">
      <c r="E664" s="135">
        <v>651</v>
      </c>
      <c r="F664" s="135">
        <v>0</v>
      </c>
      <c r="G664" s="141">
        <f t="shared" si="52"/>
        <v>0</v>
      </c>
      <c r="H664" s="155">
        <f t="shared" si="53"/>
        <v>0</v>
      </c>
      <c r="I664" s="142">
        <f t="shared" si="54"/>
        <v>13430340</v>
      </c>
      <c r="J664" s="142">
        <v>0</v>
      </c>
      <c r="K664" s="142">
        <f t="shared" si="55"/>
        <v>0</v>
      </c>
      <c r="L664" s="142">
        <f t="shared" si="56"/>
        <v>13430340</v>
      </c>
    </row>
    <row r="665" spans="5:12" x14ac:dyDescent="0.35">
      <c r="E665" s="135">
        <v>652</v>
      </c>
      <c r="F665" s="135">
        <v>0</v>
      </c>
      <c r="G665" s="141">
        <f t="shared" si="52"/>
        <v>0</v>
      </c>
      <c r="H665" s="155">
        <f t="shared" si="53"/>
        <v>0</v>
      </c>
      <c r="I665" s="142">
        <f t="shared" si="54"/>
        <v>13430340</v>
      </c>
      <c r="J665" s="142">
        <v>0</v>
      </c>
      <c r="K665" s="142">
        <f t="shared" si="55"/>
        <v>0</v>
      </c>
      <c r="L665" s="142">
        <f t="shared" si="56"/>
        <v>13430340</v>
      </c>
    </row>
    <row r="666" spans="5:12" x14ac:dyDescent="0.35">
      <c r="E666" s="135">
        <v>653</v>
      </c>
      <c r="F666" s="135">
        <v>0</v>
      </c>
      <c r="G666" s="141">
        <f t="shared" si="52"/>
        <v>0</v>
      </c>
      <c r="H666" s="155">
        <f t="shared" si="53"/>
        <v>0</v>
      </c>
      <c r="I666" s="142">
        <f t="shared" si="54"/>
        <v>13430340</v>
      </c>
      <c r="J666" s="142">
        <v>0</v>
      </c>
      <c r="K666" s="142">
        <f t="shared" si="55"/>
        <v>0</v>
      </c>
      <c r="L666" s="142">
        <f t="shared" si="56"/>
        <v>13430340</v>
      </c>
    </row>
    <row r="667" spans="5:12" x14ac:dyDescent="0.35">
      <c r="E667" s="135">
        <v>654</v>
      </c>
      <c r="F667" s="135">
        <v>0</v>
      </c>
      <c r="G667" s="141">
        <f t="shared" si="52"/>
        <v>0</v>
      </c>
      <c r="H667" s="155">
        <f t="shared" si="53"/>
        <v>0</v>
      </c>
      <c r="I667" s="142">
        <f t="shared" si="54"/>
        <v>13430340</v>
      </c>
      <c r="J667" s="142">
        <v>0</v>
      </c>
      <c r="K667" s="142">
        <f t="shared" si="55"/>
        <v>0</v>
      </c>
      <c r="L667" s="142">
        <f t="shared" si="56"/>
        <v>13430340</v>
      </c>
    </row>
    <row r="668" spans="5:12" x14ac:dyDescent="0.35">
      <c r="E668" s="135">
        <v>655</v>
      </c>
      <c r="F668" s="135">
        <v>0</v>
      </c>
      <c r="G668" s="141">
        <f t="shared" si="52"/>
        <v>0</v>
      </c>
      <c r="H668" s="155">
        <f t="shared" si="53"/>
        <v>0</v>
      </c>
      <c r="I668" s="142">
        <f t="shared" si="54"/>
        <v>13430340</v>
      </c>
      <c r="J668" s="142">
        <v>0</v>
      </c>
      <c r="K668" s="142">
        <f t="shared" si="55"/>
        <v>0</v>
      </c>
      <c r="L668" s="142">
        <f t="shared" si="56"/>
        <v>13430340</v>
      </c>
    </row>
    <row r="669" spans="5:12" x14ac:dyDescent="0.35">
      <c r="E669" s="135">
        <v>656</v>
      </c>
      <c r="F669" s="135">
        <v>0</v>
      </c>
      <c r="G669" s="141">
        <f t="shared" si="52"/>
        <v>0</v>
      </c>
      <c r="H669" s="155">
        <f t="shared" si="53"/>
        <v>0</v>
      </c>
      <c r="I669" s="142">
        <f t="shared" si="54"/>
        <v>13430340</v>
      </c>
      <c r="J669" s="142">
        <v>0</v>
      </c>
      <c r="K669" s="142">
        <f t="shared" si="55"/>
        <v>0</v>
      </c>
      <c r="L669" s="142">
        <f t="shared" si="56"/>
        <v>13430340</v>
      </c>
    </row>
    <row r="670" spans="5:12" x14ac:dyDescent="0.35">
      <c r="E670" s="135">
        <v>657</v>
      </c>
      <c r="F670" s="135">
        <v>0</v>
      </c>
      <c r="G670" s="141">
        <f t="shared" si="52"/>
        <v>0</v>
      </c>
      <c r="H670" s="155">
        <f t="shared" si="53"/>
        <v>0</v>
      </c>
      <c r="I670" s="142">
        <f t="shared" si="54"/>
        <v>13430340</v>
      </c>
      <c r="J670" s="142">
        <v>0</v>
      </c>
      <c r="K670" s="142">
        <f t="shared" si="55"/>
        <v>0</v>
      </c>
      <c r="L670" s="142">
        <f t="shared" si="56"/>
        <v>13430340</v>
      </c>
    </row>
    <row r="671" spans="5:12" x14ac:dyDescent="0.35">
      <c r="E671" s="135">
        <v>658</v>
      </c>
      <c r="F671" s="135">
        <v>0</v>
      </c>
      <c r="G671" s="141">
        <f t="shared" si="52"/>
        <v>0</v>
      </c>
      <c r="H671" s="155">
        <f t="shared" si="53"/>
        <v>0</v>
      </c>
      <c r="I671" s="142">
        <f t="shared" si="54"/>
        <v>13430340</v>
      </c>
      <c r="J671" s="142">
        <v>0</v>
      </c>
      <c r="K671" s="142">
        <f t="shared" si="55"/>
        <v>0</v>
      </c>
      <c r="L671" s="142">
        <f t="shared" si="56"/>
        <v>13430340</v>
      </c>
    </row>
    <row r="672" spans="5:12" x14ac:dyDescent="0.35">
      <c r="E672" s="135">
        <v>659</v>
      </c>
      <c r="F672" s="135">
        <v>0</v>
      </c>
      <c r="G672" s="141">
        <f t="shared" si="52"/>
        <v>0</v>
      </c>
      <c r="H672" s="155">
        <f t="shared" si="53"/>
        <v>0</v>
      </c>
      <c r="I672" s="142">
        <f t="shared" si="54"/>
        <v>13430340</v>
      </c>
      <c r="J672" s="142">
        <v>0</v>
      </c>
      <c r="K672" s="142">
        <f t="shared" si="55"/>
        <v>0</v>
      </c>
      <c r="L672" s="142">
        <f t="shared" si="56"/>
        <v>13430340</v>
      </c>
    </row>
    <row r="673" spans="5:12" x14ac:dyDescent="0.35">
      <c r="E673" s="135">
        <v>660</v>
      </c>
      <c r="F673" s="135">
        <v>0</v>
      </c>
      <c r="G673" s="141">
        <f t="shared" si="52"/>
        <v>0</v>
      </c>
      <c r="H673" s="155">
        <f t="shared" si="53"/>
        <v>0</v>
      </c>
      <c r="I673" s="142">
        <f t="shared" si="54"/>
        <v>13430340</v>
      </c>
      <c r="J673" s="142">
        <v>0</v>
      </c>
      <c r="K673" s="142">
        <f t="shared" si="55"/>
        <v>0</v>
      </c>
      <c r="L673" s="142">
        <f t="shared" si="56"/>
        <v>13430340</v>
      </c>
    </row>
    <row r="674" spans="5:12" x14ac:dyDescent="0.35">
      <c r="E674" s="135">
        <v>661</v>
      </c>
      <c r="F674" s="135">
        <v>0</v>
      </c>
      <c r="G674" s="141">
        <f t="shared" si="52"/>
        <v>0</v>
      </c>
      <c r="H674" s="155">
        <f t="shared" si="53"/>
        <v>0</v>
      </c>
      <c r="I674" s="142">
        <f t="shared" si="54"/>
        <v>13430340</v>
      </c>
      <c r="J674" s="142">
        <v>0</v>
      </c>
      <c r="K674" s="142">
        <f t="shared" si="55"/>
        <v>0</v>
      </c>
      <c r="L674" s="142">
        <f t="shared" si="56"/>
        <v>13430340</v>
      </c>
    </row>
    <row r="675" spans="5:12" x14ac:dyDescent="0.35">
      <c r="E675" s="135">
        <v>662</v>
      </c>
      <c r="F675" s="135">
        <v>1</v>
      </c>
      <c r="G675" s="141">
        <f t="shared" si="52"/>
        <v>23.813582244547764</v>
      </c>
      <c r="H675" s="155">
        <f t="shared" si="53"/>
        <v>0</v>
      </c>
      <c r="I675" s="142">
        <f t="shared" si="54"/>
        <v>13430340</v>
      </c>
      <c r="J675" s="142">
        <v>0</v>
      </c>
      <c r="K675" s="142">
        <f t="shared" si="55"/>
        <v>136632.93323927111</v>
      </c>
      <c r="L675" s="142">
        <f t="shared" si="56"/>
        <v>13566972.933239272</v>
      </c>
    </row>
    <row r="676" spans="5:12" x14ac:dyDescent="0.35">
      <c r="E676" s="135">
        <v>663</v>
      </c>
      <c r="F676" s="135">
        <v>0</v>
      </c>
      <c r="G676" s="141">
        <f t="shared" si="52"/>
        <v>0</v>
      </c>
      <c r="H676" s="155">
        <f t="shared" si="53"/>
        <v>0</v>
      </c>
      <c r="I676" s="142">
        <f t="shared" si="54"/>
        <v>13430340</v>
      </c>
      <c r="J676" s="142">
        <v>0</v>
      </c>
      <c r="K676" s="142">
        <f t="shared" si="55"/>
        <v>0</v>
      </c>
      <c r="L676" s="142">
        <f t="shared" si="56"/>
        <v>13430340</v>
      </c>
    </row>
    <row r="677" spans="5:12" x14ac:dyDescent="0.35">
      <c r="E677" s="135">
        <v>664</v>
      </c>
      <c r="F677" s="135">
        <v>0</v>
      </c>
      <c r="G677" s="141">
        <f t="shared" si="52"/>
        <v>0</v>
      </c>
      <c r="H677" s="155">
        <f t="shared" si="53"/>
        <v>0</v>
      </c>
      <c r="I677" s="142">
        <f t="shared" si="54"/>
        <v>13430340</v>
      </c>
      <c r="J677" s="142">
        <v>0</v>
      </c>
      <c r="K677" s="142">
        <f t="shared" si="55"/>
        <v>0</v>
      </c>
      <c r="L677" s="142">
        <f t="shared" si="56"/>
        <v>13430340</v>
      </c>
    </row>
    <row r="678" spans="5:12" x14ac:dyDescent="0.35">
      <c r="E678" s="135">
        <v>665</v>
      </c>
      <c r="F678" s="135">
        <v>0</v>
      </c>
      <c r="G678" s="141">
        <f t="shared" si="52"/>
        <v>0</v>
      </c>
      <c r="H678" s="155">
        <f t="shared" si="53"/>
        <v>0</v>
      </c>
      <c r="I678" s="142">
        <f t="shared" si="54"/>
        <v>13430340</v>
      </c>
      <c r="J678" s="142">
        <v>0</v>
      </c>
      <c r="K678" s="142">
        <f t="shared" si="55"/>
        <v>0</v>
      </c>
      <c r="L678" s="142">
        <f t="shared" si="56"/>
        <v>13430340</v>
      </c>
    </row>
    <row r="679" spans="5:12" x14ac:dyDescent="0.35">
      <c r="E679" s="135">
        <v>666</v>
      </c>
      <c r="F679" s="135">
        <v>0</v>
      </c>
      <c r="G679" s="141">
        <f t="shared" si="52"/>
        <v>0</v>
      </c>
      <c r="H679" s="155">
        <f t="shared" si="53"/>
        <v>0</v>
      </c>
      <c r="I679" s="142">
        <f t="shared" si="54"/>
        <v>13430340</v>
      </c>
      <c r="J679" s="142">
        <v>0</v>
      </c>
      <c r="K679" s="142">
        <f t="shared" si="55"/>
        <v>0</v>
      </c>
      <c r="L679" s="142">
        <f t="shared" si="56"/>
        <v>13430340</v>
      </c>
    </row>
    <row r="680" spans="5:12" x14ac:dyDescent="0.35">
      <c r="E680" s="135">
        <v>667</v>
      </c>
      <c r="F680" s="135">
        <v>1</v>
      </c>
      <c r="G680" s="141">
        <f t="shared" si="52"/>
        <v>23.813582244547764</v>
      </c>
      <c r="H680" s="155">
        <f t="shared" si="53"/>
        <v>0</v>
      </c>
      <c r="I680" s="142">
        <f t="shared" si="54"/>
        <v>13430340</v>
      </c>
      <c r="J680" s="142">
        <v>0</v>
      </c>
      <c r="K680" s="142">
        <f t="shared" si="55"/>
        <v>136632.93323927111</v>
      </c>
      <c r="L680" s="142">
        <f t="shared" si="56"/>
        <v>13566972.933239272</v>
      </c>
    </row>
    <row r="681" spans="5:12" x14ac:dyDescent="0.35">
      <c r="E681" s="135">
        <v>668</v>
      </c>
      <c r="F681" s="135">
        <v>0</v>
      </c>
      <c r="G681" s="141">
        <f t="shared" si="52"/>
        <v>0</v>
      </c>
      <c r="H681" s="155">
        <f t="shared" si="53"/>
        <v>0</v>
      </c>
      <c r="I681" s="142">
        <f t="shared" si="54"/>
        <v>13430340</v>
      </c>
      <c r="J681" s="142">
        <v>0</v>
      </c>
      <c r="K681" s="142">
        <f t="shared" si="55"/>
        <v>0</v>
      </c>
      <c r="L681" s="142">
        <f t="shared" si="56"/>
        <v>13430340</v>
      </c>
    </row>
    <row r="682" spans="5:12" x14ac:dyDescent="0.35">
      <c r="E682" s="135">
        <v>669</v>
      </c>
      <c r="F682" s="135">
        <v>0</v>
      </c>
      <c r="G682" s="141">
        <f t="shared" si="52"/>
        <v>0</v>
      </c>
      <c r="H682" s="155">
        <f t="shared" si="53"/>
        <v>0</v>
      </c>
      <c r="I682" s="142">
        <f t="shared" si="54"/>
        <v>13430340</v>
      </c>
      <c r="J682" s="142">
        <v>0</v>
      </c>
      <c r="K682" s="142">
        <f t="shared" si="55"/>
        <v>0</v>
      </c>
      <c r="L682" s="142">
        <f t="shared" si="56"/>
        <v>13430340</v>
      </c>
    </row>
    <row r="683" spans="5:12" x14ac:dyDescent="0.35">
      <c r="E683" s="135">
        <v>670</v>
      </c>
      <c r="F683" s="135">
        <v>0</v>
      </c>
      <c r="G683" s="141">
        <f t="shared" si="52"/>
        <v>0</v>
      </c>
      <c r="H683" s="155">
        <f t="shared" si="53"/>
        <v>0</v>
      </c>
      <c r="I683" s="142">
        <f t="shared" si="54"/>
        <v>13430340</v>
      </c>
      <c r="J683" s="142">
        <v>0</v>
      </c>
      <c r="K683" s="142">
        <f t="shared" si="55"/>
        <v>0</v>
      </c>
      <c r="L683" s="142">
        <f t="shared" si="56"/>
        <v>13430340</v>
      </c>
    </row>
    <row r="684" spans="5:12" x14ac:dyDescent="0.35">
      <c r="E684" s="135">
        <v>671</v>
      </c>
      <c r="F684" s="135">
        <v>0</v>
      </c>
      <c r="G684" s="141">
        <f t="shared" si="52"/>
        <v>0</v>
      </c>
      <c r="H684" s="155">
        <f t="shared" si="53"/>
        <v>0</v>
      </c>
      <c r="I684" s="142">
        <f t="shared" si="54"/>
        <v>13430340</v>
      </c>
      <c r="J684" s="142">
        <v>0</v>
      </c>
      <c r="K684" s="142">
        <f t="shared" si="55"/>
        <v>0</v>
      </c>
      <c r="L684" s="142">
        <f t="shared" si="56"/>
        <v>13430340</v>
      </c>
    </row>
    <row r="685" spans="5:12" x14ac:dyDescent="0.35">
      <c r="E685" s="135">
        <v>672</v>
      </c>
      <c r="F685" s="135">
        <v>0</v>
      </c>
      <c r="G685" s="141">
        <f t="shared" si="52"/>
        <v>0</v>
      </c>
      <c r="H685" s="155">
        <f t="shared" si="53"/>
        <v>0</v>
      </c>
      <c r="I685" s="142">
        <f t="shared" si="54"/>
        <v>13430340</v>
      </c>
      <c r="J685" s="142">
        <v>0</v>
      </c>
      <c r="K685" s="142">
        <f t="shared" si="55"/>
        <v>0</v>
      </c>
      <c r="L685" s="142">
        <f t="shared" si="56"/>
        <v>13430340</v>
      </c>
    </row>
    <row r="686" spans="5:12" x14ac:dyDescent="0.35">
      <c r="E686" s="135">
        <v>673</v>
      </c>
      <c r="F686" s="135">
        <v>1</v>
      </c>
      <c r="G686" s="141">
        <f t="shared" si="52"/>
        <v>23.813582244547764</v>
      </c>
      <c r="H686" s="155">
        <f t="shared" si="53"/>
        <v>0</v>
      </c>
      <c r="I686" s="142">
        <f t="shared" si="54"/>
        <v>13430340</v>
      </c>
      <c r="J686" s="142">
        <v>0</v>
      </c>
      <c r="K686" s="142">
        <f t="shared" si="55"/>
        <v>136632.93323927111</v>
      </c>
      <c r="L686" s="142">
        <f t="shared" si="56"/>
        <v>13566972.933239272</v>
      </c>
    </row>
    <row r="687" spans="5:12" x14ac:dyDescent="0.35">
      <c r="E687" s="135">
        <v>674</v>
      </c>
      <c r="F687" s="135">
        <v>0</v>
      </c>
      <c r="G687" s="141">
        <f t="shared" si="52"/>
        <v>0</v>
      </c>
      <c r="H687" s="155">
        <f t="shared" si="53"/>
        <v>0</v>
      </c>
      <c r="I687" s="142">
        <f t="shared" si="54"/>
        <v>13430340</v>
      </c>
      <c r="J687" s="142">
        <v>0</v>
      </c>
      <c r="K687" s="142">
        <f t="shared" si="55"/>
        <v>0</v>
      </c>
      <c r="L687" s="142">
        <f t="shared" si="56"/>
        <v>13430340</v>
      </c>
    </row>
    <row r="688" spans="5:12" x14ac:dyDescent="0.35">
      <c r="E688" s="135">
        <v>675</v>
      </c>
      <c r="F688" s="135">
        <v>1</v>
      </c>
      <c r="G688" s="141">
        <f t="shared" si="52"/>
        <v>23.813582244547764</v>
      </c>
      <c r="H688" s="155">
        <f t="shared" si="53"/>
        <v>0</v>
      </c>
      <c r="I688" s="142">
        <f t="shared" si="54"/>
        <v>13430340</v>
      </c>
      <c r="J688" s="142">
        <v>0</v>
      </c>
      <c r="K688" s="142">
        <f t="shared" si="55"/>
        <v>136632.93323927111</v>
      </c>
      <c r="L688" s="142">
        <f t="shared" si="56"/>
        <v>13566972.933239272</v>
      </c>
    </row>
    <row r="689" spans="5:12" x14ac:dyDescent="0.35">
      <c r="E689" s="135">
        <v>676</v>
      </c>
      <c r="F689" s="135">
        <v>0</v>
      </c>
      <c r="G689" s="141">
        <f t="shared" si="52"/>
        <v>0</v>
      </c>
      <c r="H689" s="155">
        <f t="shared" si="53"/>
        <v>0</v>
      </c>
      <c r="I689" s="142">
        <f t="shared" si="54"/>
        <v>13430340</v>
      </c>
      <c r="J689" s="142">
        <v>0</v>
      </c>
      <c r="K689" s="142">
        <f t="shared" si="55"/>
        <v>0</v>
      </c>
      <c r="L689" s="142">
        <f t="shared" si="56"/>
        <v>13430340</v>
      </c>
    </row>
    <row r="690" spans="5:12" x14ac:dyDescent="0.35">
      <c r="E690" s="135">
        <v>677</v>
      </c>
      <c r="F690" s="135">
        <v>1</v>
      </c>
      <c r="G690" s="141">
        <f t="shared" si="52"/>
        <v>23.813582244547764</v>
      </c>
      <c r="H690" s="155">
        <f t="shared" si="53"/>
        <v>0</v>
      </c>
      <c r="I690" s="142">
        <f t="shared" si="54"/>
        <v>13430340</v>
      </c>
      <c r="J690" s="142">
        <v>0</v>
      </c>
      <c r="K690" s="142">
        <f t="shared" si="55"/>
        <v>136632.93323927111</v>
      </c>
      <c r="L690" s="142">
        <f t="shared" si="56"/>
        <v>13566972.933239272</v>
      </c>
    </row>
    <row r="691" spans="5:12" x14ac:dyDescent="0.35">
      <c r="E691" s="135">
        <v>678</v>
      </c>
      <c r="F691" s="135">
        <v>0</v>
      </c>
      <c r="G691" s="141">
        <f t="shared" si="52"/>
        <v>0</v>
      </c>
      <c r="H691" s="155">
        <f t="shared" si="53"/>
        <v>0</v>
      </c>
      <c r="I691" s="142">
        <f t="shared" si="54"/>
        <v>13430340</v>
      </c>
      <c r="J691" s="142">
        <v>0</v>
      </c>
      <c r="K691" s="142">
        <f t="shared" si="55"/>
        <v>0</v>
      </c>
      <c r="L691" s="142">
        <f t="shared" si="56"/>
        <v>13430340</v>
      </c>
    </row>
    <row r="692" spans="5:12" x14ac:dyDescent="0.35">
      <c r="E692" s="135">
        <v>679</v>
      </c>
      <c r="F692" s="135">
        <v>0</v>
      </c>
      <c r="G692" s="141">
        <f t="shared" si="52"/>
        <v>0</v>
      </c>
      <c r="H692" s="155">
        <f t="shared" si="53"/>
        <v>0</v>
      </c>
      <c r="I692" s="142">
        <f t="shared" si="54"/>
        <v>13430340</v>
      </c>
      <c r="J692" s="142">
        <v>0</v>
      </c>
      <c r="K692" s="142">
        <f t="shared" si="55"/>
        <v>0</v>
      </c>
      <c r="L692" s="142">
        <f t="shared" si="56"/>
        <v>13430340</v>
      </c>
    </row>
    <row r="693" spans="5:12" x14ac:dyDescent="0.35">
      <c r="E693" s="135">
        <v>680</v>
      </c>
      <c r="F693" s="135">
        <v>0</v>
      </c>
      <c r="G693" s="141">
        <f t="shared" si="52"/>
        <v>0</v>
      </c>
      <c r="H693" s="155">
        <f t="shared" si="53"/>
        <v>0</v>
      </c>
      <c r="I693" s="142">
        <f t="shared" si="54"/>
        <v>13430340</v>
      </c>
      <c r="J693" s="142">
        <v>0</v>
      </c>
      <c r="K693" s="142">
        <f t="shared" si="55"/>
        <v>0</v>
      </c>
      <c r="L693" s="142">
        <f t="shared" si="56"/>
        <v>13430340</v>
      </c>
    </row>
    <row r="694" spans="5:12" x14ac:dyDescent="0.35">
      <c r="E694" s="135">
        <v>681</v>
      </c>
      <c r="F694" s="135">
        <v>1</v>
      </c>
      <c r="G694" s="141">
        <f t="shared" si="52"/>
        <v>23.813582244547764</v>
      </c>
      <c r="H694" s="155">
        <f t="shared" si="53"/>
        <v>0</v>
      </c>
      <c r="I694" s="142">
        <f t="shared" si="54"/>
        <v>13430340</v>
      </c>
      <c r="J694" s="142">
        <v>0</v>
      </c>
      <c r="K694" s="142">
        <f t="shared" si="55"/>
        <v>136632.93323927111</v>
      </c>
      <c r="L694" s="142">
        <f t="shared" si="56"/>
        <v>13566972.933239272</v>
      </c>
    </row>
    <row r="695" spans="5:12" x14ac:dyDescent="0.35">
      <c r="E695" s="135">
        <v>682</v>
      </c>
      <c r="F695" s="135">
        <v>0</v>
      </c>
      <c r="G695" s="141">
        <f t="shared" si="52"/>
        <v>0</v>
      </c>
      <c r="H695" s="155">
        <f t="shared" si="53"/>
        <v>0</v>
      </c>
      <c r="I695" s="142">
        <f t="shared" si="54"/>
        <v>13430340</v>
      </c>
      <c r="J695" s="142">
        <v>0</v>
      </c>
      <c r="K695" s="142">
        <f t="shared" si="55"/>
        <v>0</v>
      </c>
      <c r="L695" s="142">
        <f t="shared" si="56"/>
        <v>13430340</v>
      </c>
    </row>
    <row r="696" spans="5:12" x14ac:dyDescent="0.35">
      <c r="E696" s="135">
        <v>683</v>
      </c>
      <c r="F696" s="135">
        <v>1</v>
      </c>
      <c r="G696" s="141">
        <f t="shared" si="52"/>
        <v>23.813582244547764</v>
      </c>
      <c r="H696" s="155">
        <f t="shared" si="53"/>
        <v>0</v>
      </c>
      <c r="I696" s="142">
        <f t="shared" si="54"/>
        <v>13430340</v>
      </c>
      <c r="J696" s="142">
        <v>0</v>
      </c>
      <c r="K696" s="142">
        <f t="shared" si="55"/>
        <v>136632.93323927111</v>
      </c>
      <c r="L696" s="142">
        <f t="shared" si="56"/>
        <v>13566972.933239272</v>
      </c>
    </row>
    <row r="697" spans="5:12" x14ac:dyDescent="0.35">
      <c r="E697" s="135">
        <v>684</v>
      </c>
      <c r="F697" s="135">
        <v>0</v>
      </c>
      <c r="G697" s="141">
        <f t="shared" si="52"/>
        <v>0</v>
      </c>
      <c r="H697" s="155">
        <f t="shared" si="53"/>
        <v>0</v>
      </c>
      <c r="I697" s="142">
        <f t="shared" si="54"/>
        <v>13430340</v>
      </c>
      <c r="J697" s="142">
        <v>0</v>
      </c>
      <c r="K697" s="142">
        <f t="shared" si="55"/>
        <v>0</v>
      </c>
      <c r="L697" s="142">
        <f t="shared" si="56"/>
        <v>13430340</v>
      </c>
    </row>
    <row r="698" spans="5:12" x14ac:dyDescent="0.35">
      <c r="E698" s="135">
        <v>685</v>
      </c>
      <c r="F698" s="135">
        <v>0</v>
      </c>
      <c r="G698" s="141">
        <f t="shared" si="52"/>
        <v>0</v>
      </c>
      <c r="H698" s="155">
        <f t="shared" si="53"/>
        <v>0</v>
      </c>
      <c r="I698" s="142">
        <f t="shared" si="54"/>
        <v>13430340</v>
      </c>
      <c r="J698" s="142">
        <v>0</v>
      </c>
      <c r="K698" s="142">
        <f t="shared" si="55"/>
        <v>0</v>
      </c>
      <c r="L698" s="142">
        <f t="shared" si="56"/>
        <v>13430340</v>
      </c>
    </row>
    <row r="699" spans="5:12" x14ac:dyDescent="0.35">
      <c r="E699" s="135">
        <v>686</v>
      </c>
      <c r="F699" s="135">
        <v>0</v>
      </c>
      <c r="G699" s="141">
        <f t="shared" si="52"/>
        <v>0</v>
      </c>
      <c r="H699" s="155">
        <f t="shared" si="53"/>
        <v>0</v>
      </c>
      <c r="I699" s="142">
        <f t="shared" si="54"/>
        <v>13430340</v>
      </c>
      <c r="J699" s="142">
        <v>0</v>
      </c>
      <c r="K699" s="142">
        <f t="shared" si="55"/>
        <v>0</v>
      </c>
      <c r="L699" s="142">
        <f t="shared" si="56"/>
        <v>13430340</v>
      </c>
    </row>
    <row r="700" spans="5:12" x14ac:dyDescent="0.35">
      <c r="E700" s="135">
        <v>687</v>
      </c>
      <c r="F700" s="135">
        <v>0</v>
      </c>
      <c r="G700" s="141">
        <f t="shared" si="52"/>
        <v>0</v>
      </c>
      <c r="H700" s="155">
        <f t="shared" si="53"/>
        <v>0</v>
      </c>
      <c r="I700" s="142">
        <f t="shared" si="54"/>
        <v>13430340</v>
      </c>
      <c r="J700" s="142">
        <v>0</v>
      </c>
      <c r="K700" s="142">
        <f t="shared" si="55"/>
        <v>0</v>
      </c>
      <c r="L700" s="142">
        <f t="shared" si="56"/>
        <v>13430340</v>
      </c>
    </row>
    <row r="701" spans="5:12" x14ac:dyDescent="0.35">
      <c r="E701" s="135">
        <v>688</v>
      </c>
      <c r="F701" s="135">
        <v>1</v>
      </c>
      <c r="G701" s="141">
        <f t="shared" si="52"/>
        <v>23.813582244547764</v>
      </c>
      <c r="H701" s="155">
        <f t="shared" si="53"/>
        <v>0</v>
      </c>
      <c r="I701" s="142">
        <f t="shared" si="54"/>
        <v>13430340</v>
      </c>
      <c r="J701" s="142">
        <v>0</v>
      </c>
      <c r="K701" s="142">
        <f t="shared" si="55"/>
        <v>136632.93323927111</v>
      </c>
      <c r="L701" s="142">
        <f t="shared" si="56"/>
        <v>13566972.933239272</v>
      </c>
    </row>
    <row r="702" spans="5:12" x14ac:dyDescent="0.35">
      <c r="E702" s="135">
        <v>689</v>
      </c>
      <c r="F702" s="135">
        <v>1</v>
      </c>
      <c r="G702" s="141">
        <f t="shared" si="52"/>
        <v>23.813582244547764</v>
      </c>
      <c r="H702" s="155">
        <f t="shared" si="53"/>
        <v>0</v>
      </c>
      <c r="I702" s="142">
        <f t="shared" si="54"/>
        <v>13430340</v>
      </c>
      <c r="J702" s="142">
        <v>0</v>
      </c>
      <c r="K702" s="142">
        <f t="shared" si="55"/>
        <v>136632.93323927111</v>
      </c>
      <c r="L702" s="142">
        <f t="shared" si="56"/>
        <v>13566972.933239272</v>
      </c>
    </row>
    <row r="703" spans="5:12" x14ac:dyDescent="0.35">
      <c r="E703" s="135">
        <v>690</v>
      </c>
      <c r="F703" s="135">
        <v>0</v>
      </c>
      <c r="G703" s="141">
        <f t="shared" si="52"/>
        <v>0</v>
      </c>
      <c r="H703" s="155">
        <f t="shared" si="53"/>
        <v>0</v>
      </c>
      <c r="I703" s="142">
        <f t="shared" si="54"/>
        <v>13430340</v>
      </c>
      <c r="J703" s="142">
        <v>0</v>
      </c>
      <c r="K703" s="142">
        <f t="shared" si="55"/>
        <v>0</v>
      </c>
      <c r="L703" s="142">
        <f t="shared" si="56"/>
        <v>13430340</v>
      </c>
    </row>
    <row r="704" spans="5:12" x14ac:dyDescent="0.35">
      <c r="E704" s="135">
        <v>691</v>
      </c>
      <c r="F704" s="135">
        <v>0</v>
      </c>
      <c r="G704" s="141">
        <f t="shared" si="52"/>
        <v>0</v>
      </c>
      <c r="H704" s="155">
        <f t="shared" si="53"/>
        <v>0</v>
      </c>
      <c r="I704" s="142">
        <f t="shared" si="54"/>
        <v>13430340</v>
      </c>
      <c r="J704" s="142">
        <v>0</v>
      </c>
      <c r="K704" s="142">
        <f t="shared" si="55"/>
        <v>0</v>
      </c>
      <c r="L704" s="142">
        <f t="shared" si="56"/>
        <v>13430340</v>
      </c>
    </row>
    <row r="705" spans="5:12" x14ac:dyDescent="0.35">
      <c r="E705" s="135">
        <v>692</v>
      </c>
      <c r="F705" s="135">
        <v>0</v>
      </c>
      <c r="G705" s="141">
        <f t="shared" si="52"/>
        <v>0</v>
      </c>
      <c r="H705" s="155">
        <f t="shared" si="53"/>
        <v>0</v>
      </c>
      <c r="I705" s="142">
        <f t="shared" si="54"/>
        <v>13430340</v>
      </c>
      <c r="J705" s="142">
        <v>0</v>
      </c>
      <c r="K705" s="142">
        <f t="shared" si="55"/>
        <v>0</v>
      </c>
      <c r="L705" s="142">
        <f t="shared" si="56"/>
        <v>13430340</v>
      </c>
    </row>
    <row r="706" spans="5:12" x14ac:dyDescent="0.35">
      <c r="E706" s="135">
        <v>693</v>
      </c>
      <c r="F706" s="135">
        <v>0</v>
      </c>
      <c r="G706" s="141">
        <f t="shared" si="52"/>
        <v>0</v>
      </c>
      <c r="H706" s="155">
        <f t="shared" si="53"/>
        <v>0</v>
      </c>
      <c r="I706" s="142">
        <f t="shared" si="54"/>
        <v>13430340</v>
      </c>
      <c r="J706" s="142">
        <v>0</v>
      </c>
      <c r="K706" s="142">
        <f t="shared" si="55"/>
        <v>0</v>
      </c>
      <c r="L706" s="142">
        <f t="shared" si="56"/>
        <v>13430340</v>
      </c>
    </row>
    <row r="707" spans="5:12" x14ac:dyDescent="0.35">
      <c r="E707" s="135">
        <v>694</v>
      </c>
      <c r="F707" s="135">
        <v>0</v>
      </c>
      <c r="G707" s="141">
        <f t="shared" si="52"/>
        <v>0</v>
      </c>
      <c r="H707" s="155">
        <f t="shared" si="53"/>
        <v>0</v>
      </c>
      <c r="I707" s="142">
        <f t="shared" si="54"/>
        <v>13430340</v>
      </c>
      <c r="J707" s="142">
        <v>0</v>
      </c>
      <c r="K707" s="142">
        <f t="shared" si="55"/>
        <v>0</v>
      </c>
      <c r="L707" s="142">
        <f t="shared" si="56"/>
        <v>13430340</v>
      </c>
    </row>
    <row r="708" spans="5:12" x14ac:dyDescent="0.35">
      <c r="E708" s="135">
        <v>695</v>
      </c>
      <c r="F708" s="135">
        <v>0</v>
      </c>
      <c r="G708" s="141">
        <f t="shared" si="52"/>
        <v>0</v>
      </c>
      <c r="H708" s="155">
        <f t="shared" si="53"/>
        <v>0</v>
      </c>
      <c r="I708" s="142">
        <f t="shared" si="54"/>
        <v>13430340</v>
      </c>
      <c r="J708" s="142">
        <v>0</v>
      </c>
      <c r="K708" s="142">
        <f t="shared" si="55"/>
        <v>0</v>
      </c>
      <c r="L708" s="142">
        <f t="shared" si="56"/>
        <v>13430340</v>
      </c>
    </row>
    <row r="709" spans="5:12" x14ac:dyDescent="0.35">
      <c r="E709" s="135">
        <v>696</v>
      </c>
      <c r="F709" s="135">
        <v>0</v>
      </c>
      <c r="G709" s="141">
        <f t="shared" si="52"/>
        <v>0</v>
      </c>
      <c r="H709" s="155">
        <f t="shared" si="53"/>
        <v>0</v>
      </c>
      <c r="I709" s="142">
        <f t="shared" si="54"/>
        <v>13430340</v>
      </c>
      <c r="J709" s="142">
        <v>0</v>
      </c>
      <c r="K709" s="142">
        <f t="shared" si="55"/>
        <v>0</v>
      </c>
      <c r="L709" s="142">
        <f t="shared" si="56"/>
        <v>13430340</v>
      </c>
    </row>
    <row r="710" spans="5:12" x14ac:dyDescent="0.35">
      <c r="E710" s="135">
        <v>697</v>
      </c>
      <c r="F710" s="135">
        <v>0</v>
      </c>
      <c r="G710" s="141">
        <f t="shared" si="52"/>
        <v>0</v>
      </c>
      <c r="H710" s="155">
        <f t="shared" si="53"/>
        <v>0</v>
      </c>
      <c r="I710" s="142">
        <f t="shared" si="54"/>
        <v>13430340</v>
      </c>
      <c r="J710" s="142">
        <v>0</v>
      </c>
      <c r="K710" s="142">
        <f t="shared" si="55"/>
        <v>0</v>
      </c>
      <c r="L710" s="142">
        <f t="shared" si="56"/>
        <v>13430340</v>
      </c>
    </row>
    <row r="711" spans="5:12" x14ac:dyDescent="0.35">
      <c r="E711" s="135">
        <v>698</v>
      </c>
      <c r="F711" s="135">
        <v>0</v>
      </c>
      <c r="G711" s="141">
        <f t="shared" si="52"/>
        <v>0</v>
      </c>
      <c r="H711" s="155">
        <f t="shared" si="53"/>
        <v>0</v>
      </c>
      <c r="I711" s="142">
        <f t="shared" si="54"/>
        <v>13430340</v>
      </c>
      <c r="J711" s="142">
        <v>0</v>
      </c>
      <c r="K711" s="142">
        <f t="shared" si="55"/>
        <v>0</v>
      </c>
      <c r="L711" s="142">
        <f t="shared" si="56"/>
        <v>13430340</v>
      </c>
    </row>
    <row r="712" spans="5:12" x14ac:dyDescent="0.35">
      <c r="E712" s="135">
        <v>699</v>
      </c>
      <c r="F712" s="135">
        <v>1</v>
      </c>
      <c r="G712" s="141">
        <f t="shared" si="52"/>
        <v>23.813582244547764</v>
      </c>
      <c r="H712" s="155">
        <f t="shared" si="53"/>
        <v>0</v>
      </c>
      <c r="I712" s="142">
        <f t="shared" si="54"/>
        <v>13430340</v>
      </c>
      <c r="J712" s="142">
        <v>0</v>
      </c>
      <c r="K712" s="142">
        <f t="shared" si="55"/>
        <v>136632.93323927111</v>
      </c>
      <c r="L712" s="142">
        <f t="shared" si="56"/>
        <v>13566972.933239272</v>
      </c>
    </row>
    <row r="713" spans="5:12" x14ac:dyDescent="0.35">
      <c r="E713" s="135">
        <v>700</v>
      </c>
      <c r="F713" s="135">
        <v>0</v>
      </c>
      <c r="G713" s="141">
        <f t="shared" si="52"/>
        <v>0</v>
      </c>
      <c r="H713" s="155">
        <f t="shared" si="53"/>
        <v>0</v>
      </c>
      <c r="I713" s="142">
        <f t="shared" si="54"/>
        <v>13430340</v>
      </c>
      <c r="J713" s="142">
        <v>0</v>
      </c>
      <c r="K713" s="142">
        <f t="shared" si="55"/>
        <v>0</v>
      </c>
      <c r="L713" s="142">
        <f t="shared" si="56"/>
        <v>13430340</v>
      </c>
    </row>
    <row r="714" spans="5:12" x14ac:dyDescent="0.35">
      <c r="E714" s="135">
        <v>701</v>
      </c>
      <c r="F714" s="135">
        <v>0</v>
      </c>
      <c r="G714" s="141">
        <f t="shared" si="52"/>
        <v>0</v>
      </c>
      <c r="H714" s="155">
        <f t="shared" si="53"/>
        <v>0</v>
      </c>
      <c r="I714" s="142">
        <f t="shared" si="54"/>
        <v>13430340</v>
      </c>
      <c r="J714" s="142">
        <v>0</v>
      </c>
      <c r="K714" s="142">
        <f t="shared" si="55"/>
        <v>0</v>
      </c>
      <c r="L714" s="142">
        <f t="shared" si="56"/>
        <v>13430340</v>
      </c>
    </row>
    <row r="715" spans="5:12" x14ac:dyDescent="0.35">
      <c r="E715" s="135">
        <v>702</v>
      </c>
      <c r="F715" s="135">
        <v>0</v>
      </c>
      <c r="G715" s="141">
        <f t="shared" si="52"/>
        <v>0</v>
      </c>
      <c r="H715" s="155">
        <f t="shared" si="53"/>
        <v>0</v>
      </c>
      <c r="I715" s="142">
        <f t="shared" si="54"/>
        <v>13430340</v>
      </c>
      <c r="J715" s="142">
        <v>0</v>
      </c>
      <c r="K715" s="142">
        <f t="shared" si="55"/>
        <v>0</v>
      </c>
      <c r="L715" s="142">
        <f t="shared" si="56"/>
        <v>13430340</v>
      </c>
    </row>
    <row r="716" spans="5:12" x14ac:dyDescent="0.35">
      <c r="E716" s="135">
        <v>703</v>
      </c>
      <c r="F716" s="135">
        <v>0</v>
      </c>
      <c r="G716" s="141">
        <f t="shared" si="52"/>
        <v>0</v>
      </c>
      <c r="H716" s="155">
        <f t="shared" si="53"/>
        <v>0</v>
      </c>
      <c r="I716" s="142">
        <f t="shared" si="54"/>
        <v>13430340</v>
      </c>
      <c r="J716" s="142">
        <v>0</v>
      </c>
      <c r="K716" s="142">
        <f t="shared" si="55"/>
        <v>0</v>
      </c>
      <c r="L716" s="142">
        <f t="shared" si="56"/>
        <v>13430340</v>
      </c>
    </row>
    <row r="717" spans="5:12" x14ac:dyDescent="0.35">
      <c r="E717" s="135">
        <v>704</v>
      </c>
      <c r="F717" s="135">
        <v>1</v>
      </c>
      <c r="G717" s="141">
        <f t="shared" si="52"/>
        <v>23.813582244547764</v>
      </c>
      <c r="H717" s="155">
        <f t="shared" si="53"/>
        <v>0</v>
      </c>
      <c r="I717" s="142">
        <f t="shared" si="54"/>
        <v>13430340</v>
      </c>
      <c r="J717" s="142">
        <v>0</v>
      </c>
      <c r="K717" s="142">
        <f t="shared" si="55"/>
        <v>136632.93323927111</v>
      </c>
      <c r="L717" s="142">
        <f t="shared" si="56"/>
        <v>13566972.933239272</v>
      </c>
    </row>
    <row r="718" spans="5:12" x14ac:dyDescent="0.35">
      <c r="E718" s="135">
        <v>705</v>
      </c>
      <c r="F718" s="135">
        <v>0</v>
      </c>
      <c r="G718" s="141">
        <f t="shared" ref="G718:G781" si="57">F718*$C$10</f>
        <v>0</v>
      </c>
      <c r="H718" s="155">
        <f t="shared" ref="H718:H781" si="58">IF(F718 &gt; 1,$C$14*20000,0)</f>
        <v>0</v>
      </c>
      <c r="I718" s="142">
        <f t="shared" ref="I718:I781" si="59">IF(F718 &gt; 1,$C$5+$G$2,$G$2)</f>
        <v>13430340</v>
      </c>
      <c r="J718" s="142">
        <v>0</v>
      </c>
      <c r="K718" s="142">
        <f t="shared" ref="K718:K781" si="60">F718*$C$6</f>
        <v>0</v>
      </c>
      <c r="L718" s="142">
        <f t="shared" ref="L718:L781" si="61">J718+I718+K718</f>
        <v>13430340</v>
      </c>
    </row>
    <row r="719" spans="5:12" x14ac:dyDescent="0.35">
      <c r="E719" s="135">
        <v>706</v>
      </c>
      <c r="F719" s="135">
        <v>1</v>
      </c>
      <c r="G719" s="141">
        <f t="shared" si="57"/>
        <v>23.813582244547764</v>
      </c>
      <c r="H719" s="155">
        <f t="shared" si="58"/>
        <v>0</v>
      </c>
      <c r="I719" s="142">
        <f t="shared" si="59"/>
        <v>13430340</v>
      </c>
      <c r="J719" s="142">
        <v>0</v>
      </c>
      <c r="K719" s="142">
        <f t="shared" si="60"/>
        <v>136632.93323927111</v>
      </c>
      <c r="L719" s="142">
        <f t="shared" si="61"/>
        <v>13566972.933239272</v>
      </c>
    </row>
    <row r="720" spans="5:12" x14ac:dyDescent="0.35">
      <c r="E720" s="135">
        <v>707</v>
      </c>
      <c r="F720" s="135">
        <v>0</v>
      </c>
      <c r="G720" s="141">
        <f t="shared" si="57"/>
        <v>0</v>
      </c>
      <c r="H720" s="155">
        <f t="shared" si="58"/>
        <v>0</v>
      </c>
      <c r="I720" s="142">
        <f t="shared" si="59"/>
        <v>13430340</v>
      </c>
      <c r="J720" s="142">
        <v>0</v>
      </c>
      <c r="K720" s="142">
        <f t="shared" si="60"/>
        <v>0</v>
      </c>
      <c r="L720" s="142">
        <f t="shared" si="61"/>
        <v>13430340</v>
      </c>
    </row>
    <row r="721" spans="5:12" x14ac:dyDescent="0.35">
      <c r="E721" s="135">
        <v>708</v>
      </c>
      <c r="F721" s="135">
        <v>0</v>
      </c>
      <c r="G721" s="141">
        <f t="shared" si="57"/>
        <v>0</v>
      </c>
      <c r="H721" s="155">
        <f t="shared" si="58"/>
        <v>0</v>
      </c>
      <c r="I721" s="142">
        <f t="shared" si="59"/>
        <v>13430340</v>
      </c>
      <c r="J721" s="142">
        <v>0</v>
      </c>
      <c r="K721" s="142">
        <f t="shared" si="60"/>
        <v>0</v>
      </c>
      <c r="L721" s="142">
        <f t="shared" si="61"/>
        <v>13430340</v>
      </c>
    </row>
    <row r="722" spans="5:12" x14ac:dyDescent="0.35">
      <c r="E722" s="135">
        <v>709</v>
      </c>
      <c r="F722" s="135">
        <v>0</v>
      </c>
      <c r="G722" s="141">
        <f t="shared" si="57"/>
        <v>0</v>
      </c>
      <c r="H722" s="155">
        <f t="shared" si="58"/>
        <v>0</v>
      </c>
      <c r="I722" s="142">
        <f t="shared" si="59"/>
        <v>13430340</v>
      </c>
      <c r="J722" s="142">
        <v>0</v>
      </c>
      <c r="K722" s="142">
        <f t="shared" si="60"/>
        <v>0</v>
      </c>
      <c r="L722" s="142">
        <f t="shared" si="61"/>
        <v>13430340</v>
      </c>
    </row>
    <row r="723" spans="5:12" x14ac:dyDescent="0.35">
      <c r="E723" s="135">
        <v>710</v>
      </c>
      <c r="F723" s="135">
        <v>0</v>
      </c>
      <c r="G723" s="141">
        <f t="shared" si="57"/>
        <v>0</v>
      </c>
      <c r="H723" s="155">
        <f t="shared" si="58"/>
        <v>0</v>
      </c>
      <c r="I723" s="142">
        <f t="shared" si="59"/>
        <v>13430340</v>
      </c>
      <c r="J723" s="142">
        <v>0</v>
      </c>
      <c r="K723" s="142">
        <f t="shared" si="60"/>
        <v>0</v>
      </c>
      <c r="L723" s="142">
        <f t="shared" si="61"/>
        <v>13430340</v>
      </c>
    </row>
    <row r="724" spans="5:12" x14ac:dyDescent="0.35">
      <c r="E724" s="135">
        <v>711</v>
      </c>
      <c r="F724" s="135">
        <v>0</v>
      </c>
      <c r="G724" s="141">
        <f t="shared" si="57"/>
        <v>0</v>
      </c>
      <c r="H724" s="155">
        <f t="shared" si="58"/>
        <v>0</v>
      </c>
      <c r="I724" s="142">
        <f t="shared" si="59"/>
        <v>13430340</v>
      </c>
      <c r="J724" s="142">
        <v>0</v>
      </c>
      <c r="K724" s="142">
        <f t="shared" si="60"/>
        <v>0</v>
      </c>
      <c r="L724" s="142">
        <f t="shared" si="61"/>
        <v>13430340</v>
      </c>
    </row>
    <row r="725" spans="5:12" x14ac:dyDescent="0.35">
      <c r="E725" s="135">
        <v>712</v>
      </c>
      <c r="F725" s="135">
        <v>0</v>
      </c>
      <c r="G725" s="141">
        <f t="shared" si="57"/>
        <v>0</v>
      </c>
      <c r="H725" s="155">
        <f t="shared" si="58"/>
        <v>0</v>
      </c>
      <c r="I725" s="142">
        <f t="shared" si="59"/>
        <v>13430340</v>
      </c>
      <c r="J725" s="142">
        <v>0</v>
      </c>
      <c r="K725" s="142">
        <f t="shared" si="60"/>
        <v>0</v>
      </c>
      <c r="L725" s="142">
        <f t="shared" si="61"/>
        <v>13430340</v>
      </c>
    </row>
    <row r="726" spans="5:12" x14ac:dyDescent="0.35">
      <c r="E726" s="135">
        <v>713</v>
      </c>
      <c r="F726" s="135">
        <v>0</v>
      </c>
      <c r="G726" s="141">
        <f t="shared" si="57"/>
        <v>0</v>
      </c>
      <c r="H726" s="155">
        <f t="shared" si="58"/>
        <v>0</v>
      </c>
      <c r="I726" s="142">
        <f t="shared" si="59"/>
        <v>13430340</v>
      </c>
      <c r="J726" s="142">
        <v>0</v>
      </c>
      <c r="K726" s="142">
        <f t="shared" si="60"/>
        <v>0</v>
      </c>
      <c r="L726" s="142">
        <f t="shared" si="61"/>
        <v>13430340</v>
      </c>
    </row>
    <row r="727" spans="5:12" x14ac:dyDescent="0.35">
      <c r="E727" s="135">
        <v>714</v>
      </c>
      <c r="F727" s="135">
        <v>0</v>
      </c>
      <c r="G727" s="141">
        <f t="shared" si="57"/>
        <v>0</v>
      </c>
      <c r="H727" s="155">
        <f t="shared" si="58"/>
        <v>0</v>
      </c>
      <c r="I727" s="142">
        <f t="shared" si="59"/>
        <v>13430340</v>
      </c>
      <c r="J727" s="142">
        <v>0</v>
      </c>
      <c r="K727" s="142">
        <f t="shared" si="60"/>
        <v>0</v>
      </c>
      <c r="L727" s="142">
        <f t="shared" si="61"/>
        <v>13430340</v>
      </c>
    </row>
    <row r="728" spans="5:12" x14ac:dyDescent="0.35">
      <c r="E728" s="135">
        <v>715</v>
      </c>
      <c r="F728" s="135">
        <v>0</v>
      </c>
      <c r="G728" s="141">
        <f t="shared" si="57"/>
        <v>0</v>
      </c>
      <c r="H728" s="155">
        <f t="shared" si="58"/>
        <v>0</v>
      </c>
      <c r="I728" s="142">
        <f t="shared" si="59"/>
        <v>13430340</v>
      </c>
      <c r="J728" s="142">
        <v>0</v>
      </c>
      <c r="K728" s="142">
        <f t="shared" si="60"/>
        <v>0</v>
      </c>
      <c r="L728" s="142">
        <f t="shared" si="61"/>
        <v>13430340</v>
      </c>
    </row>
    <row r="729" spans="5:12" x14ac:dyDescent="0.35">
      <c r="E729" s="135">
        <v>716</v>
      </c>
      <c r="F729" s="135">
        <v>1</v>
      </c>
      <c r="G729" s="141">
        <f t="shared" si="57"/>
        <v>23.813582244547764</v>
      </c>
      <c r="H729" s="155">
        <f t="shared" si="58"/>
        <v>0</v>
      </c>
      <c r="I729" s="142">
        <f t="shared" si="59"/>
        <v>13430340</v>
      </c>
      <c r="J729" s="142">
        <v>0</v>
      </c>
      <c r="K729" s="142">
        <f t="shared" si="60"/>
        <v>136632.93323927111</v>
      </c>
      <c r="L729" s="142">
        <f t="shared" si="61"/>
        <v>13566972.933239272</v>
      </c>
    </row>
    <row r="730" spans="5:12" x14ac:dyDescent="0.35">
      <c r="E730" s="135">
        <v>717</v>
      </c>
      <c r="F730" s="135">
        <v>1</v>
      </c>
      <c r="G730" s="141">
        <f t="shared" si="57"/>
        <v>23.813582244547764</v>
      </c>
      <c r="H730" s="155">
        <f t="shared" si="58"/>
        <v>0</v>
      </c>
      <c r="I730" s="142">
        <f t="shared" si="59"/>
        <v>13430340</v>
      </c>
      <c r="J730" s="142">
        <v>0</v>
      </c>
      <c r="K730" s="142">
        <f t="shared" si="60"/>
        <v>136632.93323927111</v>
      </c>
      <c r="L730" s="142">
        <f t="shared" si="61"/>
        <v>13566972.933239272</v>
      </c>
    </row>
    <row r="731" spans="5:12" x14ac:dyDescent="0.35">
      <c r="E731" s="135">
        <v>718</v>
      </c>
      <c r="F731" s="135">
        <v>0</v>
      </c>
      <c r="G731" s="141">
        <f t="shared" si="57"/>
        <v>0</v>
      </c>
      <c r="H731" s="155">
        <f t="shared" si="58"/>
        <v>0</v>
      </c>
      <c r="I731" s="142">
        <f t="shared" si="59"/>
        <v>13430340</v>
      </c>
      <c r="J731" s="142">
        <v>0</v>
      </c>
      <c r="K731" s="142">
        <f t="shared" si="60"/>
        <v>0</v>
      </c>
      <c r="L731" s="142">
        <f t="shared" si="61"/>
        <v>13430340</v>
      </c>
    </row>
    <row r="732" spans="5:12" x14ac:dyDescent="0.35">
      <c r="E732" s="135">
        <v>719</v>
      </c>
      <c r="F732" s="135">
        <v>0</v>
      </c>
      <c r="G732" s="141">
        <f t="shared" si="57"/>
        <v>0</v>
      </c>
      <c r="H732" s="155">
        <f t="shared" si="58"/>
        <v>0</v>
      </c>
      <c r="I732" s="142">
        <f t="shared" si="59"/>
        <v>13430340</v>
      </c>
      <c r="J732" s="142">
        <v>0</v>
      </c>
      <c r="K732" s="142">
        <f t="shared" si="60"/>
        <v>0</v>
      </c>
      <c r="L732" s="142">
        <f t="shared" si="61"/>
        <v>13430340</v>
      </c>
    </row>
    <row r="733" spans="5:12" x14ac:dyDescent="0.35">
      <c r="E733" s="135">
        <v>720</v>
      </c>
      <c r="F733" s="135">
        <v>0</v>
      </c>
      <c r="G733" s="141">
        <f t="shared" si="57"/>
        <v>0</v>
      </c>
      <c r="H733" s="155">
        <f t="shared" si="58"/>
        <v>0</v>
      </c>
      <c r="I733" s="142">
        <f t="shared" si="59"/>
        <v>13430340</v>
      </c>
      <c r="J733" s="142">
        <v>0</v>
      </c>
      <c r="K733" s="142">
        <f t="shared" si="60"/>
        <v>0</v>
      </c>
      <c r="L733" s="142">
        <f t="shared" si="61"/>
        <v>13430340</v>
      </c>
    </row>
    <row r="734" spans="5:12" x14ac:dyDescent="0.35">
      <c r="E734" s="135">
        <v>721</v>
      </c>
      <c r="F734" s="135">
        <v>0</v>
      </c>
      <c r="G734" s="141">
        <f t="shared" si="57"/>
        <v>0</v>
      </c>
      <c r="H734" s="155">
        <f t="shared" si="58"/>
        <v>0</v>
      </c>
      <c r="I734" s="142">
        <f t="shared" si="59"/>
        <v>13430340</v>
      </c>
      <c r="J734" s="142">
        <v>0</v>
      </c>
      <c r="K734" s="142">
        <f t="shared" si="60"/>
        <v>0</v>
      </c>
      <c r="L734" s="142">
        <f t="shared" si="61"/>
        <v>13430340</v>
      </c>
    </row>
    <row r="735" spans="5:12" x14ac:dyDescent="0.35">
      <c r="E735" s="135">
        <v>722</v>
      </c>
      <c r="F735" s="135">
        <v>0</v>
      </c>
      <c r="G735" s="141">
        <f t="shared" si="57"/>
        <v>0</v>
      </c>
      <c r="H735" s="155">
        <f t="shared" si="58"/>
        <v>0</v>
      </c>
      <c r="I735" s="142">
        <f t="shared" si="59"/>
        <v>13430340</v>
      </c>
      <c r="J735" s="142">
        <v>0</v>
      </c>
      <c r="K735" s="142">
        <f t="shared" si="60"/>
        <v>0</v>
      </c>
      <c r="L735" s="142">
        <f t="shared" si="61"/>
        <v>13430340</v>
      </c>
    </row>
    <row r="736" spans="5:12" x14ac:dyDescent="0.35">
      <c r="E736" s="135">
        <v>723</v>
      </c>
      <c r="F736" s="135">
        <v>0</v>
      </c>
      <c r="G736" s="141">
        <f t="shared" si="57"/>
        <v>0</v>
      </c>
      <c r="H736" s="155">
        <f t="shared" si="58"/>
        <v>0</v>
      </c>
      <c r="I736" s="142">
        <f t="shared" si="59"/>
        <v>13430340</v>
      </c>
      <c r="J736" s="142">
        <v>0</v>
      </c>
      <c r="K736" s="142">
        <f t="shared" si="60"/>
        <v>0</v>
      </c>
      <c r="L736" s="142">
        <f t="shared" si="61"/>
        <v>13430340</v>
      </c>
    </row>
    <row r="737" spans="5:12" x14ac:dyDescent="0.35">
      <c r="E737" s="135">
        <v>724</v>
      </c>
      <c r="F737" s="135">
        <v>1</v>
      </c>
      <c r="G737" s="141">
        <f t="shared" si="57"/>
        <v>23.813582244547764</v>
      </c>
      <c r="H737" s="155">
        <f t="shared" si="58"/>
        <v>0</v>
      </c>
      <c r="I737" s="142">
        <f t="shared" si="59"/>
        <v>13430340</v>
      </c>
      <c r="J737" s="142">
        <v>0</v>
      </c>
      <c r="K737" s="142">
        <f t="shared" si="60"/>
        <v>136632.93323927111</v>
      </c>
      <c r="L737" s="142">
        <f t="shared" si="61"/>
        <v>13566972.933239272</v>
      </c>
    </row>
    <row r="738" spans="5:12" x14ac:dyDescent="0.35">
      <c r="E738" s="135">
        <v>725</v>
      </c>
      <c r="F738" s="135">
        <v>0</v>
      </c>
      <c r="G738" s="141">
        <f t="shared" si="57"/>
        <v>0</v>
      </c>
      <c r="H738" s="155">
        <f t="shared" si="58"/>
        <v>0</v>
      </c>
      <c r="I738" s="142">
        <f t="shared" si="59"/>
        <v>13430340</v>
      </c>
      <c r="J738" s="142">
        <v>0</v>
      </c>
      <c r="K738" s="142">
        <f t="shared" si="60"/>
        <v>0</v>
      </c>
      <c r="L738" s="142">
        <f t="shared" si="61"/>
        <v>13430340</v>
      </c>
    </row>
    <row r="739" spans="5:12" x14ac:dyDescent="0.35">
      <c r="E739" s="135">
        <v>726</v>
      </c>
      <c r="F739" s="135">
        <v>1</v>
      </c>
      <c r="G739" s="141">
        <f t="shared" si="57"/>
        <v>23.813582244547764</v>
      </c>
      <c r="H739" s="155">
        <f t="shared" si="58"/>
        <v>0</v>
      </c>
      <c r="I739" s="142">
        <f t="shared" si="59"/>
        <v>13430340</v>
      </c>
      <c r="J739" s="142">
        <v>0</v>
      </c>
      <c r="K739" s="142">
        <f t="shared" si="60"/>
        <v>136632.93323927111</v>
      </c>
      <c r="L739" s="142">
        <f t="shared" si="61"/>
        <v>13566972.933239272</v>
      </c>
    </row>
    <row r="740" spans="5:12" x14ac:dyDescent="0.35">
      <c r="E740" s="135">
        <v>727</v>
      </c>
      <c r="F740" s="135">
        <v>0</v>
      </c>
      <c r="G740" s="141">
        <f t="shared" si="57"/>
        <v>0</v>
      </c>
      <c r="H740" s="155">
        <f t="shared" si="58"/>
        <v>0</v>
      </c>
      <c r="I740" s="142">
        <f t="shared" si="59"/>
        <v>13430340</v>
      </c>
      <c r="J740" s="142">
        <v>0</v>
      </c>
      <c r="K740" s="142">
        <f t="shared" si="60"/>
        <v>0</v>
      </c>
      <c r="L740" s="142">
        <f t="shared" si="61"/>
        <v>13430340</v>
      </c>
    </row>
    <row r="741" spans="5:12" x14ac:dyDescent="0.35">
      <c r="E741" s="135">
        <v>728</v>
      </c>
      <c r="F741" s="135">
        <v>0</v>
      </c>
      <c r="G741" s="141">
        <f t="shared" si="57"/>
        <v>0</v>
      </c>
      <c r="H741" s="155">
        <f t="shared" si="58"/>
        <v>0</v>
      </c>
      <c r="I741" s="142">
        <f t="shared" si="59"/>
        <v>13430340</v>
      </c>
      <c r="J741" s="142">
        <v>0</v>
      </c>
      <c r="K741" s="142">
        <f t="shared" si="60"/>
        <v>0</v>
      </c>
      <c r="L741" s="142">
        <f t="shared" si="61"/>
        <v>13430340</v>
      </c>
    </row>
    <row r="742" spans="5:12" x14ac:dyDescent="0.35">
      <c r="E742" s="135">
        <v>729</v>
      </c>
      <c r="F742" s="135">
        <v>0</v>
      </c>
      <c r="G742" s="141">
        <f t="shared" si="57"/>
        <v>0</v>
      </c>
      <c r="H742" s="155">
        <f t="shared" si="58"/>
        <v>0</v>
      </c>
      <c r="I742" s="142">
        <f t="shared" si="59"/>
        <v>13430340</v>
      </c>
      <c r="J742" s="142">
        <v>0</v>
      </c>
      <c r="K742" s="142">
        <f t="shared" si="60"/>
        <v>0</v>
      </c>
      <c r="L742" s="142">
        <f t="shared" si="61"/>
        <v>13430340</v>
      </c>
    </row>
    <row r="743" spans="5:12" x14ac:dyDescent="0.35">
      <c r="E743" s="135">
        <v>730</v>
      </c>
      <c r="F743" s="135">
        <v>0</v>
      </c>
      <c r="G743" s="141">
        <f t="shared" si="57"/>
        <v>0</v>
      </c>
      <c r="H743" s="155">
        <f t="shared" si="58"/>
        <v>0</v>
      </c>
      <c r="I743" s="142">
        <f t="shared" si="59"/>
        <v>13430340</v>
      </c>
      <c r="J743" s="142">
        <v>0</v>
      </c>
      <c r="K743" s="142">
        <f t="shared" si="60"/>
        <v>0</v>
      </c>
      <c r="L743" s="142">
        <f t="shared" si="61"/>
        <v>13430340</v>
      </c>
    </row>
    <row r="744" spans="5:12" x14ac:dyDescent="0.35">
      <c r="E744" s="135">
        <v>731</v>
      </c>
      <c r="F744" s="135">
        <v>0</v>
      </c>
      <c r="G744" s="141">
        <f t="shared" si="57"/>
        <v>0</v>
      </c>
      <c r="H744" s="155">
        <f t="shared" si="58"/>
        <v>0</v>
      </c>
      <c r="I744" s="142">
        <f t="shared" si="59"/>
        <v>13430340</v>
      </c>
      <c r="J744" s="142">
        <v>0</v>
      </c>
      <c r="K744" s="142">
        <f t="shared" si="60"/>
        <v>0</v>
      </c>
      <c r="L744" s="142">
        <f t="shared" si="61"/>
        <v>13430340</v>
      </c>
    </row>
    <row r="745" spans="5:12" x14ac:dyDescent="0.35">
      <c r="E745" s="135">
        <v>732</v>
      </c>
      <c r="F745" s="135">
        <v>0</v>
      </c>
      <c r="G745" s="141">
        <f t="shared" si="57"/>
        <v>0</v>
      </c>
      <c r="H745" s="155">
        <f t="shared" si="58"/>
        <v>0</v>
      </c>
      <c r="I745" s="142">
        <f t="shared" si="59"/>
        <v>13430340</v>
      </c>
      <c r="J745" s="142">
        <v>0</v>
      </c>
      <c r="K745" s="142">
        <f t="shared" si="60"/>
        <v>0</v>
      </c>
      <c r="L745" s="142">
        <f t="shared" si="61"/>
        <v>13430340</v>
      </c>
    </row>
    <row r="746" spans="5:12" x14ac:dyDescent="0.35">
      <c r="E746" s="135">
        <v>733</v>
      </c>
      <c r="F746" s="135">
        <v>0</v>
      </c>
      <c r="G746" s="141">
        <f t="shared" si="57"/>
        <v>0</v>
      </c>
      <c r="H746" s="155">
        <f t="shared" si="58"/>
        <v>0</v>
      </c>
      <c r="I746" s="142">
        <f t="shared" si="59"/>
        <v>13430340</v>
      </c>
      <c r="J746" s="142">
        <v>0</v>
      </c>
      <c r="K746" s="142">
        <f t="shared" si="60"/>
        <v>0</v>
      </c>
      <c r="L746" s="142">
        <f t="shared" si="61"/>
        <v>13430340</v>
      </c>
    </row>
    <row r="747" spans="5:12" x14ac:dyDescent="0.35">
      <c r="E747" s="135">
        <v>734</v>
      </c>
      <c r="F747" s="135">
        <v>0</v>
      </c>
      <c r="G747" s="141">
        <f t="shared" si="57"/>
        <v>0</v>
      </c>
      <c r="H747" s="155">
        <f t="shared" si="58"/>
        <v>0</v>
      </c>
      <c r="I747" s="142">
        <f t="shared" si="59"/>
        <v>13430340</v>
      </c>
      <c r="J747" s="142">
        <v>0</v>
      </c>
      <c r="K747" s="142">
        <f t="shared" si="60"/>
        <v>0</v>
      </c>
      <c r="L747" s="142">
        <f t="shared" si="61"/>
        <v>13430340</v>
      </c>
    </row>
    <row r="748" spans="5:12" x14ac:dyDescent="0.35">
      <c r="E748" s="135">
        <v>735</v>
      </c>
      <c r="F748" s="135">
        <v>0</v>
      </c>
      <c r="G748" s="141">
        <f t="shared" si="57"/>
        <v>0</v>
      </c>
      <c r="H748" s="155">
        <f t="shared" si="58"/>
        <v>0</v>
      </c>
      <c r="I748" s="142">
        <f t="shared" si="59"/>
        <v>13430340</v>
      </c>
      <c r="J748" s="142">
        <v>0</v>
      </c>
      <c r="K748" s="142">
        <f t="shared" si="60"/>
        <v>0</v>
      </c>
      <c r="L748" s="142">
        <f t="shared" si="61"/>
        <v>13430340</v>
      </c>
    </row>
    <row r="749" spans="5:12" x14ac:dyDescent="0.35">
      <c r="E749" s="135">
        <v>736</v>
      </c>
      <c r="F749" s="135">
        <v>0</v>
      </c>
      <c r="G749" s="141">
        <f t="shared" si="57"/>
        <v>0</v>
      </c>
      <c r="H749" s="155">
        <f t="shared" si="58"/>
        <v>0</v>
      </c>
      <c r="I749" s="142">
        <f t="shared" si="59"/>
        <v>13430340</v>
      </c>
      <c r="J749" s="142">
        <v>0</v>
      </c>
      <c r="K749" s="142">
        <f t="shared" si="60"/>
        <v>0</v>
      </c>
      <c r="L749" s="142">
        <f t="shared" si="61"/>
        <v>13430340</v>
      </c>
    </row>
    <row r="750" spans="5:12" x14ac:dyDescent="0.35">
      <c r="E750" s="135">
        <v>737</v>
      </c>
      <c r="F750" s="135">
        <v>0</v>
      </c>
      <c r="G750" s="141">
        <f t="shared" si="57"/>
        <v>0</v>
      </c>
      <c r="H750" s="155">
        <f t="shared" si="58"/>
        <v>0</v>
      </c>
      <c r="I750" s="142">
        <f t="shared" si="59"/>
        <v>13430340</v>
      </c>
      <c r="J750" s="142">
        <v>0</v>
      </c>
      <c r="K750" s="142">
        <f t="shared" si="60"/>
        <v>0</v>
      </c>
      <c r="L750" s="142">
        <f t="shared" si="61"/>
        <v>13430340</v>
      </c>
    </row>
    <row r="751" spans="5:12" x14ac:dyDescent="0.35">
      <c r="E751" s="135">
        <v>738</v>
      </c>
      <c r="F751" s="135">
        <v>0</v>
      </c>
      <c r="G751" s="141">
        <f t="shared" si="57"/>
        <v>0</v>
      </c>
      <c r="H751" s="155">
        <f t="shared" si="58"/>
        <v>0</v>
      </c>
      <c r="I751" s="142">
        <f t="shared" si="59"/>
        <v>13430340</v>
      </c>
      <c r="J751" s="142">
        <v>0</v>
      </c>
      <c r="K751" s="142">
        <f t="shared" si="60"/>
        <v>0</v>
      </c>
      <c r="L751" s="142">
        <f t="shared" si="61"/>
        <v>13430340</v>
      </c>
    </row>
    <row r="752" spans="5:12" x14ac:dyDescent="0.35">
      <c r="E752" s="135">
        <v>739</v>
      </c>
      <c r="F752" s="135">
        <v>1</v>
      </c>
      <c r="G752" s="141">
        <f t="shared" si="57"/>
        <v>23.813582244547764</v>
      </c>
      <c r="H752" s="155">
        <f t="shared" si="58"/>
        <v>0</v>
      </c>
      <c r="I752" s="142">
        <f t="shared" si="59"/>
        <v>13430340</v>
      </c>
      <c r="J752" s="142">
        <v>0</v>
      </c>
      <c r="K752" s="142">
        <f t="shared" si="60"/>
        <v>136632.93323927111</v>
      </c>
      <c r="L752" s="142">
        <f t="shared" si="61"/>
        <v>13566972.933239272</v>
      </c>
    </row>
    <row r="753" spans="5:12" x14ac:dyDescent="0.35">
      <c r="E753" s="135">
        <v>740</v>
      </c>
      <c r="F753" s="135">
        <v>0</v>
      </c>
      <c r="G753" s="141">
        <f t="shared" si="57"/>
        <v>0</v>
      </c>
      <c r="H753" s="155">
        <f t="shared" si="58"/>
        <v>0</v>
      </c>
      <c r="I753" s="142">
        <f t="shared" si="59"/>
        <v>13430340</v>
      </c>
      <c r="J753" s="142">
        <v>0</v>
      </c>
      <c r="K753" s="142">
        <f t="shared" si="60"/>
        <v>0</v>
      </c>
      <c r="L753" s="142">
        <f t="shared" si="61"/>
        <v>13430340</v>
      </c>
    </row>
    <row r="754" spans="5:12" x14ac:dyDescent="0.35">
      <c r="E754" s="135">
        <v>741</v>
      </c>
      <c r="F754" s="135">
        <v>0</v>
      </c>
      <c r="G754" s="141">
        <f t="shared" si="57"/>
        <v>0</v>
      </c>
      <c r="H754" s="155">
        <f t="shared" si="58"/>
        <v>0</v>
      </c>
      <c r="I754" s="142">
        <f t="shared" si="59"/>
        <v>13430340</v>
      </c>
      <c r="J754" s="142">
        <v>0</v>
      </c>
      <c r="K754" s="142">
        <f t="shared" si="60"/>
        <v>0</v>
      </c>
      <c r="L754" s="142">
        <f t="shared" si="61"/>
        <v>13430340</v>
      </c>
    </row>
    <row r="755" spans="5:12" x14ac:dyDescent="0.35">
      <c r="E755" s="135">
        <v>742</v>
      </c>
      <c r="F755" s="135">
        <v>0</v>
      </c>
      <c r="G755" s="141">
        <f t="shared" si="57"/>
        <v>0</v>
      </c>
      <c r="H755" s="155">
        <f t="shared" si="58"/>
        <v>0</v>
      </c>
      <c r="I755" s="142">
        <f t="shared" si="59"/>
        <v>13430340</v>
      </c>
      <c r="J755" s="142">
        <v>0</v>
      </c>
      <c r="K755" s="142">
        <f t="shared" si="60"/>
        <v>0</v>
      </c>
      <c r="L755" s="142">
        <f t="shared" si="61"/>
        <v>13430340</v>
      </c>
    </row>
    <row r="756" spans="5:12" x14ac:dyDescent="0.35">
      <c r="E756" s="135">
        <v>743</v>
      </c>
      <c r="F756" s="135">
        <v>0</v>
      </c>
      <c r="G756" s="141">
        <f t="shared" si="57"/>
        <v>0</v>
      </c>
      <c r="H756" s="155">
        <f t="shared" si="58"/>
        <v>0</v>
      </c>
      <c r="I756" s="142">
        <f t="shared" si="59"/>
        <v>13430340</v>
      </c>
      <c r="J756" s="142">
        <v>0</v>
      </c>
      <c r="K756" s="142">
        <f t="shared" si="60"/>
        <v>0</v>
      </c>
      <c r="L756" s="142">
        <f t="shared" si="61"/>
        <v>13430340</v>
      </c>
    </row>
    <row r="757" spans="5:12" x14ac:dyDescent="0.35">
      <c r="E757" s="135">
        <v>744</v>
      </c>
      <c r="F757" s="135">
        <v>0</v>
      </c>
      <c r="G757" s="141">
        <f t="shared" si="57"/>
        <v>0</v>
      </c>
      <c r="H757" s="155">
        <f t="shared" si="58"/>
        <v>0</v>
      </c>
      <c r="I757" s="142">
        <f t="shared" si="59"/>
        <v>13430340</v>
      </c>
      <c r="J757" s="142">
        <v>0</v>
      </c>
      <c r="K757" s="142">
        <f t="shared" si="60"/>
        <v>0</v>
      </c>
      <c r="L757" s="142">
        <f t="shared" si="61"/>
        <v>13430340</v>
      </c>
    </row>
    <row r="758" spans="5:12" x14ac:dyDescent="0.35">
      <c r="E758" s="135">
        <v>745</v>
      </c>
      <c r="F758" s="135">
        <v>0</v>
      </c>
      <c r="G758" s="141">
        <f t="shared" si="57"/>
        <v>0</v>
      </c>
      <c r="H758" s="155">
        <f t="shared" si="58"/>
        <v>0</v>
      </c>
      <c r="I758" s="142">
        <f t="shared" si="59"/>
        <v>13430340</v>
      </c>
      <c r="J758" s="142">
        <v>0</v>
      </c>
      <c r="K758" s="142">
        <f t="shared" si="60"/>
        <v>0</v>
      </c>
      <c r="L758" s="142">
        <f t="shared" si="61"/>
        <v>13430340</v>
      </c>
    </row>
    <row r="759" spans="5:12" x14ac:dyDescent="0.35">
      <c r="E759" s="135">
        <v>746</v>
      </c>
      <c r="F759" s="135">
        <v>1</v>
      </c>
      <c r="G759" s="141">
        <f t="shared" si="57"/>
        <v>23.813582244547764</v>
      </c>
      <c r="H759" s="155">
        <f t="shared" si="58"/>
        <v>0</v>
      </c>
      <c r="I759" s="142">
        <f t="shared" si="59"/>
        <v>13430340</v>
      </c>
      <c r="J759" s="142">
        <v>0</v>
      </c>
      <c r="K759" s="142">
        <f t="shared" si="60"/>
        <v>136632.93323927111</v>
      </c>
      <c r="L759" s="142">
        <f t="shared" si="61"/>
        <v>13566972.933239272</v>
      </c>
    </row>
    <row r="760" spans="5:12" x14ac:dyDescent="0.35">
      <c r="E760" s="135">
        <v>747</v>
      </c>
      <c r="F760" s="135">
        <v>0</v>
      </c>
      <c r="G760" s="141">
        <f t="shared" si="57"/>
        <v>0</v>
      </c>
      <c r="H760" s="155">
        <f t="shared" si="58"/>
        <v>0</v>
      </c>
      <c r="I760" s="142">
        <f t="shared" si="59"/>
        <v>13430340</v>
      </c>
      <c r="J760" s="142">
        <v>0</v>
      </c>
      <c r="K760" s="142">
        <f t="shared" si="60"/>
        <v>0</v>
      </c>
      <c r="L760" s="142">
        <f t="shared" si="61"/>
        <v>13430340</v>
      </c>
    </row>
    <row r="761" spans="5:12" x14ac:dyDescent="0.35">
      <c r="E761" s="135">
        <v>748</v>
      </c>
      <c r="F761" s="135">
        <v>1</v>
      </c>
      <c r="G761" s="141">
        <f t="shared" si="57"/>
        <v>23.813582244547764</v>
      </c>
      <c r="H761" s="155">
        <f t="shared" si="58"/>
        <v>0</v>
      </c>
      <c r="I761" s="142">
        <f t="shared" si="59"/>
        <v>13430340</v>
      </c>
      <c r="J761" s="142">
        <v>0</v>
      </c>
      <c r="K761" s="142">
        <f t="shared" si="60"/>
        <v>136632.93323927111</v>
      </c>
      <c r="L761" s="142">
        <f t="shared" si="61"/>
        <v>13566972.933239272</v>
      </c>
    </row>
    <row r="762" spans="5:12" x14ac:dyDescent="0.35">
      <c r="E762" s="135">
        <v>749</v>
      </c>
      <c r="F762" s="135">
        <v>0</v>
      </c>
      <c r="G762" s="141">
        <f t="shared" si="57"/>
        <v>0</v>
      </c>
      <c r="H762" s="155">
        <f t="shared" si="58"/>
        <v>0</v>
      </c>
      <c r="I762" s="142">
        <f t="shared" si="59"/>
        <v>13430340</v>
      </c>
      <c r="J762" s="142">
        <v>0</v>
      </c>
      <c r="K762" s="142">
        <f t="shared" si="60"/>
        <v>0</v>
      </c>
      <c r="L762" s="142">
        <f t="shared" si="61"/>
        <v>13430340</v>
      </c>
    </row>
    <row r="763" spans="5:12" x14ac:dyDescent="0.35">
      <c r="E763" s="135">
        <v>750</v>
      </c>
      <c r="F763" s="135">
        <v>0</v>
      </c>
      <c r="G763" s="141">
        <f t="shared" si="57"/>
        <v>0</v>
      </c>
      <c r="H763" s="155">
        <f t="shared" si="58"/>
        <v>0</v>
      </c>
      <c r="I763" s="142">
        <f t="shared" si="59"/>
        <v>13430340</v>
      </c>
      <c r="J763" s="142">
        <v>0</v>
      </c>
      <c r="K763" s="142">
        <f t="shared" si="60"/>
        <v>0</v>
      </c>
      <c r="L763" s="142">
        <f t="shared" si="61"/>
        <v>13430340</v>
      </c>
    </row>
    <row r="764" spans="5:12" x14ac:dyDescent="0.35">
      <c r="E764" s="135">
        <v>751</v>
      </c>
      <c r="F764" s="135">
        <v>0</v>
      </c>
      <c r="G764" s="141">
        <f t="shared" si="57"/>
        <v>0</v>
      </c>
      <c r="H764" s="155">
        <f t="shared" si="58"/>
        <v>0</v>
      </c>
      <c r="I764" s="142">
        <f t="shared" si="59"/>
        <v>13430340</v>
      </c>
      <c r="J764" s="142">
        <v>0</v>
      </c>
      <c r="K764" s="142">
        <f t="shared" si="60"/>
        <v>0</v>
      </c>
      <c r="L764" s="142">
        <f t="shared" si="61"/>
        <v>13430340</v>
      </c>
    </row>
    <row r="765" spans="5:12" x14ac:dyDescent="0.35">
      <c r="E765" s="135">
        <v>752</v>
      </c>
      <c r="F765" s="135">
        <v>0</v>
      </c>
      <c r="G765" s="141">
        <f t="shared" si="57"/>
        <v>0</v>
      </c>
      <c r="H765" s="155">
        <f t="shared" si="58"/>
        <v>0</v>
      </c>
      <c r="I765" s="142">
        <f t="shared" si="59"/>
        <v>13430340</v>
      </c>
      <c r="J765" s="142">
        <v>0</v>
      </c>
      <c r="K765" s="142">
        <f t="shared" si="60"/>
        <v>0</v>
      </c>
      <c r="L765" s="142">
        <f t="shared" si="61"/>
        <v>13430340</v>
      </c>
    </row>
    <row r="766" spans="5:12" x14ac:dyDescent="0.35">
      <c r="E766" s="135">
        <v>753</v>
      </c>
      <c r="F766" s="135">
        <v>0</v>
      </c>
      <c r="G766" s="141">
        <f t="shared" si="57"/>
        <v>0</v>
      </c>
      <c r="H766" s="155">
        <f t="shared" si="58"/>
        <v>0</v>
      </c>
      <c r="I766" s="142">
        <f t="shared" si="59"/>
        <v>13430340</v>
      </c>
      <c r="J766" s="142">
        <v>0</v>
      </c>
      <c r="K766" s="142">
        <f t="shared" si="60"/>
        <v>0</v>
      </c>
      <c r="L766" s="142">
        <f t="shared" si="61"/>
        <v>13430340</v>
      </c>
    </row>
    <row r="767" spans="5:12" x14ac:dyDescent="0.35">
      <c r="E767" s="135">
        <v>754</v>
      </c>
      <c r="F767" s="135">
        <v>0</v>
      </c>
      <c r="G767" s="141">
        <f t="shared" si="57"/>
        <v>0</v>
      </c>
      <c r="H767" s="155">
        <f t="shared" si="58"/>
        <v>0</v>
      </c>
      <c r="I767" s="142">
        <f t="shared" si="59"/>
        <v>13430340</v>
      </c>
      <c r="J767" s="142">
        <v>0</v>
      </c>
      <c r="K767" s="142">
        <f t="shared" si="60"/>
        <v>0</v>
      </c>
      <c r="L767" s="142">
        <f t="shared" si="61"/>
        <v>13430340</v>
      </c>
    </row>
    <row r="768" spans="5:12" x14ac:dyDescent="0.35">
      <c r="E768" s="135">
        <v>755</v>
      </c>
      <c r="F768" s="135">
        <v>0</v>
      </c>
      <c r="G768" s="141">
        <f t="shared" si="57"/>
        <v>0</v>
      </c>
      <c r="H768" s="155">
        <f t="shared" si="58"/>
        <v>0</v>
      </c>
      <c r="I768" s="142">
        <f t="shared" si="59"/>
        <v>13430340</v>
      </c>
      <c r="J768" s="142">
        <v>0</v>
      </c>
      <c r="K768" s="142">
        <f t="shared" si="60"/>
        <v>0</v>
      </c>
      <c r="L768" s="142">
        <f t="shared" si="61"/>
        <v>13430340</v>
      </c>
    </row>
    <row r="769" spans="5:12" x14ac:dyDescent="0.35">
      <c r="E769" s="135">
        <v>756</v>
      </c>
      <c r="F769" s="135">
        <v>0</v>
      </c>
      <c r="G769" s="141">
        <f t="shared" si="57"/>
        <v>0</v>
      </c>
      <c r="H769" s="155">
        <f t="shared" si="58"/>
        <v>0</v>
      </c>
      <c r="I769" s="142">
        <f t="shared" si="59"/>
        <v>13430340</v>
      </c>
      <c r="J769" s="142">
        <v>0</v>
      </c>
      <c r="K769" s="142">
        <f t="shared" si="60"/>
        <v>0</v>
      </c>
      <c r="L769" s="142">
        <f t="shared" si="61"/>
        <v>13430340</v>
      </c>
    </row>
    <row r="770" spans="5:12" x14ac:dyDescent="0.35">
      <c r="E770" s="135">
        <v>757</v>
      </c>
      <c r="F770" s="135">
        <v>0</v>
      </c>
      <c r="G770" s="141">
        <f t="shared" si="57"/>
        <v>0</v>
      </c>
      <c r="H770" s="155">
        <f t="shared" si="58"/>
        <v>0</v>
      </c>
      <c r="I770" s="142">
        <f t="shared" si="59"/>
        <v>13430340</v>
      </c>
      <c r="J770" s="142">
        <v>0</v>
      </c>
      <c r="K770" s="142">
        <f t="shared" si="60"/>
        <v>0</v>
      </c>
      <c r="L770" s="142">
        <f t="shared" si="61"/>
        <v>13430340</v>
      </c>
    </row>
    <row r="771" spans="5:12" x14ac:dyDescent="0.35">
      <c r="E771" s="135">
        <v>758</v>
      </c>
      <c r="F771" s="135">
        <v>0</v>
      </c>
      <c r="G771" s="141">
        <f t="shared" si="57"/>
        <v>0</v>
      </c>
      <c r="H771" s="155">
        <f t="shared" si="58"/>
        <v>0</v>
      </c>
      <c r="I771" s="142">
        <f t="shared" si="59"/>
        <v>13430340</v>
      </c>
      <c r="J771" s="142">
        <v>0</v>
      </c>
      <c r="K771" s="142">
        <f t="shared" si="60"/>
        <v>0</v>
      </c>
      <c r="L771" s="142">
        <f t="shared" si="61"/>
        <v>13430340</v>
      </c>
    </row>
    <row r="772" spans="5:12" x14ac:dyDescent="0.35">
      <c r="E772" s="135">
        <v>759</v>
      </c>
      <c r="F772" s="135">
        <v>0</v>
      </c>
      <c r="G772" s="141">
        <f t="shared" si="57"/>
        <v>0</v>
      </c>
      <c r="H772" s="155">
        <f t="shared" si="58"/>
        <v>0</v>
      </c>
      <c r="I772" s="142">
        <f t="shared" si="59"/>
        <v>13430340</v>
      </c>
      <c r="J772" s="142">
        <v>0</v>
      </c>
      <c r="K772" s="142">
        <f t="shared" si="60"/>
        <v>0</v>
      </c>
      <c r="L772" s="142">
        <f t="shared" si="61"/>
        <v>13430340</v>
      </c>
    </row>
    <row r="773" spans="5:12" x14ac:dyDescent="0.35">
      <c r="E773" s="135">
        <v>760</v>
      </c>
      <c r="F773" s="135">
        <v>0</v>
      </c>
      <c r="G773" s="141">
        <f t="shared" si="57"/>
        <v>0</v>
      </c>
      <c r="H773" s="155">
        <f t="shared" si="58"/>
        <v>0</v>
      </c>
      <c r="I773" s="142">
        <f t="shared" si="59"/>
        <v>13430340</v>
      </c>
      <c r="J773" s="142">
        <v>0</v>
      </c>
      <c r="K773" s="142">
        <f t="shared" si="60"/>
        <v>0</v>
      </c>
      <c r="L773" s="142">
        <f t="shared" si="61"/>
        <v>13430340</v>
      </c>
    </row>
    <row r="774" spans="5:12" x14ac:dyDescent="0.35">
      <c r="E774" s="135">
        <v>761</v>
      </c>
      <c r="F774" s="135">
        <v>0</v>
      </c>
      <c r="G774" s="141">
        <f t="shared" si="57"/>
        <v>0</v>
      </c>
      <c r="H774" s="155">
        <f t="shared" si="58"/>
        <v>0</v>
      </c>
      <c r="I774" s="142">
        <f t="shared" si="59"/>
        <v>13430340</v>
      </c>
      <c r="J774" s="142">
        <v>0</v>
      </c>
      <c r="K774" s="142">
        <f t="shared" si="60"/>
        <v>0</v>
      </c>
      <c r="L774" s="142">
        <f t="shared" si="61"/>
        <v>13430340</v>
      </c>
    </row>
    <row r="775" spans="5:12" x14ac:dyDescent="0.35">
      <c r="E775" s="135">
        <v>762</v>
      </c>
      <c r="F775" s="135">
        <v>0</v>
      </c>
      <c r="G775" s="141">
        <f t="shared" si="57"/>
        <v>0</v>
      </c>
      <c r="H775" s="155">
        <f t="shared" si="58"/>
        <v>0</v>
      </c>
      <c r="I775" s="142">
        <f t="shared" si="59"/>
        <v>13430340</v>
      </c>
      <c r="J775" s="142">
        <v>0</v>
      </c>
      <c r="K775" s="142">
        <f t="shared" si="60"/>
        <v>0</v>
      </c>
      <c r="L775" s="142">
        <f t="shared" si="61"/>
        <v>13430340</v>
      </c>
    </row>
    <row r="776" spans="5:12" x14ac:dyDescent="0.35">
      <c r="E776" s="135">
        <v>763</v>
      </c>
      <c r="F776" s="135">
        <v>0</v>
      </c>
      <c r="G776" s="141">
        <f t="shared" si="57"/>
        <v>0</v>
      </c>
      <c r="H776" s="155">
        <f t="shared" si="58"/>
        <v>0</v>
      </c>
      <c r="I776" s="142">
        <f t="shared" si="59"/>
        <v>13430340</v>
      </c>
      <c r="J776" s="142">
        <v>0</v>
      </c>
      <c r="K776" s="142">
        <f t="shared" si="60"/>
        <v>0</v>
      </c>
      <c r="L776" s="142">
        <f t="shared" si="61"/>
        <v>13430340</v>
      </c>
    </row>
    <row r="777" spans="5:12" x14ac:dyDescent="0.35">
      <c r="E777" s="135">
        <v>764</v>
      </c>
      <c r="F777" s="135">
        <v>1</v>
      </c>
      <c r="G777" s="141">
        <f t="shared" si="57"/>
        <v>23.813582244547764</v>
      </c>
      <c r="H777" s="155">
        <f t="shared" si="58"/>
        <v>0</v>
      </c>
      <c r="I777" s="142">
        <f t="shared" si="59"/>
        <v>13430340</v>
      </c>
      <c r="J777" s="142">
        <v>0</v>
      </c>
      <c r="K777" s="142">
        <f t="shared" si="60"/>
        <v>136632.93323927111</v>
      </c>
      <c r="L777" s="142">
        <f t="shared" si="61"/>
        <v>13566972.933239272</v>
      </c>
    </row>
    <row r="778" spans="5:12" x14ac:dyDescent="0.35">
      <c r="E778" s="135">
        <v>765</v>
      </c>
      <c r="F778" s="135">
        <v>0</v>
      </c>
      <c r="G778" s="141">
        <f t="shared" si="57"/>
        <v>0</v>
      </c>
      <c r="H778" s="155">
        <f t="shared" si="58"/>
        <v>0</v>
      </c>
      <c r="I778" s="142">
        <f t="shared" si="59"/>
        <v>13430340</v>
      </c>
      <c r="J778" s="142">
        <v>0</v>
      </c>
      <c r="K778" s="142">
        <f t="shared" si="60"/>
        <v>0</v>
      </c>
      <c r="L778" s="142">
        <f t="shared" si="61"/>
        <v>13430340</v>
      </c>
    </row>
    <row r="779" spans="5:12" x14ac:dyDescent="0.35">
      <c r="E779" s="135">
        <v>766</v>
      </c>
      <c r="F779" s="135">
        <v>0</v>
      </c>
      <c r="G779" s="141">
        <f t="shared" si="57"/>
        <v>0</v>
      </c>
      <c r="H779" s="155">
        <f t="shared" si="58"/>
        <v>0</v>
      </c>
      <c r="I779" s="142">
        <f t="shared" si="59"/>
        <v>13430340</v>
      </c>
      <c r="J779" s="142">
        <v>0</v>
      </c>
      <c r="K779" s="142">
        <f t="shared" si="60"/>
        <v>0</v>
      </c>
      <c r="L779" s="142">
        <f t="shared" si="61"/>
        <v>13430340</v>
      </c>
    </row>
    <row r="780" spans="5:12" x14ac:dyDescent="0.35">
      <c r="E780" s="135">
        <v>767</v>
      </c>
      <c r="F780" s="135">
        <v>0</v>
      </c>
      <c r="G780" s="141">
        <f t="shared" si="57"/>
        <v>0</v>
      </c>
      <c r="H780" s="155">
        <f t="shared" si="58"/>
        <v>0</v>
      </c>
      <c r="I780" s="142">
        <f t="shared" si="59"/>
        <v>13430340</v>
      </c>
      <c r="J780" s="142">
        <v>0</v>
      </c>
      <c r="K780" s="142">
        <f t="shared" si="60"/>
        <v>0</v>
      </c>
      <c r="L780" s="142">
        <f t="shared" si="61"/>
        <v>13430340</v>
      </c>
    </row>
    <row r="781" spans="5:12" x14ac:dyDescent="0.35">
      <c r="E781" s="135">
        <v>768</v>
      </c>
      <c r="F781" s="135">
        <v>0</v>
      </c>
      <c r="G781" s="141">
        <f t="shared" si="57"/>
        <v>0</v>
      </c>
      <c r="H781" s="155">
        <f t="shared" si="58"/>
        <v>0</v>
      </c>
      <c r="I781" s="142">
        <f t="shared" si="59"/>
        <v>13430340</v>
      </c>
      <c r="J781" s="142">
        <v>0</v>
      </c>
      <c r="K781" s="142">
        <f t="shared" si="60"/>
        <v>0</v>
      </c>
      <c r="L781" s="142">
        <f t="shared" si="61"/>
        <v>13430340</v>
      </c>
    </row>
    <row r="782" spans="5:12" x14ac:dyDescent="0.35">
      <c r="E782" s="135">
        <v>769</v>
      </c>
      <c r="F782" s="135">
        <v>1</v>
      </c>
      <c r="G782" s="141">
        <f t="shared" ref="G782:G845" si="62">F782*$C$10</f>
        <v>23.813582244547764</v>
      </c>
      <c r="H782" s="155">
        <f t="shared" ref="H782:H845" si="63">IF(F782 &gt; 1,$C$14*20000,0)</f>
        <v>0</v>
      </c>
      <c r="I782" s="142">
        <f t="shared" ref="I782:I845" si="64">IF(F782 &gt; 1,$C$5+$G$2,$G$2)</f>
        <v>13430340</v>
      </c>
      <c r="J782" s="142">
        <v>0</v>
      </c>
      <c r="K782" s="142">
        <f t="shared" ref="K782:K845" si="65">F782*$C$6</f>
        <v>136632.93323927111</v>
      </c>
      <c r="L782" s="142">
        <f t="shared" ref="L782:L845" si="66">J782+I782+K782</f>
        <v>13566972.933239272</v>
      </c>
    </row>
    <row r="783" spans="5:12" x14ac:dyDescent="0.35">
      <c r="E783" s="135">
        <v>770</v>
      </c>
      <c r="F783" s="135">
        <v>0</v>
      </c>
      <c r="G783" s="141">
        <f t="shared" si="62"/>
        <v>0</v>
      </c>
      <c r="H783" s="155">
        <f t="shared" si="63"/>
        <v>0</v>
      </c>
      <c r="I783" s="142">
        <f t="shared" si="64"/>
        <v>13430340</v>
      </c>
      <c r="J783" s="142">
        <v>0</v>
      </c>
      <c r="K783" s="142">
        <f t="shared" si="65"/>
        <v>0</v>
      </c>
      <c r="L783" s="142">
        <f t="shared" si="66"/>
        <v>13430340</v>
      </c>
    </row>
    <row r="784" spans="5:12" x14ac:dyDescent="0.35">
      <c r="E784" s="135">
        <v>771</v>
      </c>
      <c r="F784" s="135">
        <v>1</v>
      </c>
      <c r="G784" s="141">
        <f t="shared" si="62"/>
        <v>23.813582244547764</v>
      </c>
      <c r="H784" s="155">
        <f t="shared" si="63"/>
        <v>0</v>
      </c>
      <c r="I784" s="142">
        <f t="shared" si="64"/>
        <v>13430340</v>
      </c>
      <c r="J784" s="142">
        <v>0</v>
      </c>
      <c r="K784" s="142">
        <f t="shared" si="65"/>
        <v>136632.93323927111</v>
      </c>
      <c r="L784" s="142">
        <f t="shared" si="66"/>
        <v>13566972.933239272</v>
      </c>
    </row>
    <row r="785" spans="5:12" x14ac:dyDescent="0.35">
      <c r="E785" s="135">
        <v>772</v>
      </c>
      <c r="F785" s="135">
        <v>0</v>
      </c>
      <c r="G785" s="141">
        <f t="shared" si="62"/>
        <v>0</v>
      </c>
      <c r="H785" s="155">
        <f t="shared" si="63"/>
        <v>0</v>
      </c>
      <c r="I785" s="142">
        <f t="shared" si="64"/>
        <v>13430340</v>
      </c>
      <c r="J785" s="142">
        <v>0</v>
      </c>
      <c r="K785" s="142">
        <f t="shared" si="65"/>
        <v>0</v>
      </c>
      <c r="L785" s="142">
        <f t="shared" si="66"/>
        <v>13430340</v>
      </c>
    </row>
    <row r="786" spans="5:12" x14ac:dyDescent="0.35">
      <c r="E786" s="135">
        <v>773</v>
      </c>
      <c r="F786" s="135">
        <v>0</v>
      </c>
      <c r="G786" s="141">
        <f t="shared" si="62"/>
        <v>0</v>
      </c>
      <c r="H786" s="155">
        <f t="shared" si="63"/>
        <v>0</v>
      </c>
      <c r="I786" s="142">
        <f t="shared" si="64"/>
        <v>13430340</v>
      </c>
      <c r="J786" s="142">
        <v>0</v>
      </c>
      <c r="K786" s="142">
        <f t="shared" si="65"/>
        <v>0</v>
      </c>
      <c r="L786" s="142">
        <f t="shared" si="66"/>
        <v>13430340</v>
      </c>
    </row>
    <row r="787" spans="5:12" x14ac:dyDescent="0.35">
      <c r="E787" s="135">
        <v>774</v>
      </c>
      <c r="F787" s="135">
        <v>0</v>
      </c>
      <c r="G787" s="141">
        <f t="shared" si="62"/>
        <v>0</v>
      </c>
      <c r="H787" s="155">
        <f t="shared" si="63"/>
        <v>0</v>
      </c>
      <c r="I787" s="142">
        <f t="shared" si="64"/>
        <v>13430340</v>
      </c>
      <c r="J787" s="142">
        <v>0</v>
      </c>
      <c r="K787" s="142">
        <f t="shared" si="65"/>
        <v>0</v>
      </c>
      <c r="L787" s="142">
        <f t="shared" si="66"/>
        <v>13430340</v>
      </c>
    </row>
    <row r="788" spans="5:12" x14ac:dyDescent="0.35">
      <c r="E788" s="135">
        <v>775</v>
      </c>
      <c r="F788" s="135">
        <v>0</v>
      </c>
      <c r="G788" s="141">
        <f t="shared" si="62"/>
        <v>0</v>
      </c>
      <c r="H788" s="155">
        <f t="shared" si="63"/>
        <v>0</v>
      </c>
      <c r="I788" s="142">
        <f t="shared" si="64"/>
        <v>13430340</v>
      </c>
      <c r="J788" s="142">
        <v>0</v>
      </c>
      <c r="K788" s="142">
        <f t="shared" si="65"/>
        <v>0</v>
      </c>
      <c r="L788" s="142">
        <f t="shared" si="66"/>
        <v>13430340</v>
      </c>
    </row>
    <row r="789" spans="5:12" x14ac:dyDescent="0.35">
      <c r="E789" s="135">
        <v>776</v>
      </c>
      <c r="F789" s="135">
        <v>0</v>
      </c>
      <c r="G789" s="141">
        <f t="shared" si="62"/>
        <v>0</v>
      </c>
      <c r="H789" s="155">
        <f t="shared" si="63"/>
        <v>0</v>
      </c>
      <c r="I789" s="142">
        <f t="shared" si="64"/>
        <v>13430340</v>
      </c>
      <c r="J789" s="142">
        <v>0</v>
      </c>
      <c r="K789" s="142">
        <f t="shared" si="65"/>
        <v>0</v>
      </c>
      <c r="L789" s="142">
        <f t="shared" si="66"/>
        <v>13430340</v>
      </c>
    </row>
    <row r="790" spans="5:12" x14ac:dyDescent="0.35">
      <c r="E790" s="135">
        <v>777</v>
      </c>
      <c r="F790" s="135">
        <v>1</v>
      </c>
      <c r="G790" s="141">
        <f t="shared" si="62"/>
        <v>23.813582244547764</v>
      </c>
      <c r="H790" s="155">
        <f t="shared" si="63"/>
        <v>0</v>
      </c>
      <c r="I790" s="142">
        <f t="shared" si="64"/>
        <v>13430340</v>
      </c>
      <c r="J790" s="142">
        <v>0</v>
      </c>
      <c r="K790" s="142">
        <f t="shared" si="65"/>
        <v>136632.93323927111</v>
      </c>
      <c r="L790" s="142">
        <f t="shared" si="66"/>
        <v>13566972.933239272</v>
      </c>
    </row>
    <row r="791" spans="5:12" x14ac:dyDescent="0.35">
      <c r="E791" s="135">
        <v>778</v>
      </c>
      <c r="F791" s="135">
        <v>1</v>
      </c>
      <c r="G791" s="141">
        <f t="shared" si="62"/>
        <v>23.813582244547764</v>
      </c>
      <c r="H791" s="155">
        <f t="shared" si="63"/>
        <v>0</v>
      </c>
      <c r="I791" s="142">
        <f t="shared" si="64"/>
        <v>13430340</v>
      </c>
      <c r="J791" s="142">
        <v>0</v>
      </c>
      <c r="K791" s="142">
        <f t="shared" si="65"/>
        <v>136632.93323927111</v>
      </c>
      <c r="L791" s="142">
        <f t="shared" si="66"/>
        <v>13566972.933239272</v>
      </c>
    </row>
    <row r="792" spans="5:12" x14ac:dyDescent="0.35">
      <c r="E792" s="135">
        <v>779</v>
      </c>
      <c r="F792" s="135">
        <v>1</v>
      </c>
      <c r="G792" s="141">
        <f t="shared" si="62"/>
        <v>23.813582244547764</v>
      </c>
      <c r="H792" s="155">
        <f t="shared" si="63"/>
        <v>0</v>
      </c>
      <c r="I792" s="142">
        <f t="shared" si="64"/>
        <v>13430340</v>
      </c>
      <c r="J792" s="142">
        <v>0</v>
      </c>
      <c r="K792" s="142">
        <f t="shared" si="65"/>
        <v>136632.93323927111</v>
      </c>
      <c r="L792" s="142">
        <f t="shared" si="66"/>
        <v>13566972.933239272</v>
      </c>
    </row>
    <row r="793" spans="5:12" x14ac:dyDescent="0.35">
      <c r="E793" s="135">
        <v>780</v>
      </c>
      <c r="F793" s="135">
        <v>0</v>
      </c>
      <c r="G793" s="141">
        <f t="shared" si="62"/>
        <v>0</v>
      </c>
      <c r="H793" s="155">
        <f t="shared" si="63"/>
        <v>0</v>
      </c>
      <c r="I793" s="142">
        <f t="shared" si="64"/>
        <v>13430340</v>
      </c>
      <c r="J793" s="142">
        <v>0</v>
      </c>
      <c r="K793" s="142">
        <f t="shared" si="65"/>
        <v>0</v>
      </c>
      <c r="L793" s="142">
        <f t="shared" si="66"/>
        <v>13430340</v>
      </c>
    </row>
    <row r="794" spans="5:12" x14ac:dyDescent="0.35">
      <c r="E794" s="135">
        <v>781</v>
      </c>
      <c r="F794" s="135">
        <v>0</v>
      </c>
      <c r="G794" s="141">
        <f t="shared" si="62"/>
        <v>0</v>
      </c>
      <c r="H794" s="155">
        <f t="shared" si="63"/>
        <v>0</v>
      </c>
      <c r="I794" s="142">
        <f t="shared" si="64"/>
        <v>13430340</v>
      </c>
      <c r="J794" s="142">
        <v>0</v>
      </c>
      <c r="K794" s="142">
        <f t="shared" si="65"/>
        <v>0</v>
      </c>
      <c r="L794" s="142">
        <f t="shared" si="66"/>
        <v>13430340</v>
      </c>
    </row>
    <row r="795" spans="5:12" x14ac:dyDescent="0.35">
      <c r="E795" s="135">
        <v>782</v>
      </c>
      <c r="F795" s="135">
        <v>0</v>
      </c>
      <c r="G795" s="141">
        <f t="shared" si="62"/>
        <v>0</v>
      </c>
      <c r="H795" s="155">
        <f t="shared" si="63"/>
        <v>0</v>
      </c>
      <c r="I795" s="142">
        <f t="shared" si="64"/>
        <v>13430340</v>
      </c>
      <c r="J795" s="142">
        <v>0</v>
      </c>
      <c r="K795" s="142">
        <f t="shared" si="65"/>
        <v>0</v>
      </c>
      <c r="L795" s="142">
        <f t="shared" si="66"/>
        <v>13430340</v>
      </c>
    </row>
    <row r="796" spans="5:12" x14ac:dyDescent="0.35">
      <c r="E796" s="135">
        <v>783</v>
      </c>
      <c r="F796" s="135">
        <v>0</v>
      </c>
      <c r="G796" s="141">
        <f t="shared" si="62"/>
        <v>0</v>
      </c>
      <c r="H796" s="155">
        <f t="shared" si="63"/>
        <v>0</v>
      </c>
      <c r="I796" s="142">
        <f t="shared" si="64"/>
        <v>13430340</v>
      </c>
      <c r="J796" s="142">
        <v>0</v>
      </c>
      <c r="K796" s="142">
        <f t="shared" si="65"/>
        <v>0</v>
      </c>
      <c r="L796" s="142">
        <f t="shared" si="66"/>
        <v>13430340</v>
      </c>
    </row>
    <row r="797" spans="5:12" x14ac:dyDescent="0.35">
      <c r="E797" s="135">
        <v>784</v>
      </c>
      <c r="F797" s="135">
        <v>0</v>
      </c>
      <c r="G797" s="141">
        <f t="shared" si="62"/>
        <v>0</v>
      </c>
      <c r="H797" s="155">
        <f t="shared" si="63"/>
        <v>0</v>
      </c>
      <c r="I797" s="142">
        <f t="shared" si="64"/>
        <v>13430340</v>
      </c>
      <c r="J797" s="142">
        <v>0</v>
      </c>
      <c r="K797" s="142">
        <f t="shared" si="65"/>
        <v>0</v>
      </c>
      <c r="L797" s="142">
        <f t="shared" si="66"/>
        <v>13430340</v>
      </c>
    </row>
    <row r="798" spans="5:12" x14ac:dyDescent="0.35">
      <c r="E798" s="135">
        <v>785</v>
      </c>
      <c r="F798" s="135">
        <v>0</v>
      </c>
      <c r="G798" s="141">
        <f t="shared" si="62"/>
        <v>0</v>
      </c>
      <c r="H798" s="155">
        <f t="shared" si="63"/>
        <v>0</v>
      </c>
      <c r="I798" s="142">
        <f t="shared" si="64"/>
        <v>13430340</v>
      </c>
      <c r="J798" s="142">
        <v>0</v>
      </c>
      <c r="K798" s="142">
        <f t="shared" si="65"/>
        <v>0</v>
      </c>
      <c r="L798" s="142">
        <f t="shared" si="66"/>
        <v>13430340</v>
      </c>
    </row>
    <row r="799" spans="5:12" x14ac:dyDescent="0.35">
      <c r="E799" s="135">
        <v>786</v>
      </c>
      <c r="F799" s="135">
        <v>0</v>
      </c>
      <c r="G799" s="141">
        <f t="shared" si="62"/>
        <v>0</v>
      </c>
      <c r="H799" s="155">
        <f t="shared" si="63"/>
        <v>0</v>
      </c>
      <c r="I799" s="142">
        <f t="shared" si="64"/>
        <v>13430340</v>
      </c>
      <c r="J799" s="142">
        <v>0</v>
      </c>
      <c r="K799" s="142">
        <f t="shared" si="65"/>
        <v>0</v>
      </c>
      <c r="L799" s="142">
        <f t="shared" si="66"/>
        <v>13430340</v>
      </c>
    </row>
    <row r="800" spans="5:12" x14ac:dyDescent="0.35">
      <c r="E800" s="135">
        <v>787</v>
      </c>
      <c r="F800" s="135">
        <v>0</v>
      </c>
      <c r="G800" s="141">
        <f t="shared" si="62"/>
        <v>0</v>
      </c>
      <c r="H800" s="155">
        <f t="shared" si="63"/>
        <v>0</v>
      </c>
      <c r="I800" s="142">
        <f t="shared" si="64"/>
        <v>13430340</v>
      </c>
      <c r="J800" s="142">
        <v>0</v>
      </c>
      <c r="K800" s="142">
        <f t="shared" si="65"/>
        <v>0</v>
      </c>
      <c r="L800" s="142">
        <f t="shared" si="66"/>
        <v>13430340</v>
      </c>
    </row>
    <row r="801" spans="5:12" x14ac:dyDescent="0.35">
      <c r="E801" s="135">
        <v>788</v>
      </c>
      <c r="F801" s="135">
        <v>0</v>
      </c>
      <c r="G801" s="141">
        <f t="shared" si="62"/>
        <v>0</v>
      </c>
      <c r="H801" s="155">
        <f t="shared" si="63"/>
        <v>0</v>
      </c>
      <c r="I801" s="142">
        <f t="shared" si="64"/>
        <v>13430340</v>
      </c>
      <c r="J801" s="142">
        <v>0</v>
      </c>
      <c r="K801" s="142">
        <f t="shared" si="65"/>
        <v>0</v>
      </c>
      <c r="L801" s="142">
        <f t="shared" si="66"/>
        <v>13430340</v>
      </c>
    </row>
    <row r="802" spans="5:12" x14ac:dyDescent="0.35">
      <c r="E802" s="135">
        <v>789</v>
      </c>
      <c r="F802" s="135">
        <v>0</v>
      </c>
      <c r="G802" s="141">
        <f t="shared" si="62"/>
        <v>0</v>
      </c>
      <c r="H802" s="155">
        <f t="shared" si="63"/>
        <v>0</v>
      </c>
      <c r="I802" s="142">
        <f t="shared" si="64"/>
        <v>13430340</v>
      </c>
      <c r="J802" s="142">
        <v>0</v>
      </c>
      <c r="K802" s="142">
        <f t="shared" si="65"/>
        <v>0</v>
      </c>
      <c r="L802" s="142">
        <f t="shared" si="66"/>
        <v>13430340</v>
      </c>
    </row>
    <row r="803" spans="5:12" x14ac:dyDescent="0.35">
      <c r="E803" s="135">
        <v>790</v>
      </c>
      <c r="F803" s="135">
        <v>0</v>
      </c>
      <c r="G803" s="141">
        <f t="shared" si="62"/>
        <v>0</v>
      </c>
      <c r="H803" s="155">
        <f t="shared" si="63"/>
        <v>0</v>
      </c>
      <c r="I803" s="142">
        <f t="shared" si="64"/>
        <v>13430340</v>
      </c>
      <c r="J803" s="142">
        <v>0</v>
      </c>
      <c r="K803" s="142">
        <f t="shared" si="65"/>
        <v>0</v>
      </c>
      <c r="L803" s="142">
        <f t="shared" si="66"/>
        <v>13430340</v>
      </c>
    </row>
    <row r="804" spans="5:12" x14ac:dyDescent="0.35">
      <c r="E804" s="135">
        <v>791</v>
      </c>
      <c r="F804" s="135">
        <v>0</v>
      </c>
      <c r="G804" s="141">
        <f t="shared" si="62"/>
        <v>0</v>
      </c>
      <c r="H804" s="155">
        <f t="shared" si="63"/>
        <v>0</v>
      </c>
      <c r="I804" s="142">
        <f t="shared" si="64"/>
        <v>13430340</v>
      </c>
      <c r="J804" s="142">
        <v>0</v>
      </c>
      <c r="K804" s="142">
        <f t="shared" si="65"/>
        <v>0</v>
      </c>
      <c r="L804" s="142">
        <f t="shared" si="66"/>
        <v>13430340</v>
      </c>
    </row>
    <row r="805" spans="5:12" x14ac:dyDescent="0.35">
      <c r="E805" s="135">
        <v>792</v>
      </c>
      <c r="F805" s="135">
        <v>0</v>
      </c>
      <c r="G805" s="141">
        <f t="shared" si="62"/>
        <v>0</v>
      </c>
      <c r="H805" s="155">
        <f t="shared" si="63"/>
        <v>0</v>
      </c>
      <c r="I805" s="142">
        <f t="shared" si="64"/>
        <v>13430340</v>
      </c>
      <c r="J805" s="142">
        <v>0</v>
      </c>
      <c r="K805" s="142">
        <f t="shared" si="65"/>
        <v>0</v>
      </c>
      <c r="L805" s="142">
        <f t="shared" si="66"/>
        <v>13430340</v>
      </c>
    </row>
    <row r="806" spans="5:12" x14ac:dyDescent="0.35">
      <c r="E806" s="135">
        <v>793</v>
      </c>
      <c r="F806" s="135">
        <v>0</v>
      </c>
      <c r="G806" s="141">
        <f t="shared" si="62"/>
        <v>0</v>
      </c>
      <c r="H806" s="155">
        <f t="shared" si="63"/>
        <v>0</v>
      </c>
      <c r="I806" s="142">
        <f t="shared" si="64"/>
        <v>13430340</v>
      </c>
      <c r="J806" s="142">
        <v>0</v>
      </c>
      <c r="K806" s="142">
        <f t="shared" si="65"/>
        <v>0</v>
      </c>
      <c r="L806" s="142">
        <f t="shared" si="66"/>
        <v>13430340</v>
      </c>
    </row>
    <row r="807" spans="5:12" x14ac:dyDescent="0.35">
      <c r="E807" s="135">
        <v>794</v>
      </c>
      <c r="F807" s="135">
        <v>1</v>
      </c>
      <c r="G807" s="141">
        <f t="shared" si="62"/>
        <v>23.813582244547764</v>
      </c>
      <c r="H807" s="155">
        <f t="shared" si="63"/>
        <v>0</v>
      </c>
      <c r="I807" s="142">
        <f t="shared" si="64"/>
        <v>13430340</v>
      </c>
      <c r="J807" s="142">
        <v>0</v>
      </c>
      <c r="K807" s="142">
        <f t="shared" si="65"/>
        <v>136632.93323927111</v>
      </c>
      <c r="L807" s="142">
        <f t="shared" si="66"/>
        <v>13566972.933239272</v>
      </c>
    </row>
    <row r="808" spans="5:12" x14ac:dyDescent="0.35">
      <c r="E808" s="135">
        <v>795</v>
      </c>
      <c r="F808" s="135">
        <v>1</v>
      </c>
      <c r="G808" s="141">
        <f t="shared" si="62"/>
        <v>23.813582244547764</v>
      </c>
      <c r="H808" s="155">
        <f t="shared" si="63"/>
        <v>0</v>
      </c>
      <c r="I808" s="142">
        <f t="shared" si="64"/>
        <v>13430340</v>
      </c>
      <c r="J808" s="142">
        <v>0</v>
      </c>
      <c r="K808" s="142">
        <f t="shared" si="65"/>
        <v>136632.93323927111</v>
      </c>
      <c r="L808" s="142">
        <f t="shared" si="66"/>
        <v>13566972.933239272</v>
      </c>
    </row>
    <row r="809" spans="5:12" x14ac:dyDescent="0.35">
      <c r="E809" s="135">
        <v>796</v>
      </c>
      <c r="F809" s="135">
        <v>0</v>
      </c>
      <c r="G809" s="141">
        <f t="shared" si="62"/>
        <v>0</v>
      </c>
      <c r="H809" s="155">
        <f t="shared" si="63"/>
        <v>0</v>
      </c>
      <c r="I809" s="142">
        <f t="shared" si="64"/>
        <v>13430340</v>
      </c>
      <c r="J809" s="142">
        <v>0</v>
      </c>
      <c r="K809" s="142">
        <f t="shared" si="65"/>
        <v>0</v>
      </c>
      <c r="L809" s="142">
        <f t="shared" si="66"/>
        <v>13430340</v>
      </c>
    </row>
    <row r="810" spans="5:12" x14ac:dyDescent="0.35">
      <c r="E810" s="135">
        <v>797</v>
      </c>
      <c r="F810" s="135">
        <v>0</v>
      </c>
      <c r="G810" s="141">
        <f t="shared" si="62"/>
        <v>0</v>
      </c>
      <c r="H810" s="155">
        <f t="shared" si="63"/>
        <v>0</v>
      </c>
      <c r="I810" s="142">
        <f t="shared" si="64"/>
        <v>13430340</v>
      </c>
      <c r="J810" s="142">
        <v>0</v>
      </c>
      <c r="K810" s="142">
        <f t="shared" si="65"/>
        <v>0</v>
      </c>
      <c r="L810" s="142">
        <f t="shared" si="66"/>
        <v>13430340</v>
      </c>
    </row>
    <row r="811" spans="5:12" x14ac:dyDescent="0.35">
      <c r="E811" s="135">
        <v>798</v>
      </c>
      <c r="F811" s="135">
        <v>0</v>
      </c>
      <c r="G811" s="141">
        <f t="shared" si="62"/>
        <v>0</v>
      </c>
      <c r="H811" s="155">
        <f t="shared" si="63"/>
        <v>0</v>
      </c>
      <c r="I811" s="142">
        <f t="shared" si="64"/>
        <v>13430340</v>
      </c>
      <c r="J811" s="142">
        <v>0</v>
      </c>
      <c r="K811" s="142">
        <f t="shared" si="65"/>
        <v>0</v>
      </c>
      <c r="L811" s="142">
        <f t="shared" si="66"/>
        <v>13430340</v>
      </c>
    </row>
    <row r="812" spans="5:12" x14ac:dyDescent="0.35">
      <c r="E812" s="135">
        <v>799</v>
      </c>
      <c r="F812" s="135">
        <v>0</v>
      </c>
      <c r="G812" s="141">
        <f t="shared" si="62"/>
        <v>0</v>
      </c>
      <c r="H812" s="155">
        <f t="shared" si="63"/>
        <v>0</v>
      </c>
      <c r="I812" s="142">
        <f t="shared" si="64"/>
        <v>13430340</v>
      </c>
      <c r="J812" s="142">
        <v>0</v>
      </c>
      <c r="K812" s="142">
        <f t="shared" si="65"/>
        <v>0</v>
      </c>
      <c r="L812" s="142">
        <f t="shared" si="66"/>
        <v>13430340</v>
      </c>
    </row>
    <row r="813" spans="5:12" x14ac:dyDescent="0.35">
      <c r="E813" s="135">
        <v>800</v>
      </c>
      <c r="F813" s="135">
        <v>0</v>
      </c>
      <c r="G813" s="141">
        <f t="shared" si="62"/>
        <v>0</v>
      </c>
      <c r="H813" s="155">
        <f t="shared" si="63"/>
        <v>0</v>
      </c>
      <c r="I813" s="142">
        <f t="shared" si="64"/>
        <v>13430340</v>
      </c>
      <c r="J813" s="142">
        <v>0</v>
      </c>
      <c r="K813" s="142">
        <f t="shared" si="65"/>
        <v>0</v>
      </c>
      <c r="L813" s="142">
        <f t="shared" si="66"/>
        <v>13430340</v>
      </c>
    </row>
    <row r="814" spans="5:12" x14ac:dyDescent="0.35">
      <c r="E814" s="135">
        <v>801</v>
      </c>
      <c r="F814" s="135">
        <v>0</v>
      </c>
      <c r="G814" s="141">
        <f t="shared" si="62"/>
        <v>0</v>
      </c>
      <c r="H814" s="155">
        <f t="shared" si="63"/>
        <v>0</v>
      </c>
      <c r="I814" s="142">
        <f t="shared" si="64"/>
        <v>13430340</v>
      </c>
      <c r="J814" s="142">
        <v>0</v>
      </c>
      <c r="K814" s="142">
        <f t="shared" si="65"/>
        <v>0</v>
      </c>
      <c r="L814" s="142">
        <f t="shared" si="66"/>
        <v>13430340</v>
      </c>
    </row>
    <row r="815" spans="5:12" x14ac:dyDescent="0.35">
      <c r="E815" s="135">
        <v>802</v>
      </c>
      <c r="F815" s="135">
        <v>0</v>
      </c>
      <c r="G815" s="141">
        <f t="shared" si="62"/>
        <v>0</v>
      </c>
      <c r="H815" s="155">
        <f t="shared" si="63"/>
        <v>0</v>
      </c>
      <c r="I815" s="142">
        <f t="shared" si="64"/>
        <v>13430340</v>
      </c>
      <c r="J815" s="142">
        <v>0</v>
      </c>
      <c r="K815" s="142">
        <f t="shared" si="65"/>
        <v>0</v>
      </c>
      <c r="L815" s="142">
        <f t="shared" si="66"/>
        <v>13430340</v>
      </c>
    </row>
    <row r="816" spans="5:12" x14ac:dyDescent="0.35">
      <c r="E816" s="135">
        <v>803</v>
      </c>
      <c r="F816" s="135">
        <v>0</v>
      </c>
      <c r="G816" s="141">
        <f t="shared" si="62"/>
        <v>0</v>
      </c>
      <c r="H816" s="155">
        <f t="shared" si="63"/>
        <v>0</v>
      </c>
      <c r="I816" s="142">
        <f t="shared" si="64"/>
        <v>13430340</v>
      </c>
      <c r="J816" s="142">
        <v>0</v>
      </c>
      <c r="K816" s="142">
        <f t="shared" si="65"/>
        <v>0</v>
      </c>
      <c r="L816" s="142">
        <f t="shared" si="66"/>
        <v>13430340</v>
      </c>
    </row>
    <row r="817" spans="5:12" x14ac:dyDescent="0.35">
      <c r="E817" s="135">
        <v>804</v>
      </c>
      <c r="F817" s="135">
        <v>0</v>
      </c>
      <c r="G817" s="141">
        <f t="shared" si="62"/>
        <v>0</v>
      </c>
      <c r="H817" s="155">
        <f t="shared" si="63"/>
        <v>0</v>
      </c>
      <c r="I817" s="142">
        <f t="shared" si="64"/>
        <v>13430340</v>
      </c>
      <c r="J817" s="142">
        <v>0</v>
      </c>
      <c r="K817" s="142">
        <f t="shared" si="65"/>
        <v>0</v>
      </c>
      <c r="L817" s="142">
        <f t="shared" si="66"/>
        <v>13430340</v>
      </c>
    </row>
    <row r="818" spans="5:12" x14ac:dyDescent="0.35">
      <c r="E818" s="135">
        <v>805</v>
      </c>
      <c r="F818" s="135">
        <v>0</v>
      </c>
      <c r="G818" s="141">
        <f t="shared" si="62"/>
        <v>0</v>
      </c>
      <c r="H818" s="155">
        <f t="shared" si="63"/>
        <v>0</v>
      </c>
      <c r="I818" s="142">
        <f t="shared" si="64"/>
        <v>13430340</v>
      </c>
      <c r="J818" s="142">
        <v>0</v>
      </c>
      <c r="K818" s="142">
        <f t="shared" si="65"/>
        <v>0</v>
      </c>
      <c r="L818" s="142">
        <f t="shared" si="66"/>
        <v>13430340</v>
      </c>
    </row>
    <row r="819" spans="5:12" x14ac:dyDescent="0.35">
      <c r="E819" s="135">
        <v>806</v>
      </c>
      <c r="F819" s="135">
        <v>0</v>
      </c>
      <c r="G819" s="141">
        <f t="shared" si="62"/>
        <v>0</v>
      </c>
      <c r="H819" s="155">
        <f t="shared" si="63"/>
        <v>0</v>
      </c>
      <c r="I819" s="142">
        <f t="shared" si="64"/>
        <v>13430340</v>
      </c>
      <c r="J819" s="142">
        <v>0</v>
      </c>
      <c r="K819" s="142">
        <f t="shared" si="65"/>
        <v>0</v>
      </c>
      <c r="L819" s="142">
        <f t="shared" si="66"/>
        <v>13430340</v>
      </c>
    </row>
    <row r="820" spans="5:12" x14ac:dyDescent="0.35">
      <c r="E820" s="135">
        <v>807</v>
      </c>
      <c r="F820" s="135">
        <v>0</v>
      </c>
      <c r="G820" s="141">
        <f t="shared" si="62"/>
        <v>0</v>
      </c>
      <c r="H820" s="155">
        <f t="shared" si="63"/>
        <v>0</v>
      </c>
      <c r="I820" s="142">
        <f t="shared" si="64"/>
        <v>13430340</v>
      </c>
      <c r="J820" s="142">
        <v>0</v>
      </c>
      <c r="K820" s="142">
        <f t="shared" si="65"/>
        <v>0</v>
      </c>
      <c r="L820" s="142">
        <f t="shared" si="66"/>
        <v>13430340</v>
      </c>
    </row>
    <row r="821" spans="5:12" x14ac:dyDescent="0.35">
      <c r="E821" s="135">
        <v>808</v>
      </c>
      <c r="F821" s="135">
        <v>0</v>
      </c>
      <c r="G821" s="141">
        <f t="shared" si="62"/>
        <v>0</v>
      </c>
      <c r="H821" s="155">
        <f t="shared" si="63"/>
        <v>0</v>
      </c>
      <c r="I821" s="142">
        <f t="shared" si="64"/>
        <v>13430340</v>
      </c>
      <c r="J821" s="142">
        <v>0</v>
      </c>
      <c r="K821" s="142">
        <f t="shared" si="65"/>
        <v>0</v>
      </c>
      <c r="L821" s="142">
        <f t="shared" si="66"/>
        <v>13430340</v>
      </c>
    </row>
    <row r="822" spans="5:12" x14ac:dyDescent="0.35">
      <c r="E822" s="135">
        <v>809</v>
      </c>
      <c r="F822" s="135">
        <v>0</v>
      </c>
      <c r="G822" s="141">
        <f t="shared" si="62"/>
        <v>0</v>
      </c>
      <c r="H822" s="155">
        <f t="shared" si="63"/>
        <v>0</v>
      </c>
      <c r="I822" s="142">
        <f t="shared" si="64"/>
        <v>13430340</v>
      </c>
      <c r="J822" s="142">
        <v>0</v>
      </c>
      <c r="K822" s="142">
        <f t="shared" si="65"/>
        <v>0</v>
      </c>
      <c r="L822" s="142">
        <f t="shared" si="66"/>
        <v>13430340</v>
      </c>
    </row>
    <row r="823" spans="5:12" x14ac:dyDescent="0.35">
      <c r="E823" s="135">
        <v>810</v>
      </c>
      <c r="F823" s="135">
        <v>0</v>
      </c>
      <c r="G823" s="141">
        <f t="shared" si="62"/>
        <v>0</v>
      </c>
      <c r="H823" s="155">
        <f t="shared" si="63"/>
        <v>0</v>
      </c>
      <c r="I823" s="142">
        <f t="shared" si="64"/>
        <v>13430340</v>
      </c>
      <c r="J823" s="142">
        <v>0</v>
      </c>
      <c r="K823" s="142">
        <f t="shared" si="65"/>
        <v>0</v>
      </c>
      <c r="L823" s="142">
        <f t="shared" si="66"/>
        <v>13430340</v>
      </c>
    </row>
    <row r="824" spans="5:12" x14ac:dyDescent="0.35">
      <c r="E824" s="135">
        <v>811</v>
      </c>
      <c r="F824" s="135">
        <v>0</v>
      </c>
      <c r="G824" s="141">
        <f t="shared" si="62"/>
        <v>0</v>
      </c>
      <c r="H824" s="155">
        <f t="shared" si="63"/>
        <v>0</v>
      </c>
      <c r="I824" s="142">
        <f t="shared" si="64"/>
        <v>13430340</v>
      </c>
      <c r="J824" s="142">
        <v>0</v>
      </c>
      <c r="K824" s="142">
        <f t="shared" si="65"/>
        <v>0</v>
      </c>
      <c r="L824" s="142">
        <f t="shared" si="66"/>
        <v>13430340</v>
      </c>
    </row>
    <row r="825" spans="5:12" x14ac:dyDescent="0.35">
      <c r="E825" s="135">
        <v>812</v>
      </c>
      <c r="F825" s="135">
        <v>0</v>
      </c>
      <c r="G825" s="141">
        <f t="shared" si="62"/>
        <v>0</v>
      </c>
      <c r="H825" s="155">
        <f t="shared" si="63"/>
        <v>0</v>
      </c>
      <c r="I825" s="142">
        <f t="shared" si="64"/>
        <v>13430340</v>
      </c>
      <c r="J825" s="142">
        <v>0</v>
      </c>
      <c r="K825" s="142">
        <f t="shared" si="65"/>
        <v>0</v>
      </c>
      <c r="L825" s="142">
        <f t="shared" si="66"/>
        <v>13430340</v>
      </c>
    </row>
    <row r="826" spans="5:12" x14ac:dyDescent="0.35">
      <c r="E826" s="135">
        <v>813</v>
      </c>
      <c r="F826" s="135">
        <v>0</v>
      </c>
      <c r="G826" s="141">
        <f t="shared" si="62"/>
        <v>0</v>
      </c>
      <c r="H826" s="155">
        <f t="shared" si="63"/>
        <v>0</v>
      </c>
      <c r="I826" s="142">
        <f t="shared" si="64"/>
        <v>13430340</v>
      </c>
      <c r="J826" s="142">
        <v>0</v>
      </c>
      <c r="K826" s="142">
        <f t="shared" si="65"/>
        <v>0</v>
      </c>
      <c r="L826" s="142">
        <f t="shared" si="66"/>
        <v>13430340</v>
      </c>
    </row>
    <row r="827" spans="5:12" x14ac:dyDescent="0.35">
      <c r="E827" s="135">
        <v>814</v>
      </c>
      <c r="F827" s="135">
        <v>0</v>
      </c>
      <c r="G827" s="141">
        <f t="shared" si="62"/>
        <v>0</v>
      </c>
      <c r="H827" s="155">
        <f t="shared" si="63"/>
        <v>0</v>
      </c>
      <c r="I827" s="142">
        <f t="shared" si="64"/>
        <v>13430340</v>
      </c>
      <c r="J827" s="142">
        <v>0</v>
      </c>
      <c r="K827" s="142">
        <f t="shared" si="65"/>
        <v>0</v>
      </c>
      <c r="L827" s="142">
        <f t="shared" si="66"/>
        <v>13430340</v>
      </c>
    </row>
    <row r="828" spans="5:12" x14ac:dyDescent="0.35">
      <c r="E828" s="135">
        <v>815</v>
      </c>
      <c r="F828" s="135">
        <v>0</v>
      </c>
      <c r="G828" s="141">
        <f t="shared" si="62"/>
        <v>0</v>
      </c>
      <c r="H828" s="155">
        <f t="shared" si="63"/>
        <v>0</v>
      </c>
      <c r="I828" s="142">
        <f t="shared" si="64"/>
        <v>13430340</v>
      </c>
      <c r="J828" s="142">
        <v>0</v>
      </c>
      <c r="K828" s="142">
        <f t="shared" si="65"/>
        <v>0</v>
      </c>
      <c r="L828" s="142">
        <f t="shared" si="66"/>
        <v>13430340</v>
      </c>
    </row>
    <row r="829" spans="5:12" x14ac:dyDescent="0.35">
      <c r="E829" s="135">
        <v>816</v>
      </c>
      <c r="F829" s="135">
        <v>0</v>
      </c>
      <c r="G829" s="141">
        <f t="shared" si="62"/>
        <v>0</v>
      </c>
      <c r="H829" s="155">
        <f t="shared" si="63"/>
        <v>0</v>
      </c>
      <c r="I829" s="142">
        <f t="shared" si="64"/>
        <v>13430340</v>
      </c>
      <c r="J829" s="142">
        <v>0</v>
      </c>
      <c r="K829" s="142">
        <f t="shared" si="65"/>
        <v>0</v>
      </c>
      <c r="L829" s="142">
        <f t="shared" si="66"/>
        <v>13430340</v>
      </c>
    </row>
    <row r="830" spans="5:12" x14ac:dyDescent="0.35">
      <c r="E830" s="135">
        <v>817</v>
      </c>
      <c r="F830" s="135">
        <v>1</v>
      </c>
      <c r="G830" s="141">
        <f t="shared" si="62"/>
        <v>23.813582244547764</v>
      </c>
      <c r="H830" s="155">
        <f t="shared" si="63"/>
        <v>0</v>
      </c>
      <c r="I830" s="142">
        <f t="shared" si="64"/>
        <v>13430340</v>
      </c>
      <c r="J830" s="142">
        <v>0</v>
      </c>
      <c r="K830" s="142">
        <f t="shared" si="65"/>
        <v>136632.93323927111</v>
      </c>
      <c r="L830" s="142">
        <f t="shared" si="66"/>
        <v>13566972.933239272</v>
      </c>
    </row>
    <row r="831" spans="5:12" x14ac:dyDescent="0.35">
      <c r="E831" s="135">
        <v>818</v>
      </c>
      <c r="F831" s="135">
        <v>0</v>
      </c>
      <c r="G831" s="141">
        <f t="shared" si="62"/>
        <v>0</v>
      </c>
      <c r="H831" s="155">
        <f t="shared" si="63"/>
        <v>0</v>
      </c>
      <c r="I831" s="142">
        <f t="shared" si="64"/>
        <v>13430340</v>
      </c>
      <c r="J831" s="142">
        <v>0</v>
      </c>
      <c r="K831" s="142">
        <f t="shared" si="65"/>
        <v>0</v>
      </c>
      <c r="L831" s="142">
        <f t="shared" si="66"/>
        <v>13430340</v>
      </c>
    </row>
    <row r="832" spans="5:12" x14ac:dyDescent="0.35">
      <c r="E832" s="135">
        <v>819</v>
      </c>
      <c r="F832" s="135">
        <v>0</v>
      </c>
      <c r="G832" s="141">
        <f t="shared" si="62"/>
        <v>0</v>
      </c>
      <c r="H832" s="155">
        <f t="shared" si="63"/>
        <v>0</v>
      </c>
      <c r="I832" s="142">
        <f t="shared" si="64"/>
        <v>13430340</v>
      </c>
      <c r="J832" s="142">
        <v>0</v>
      </c>
      <c r="K832" s="142">
        <f t="shared" si="65"/>
        <v>0</v>
      </c>
      <c r="L832" s="142">
        <f t="shared" si="66"/>
        <v>13430340</v>
      </c>
    </row>
    <row r="833" spans="5:12" x14ac:dyDescent="0.35">
      <c r="E833" s="135">
        <v>820</v>
      </c>
      <c r="F833" s="135">
        <v>0</v>
      </c>
      <c r="G833" s="141">
        <f t="shared" si="62"/>
        <v>0</v>
      </c>
      <c r="H833" s="155">
        <f t="shared" si="63"/>
        <v>0</v>
      </c>
      <c r="I833" s="142">
        <f t="shared" si="64"/>
        <v>13430340</v>
      </c>
      <c r="J833" s="142">
        <v>0</v>
      </c>
      <c r="K833" s="142">
        <f t="shared" si="65"/>
        <v>0</v>
      </c>
      <c r="L833" s="142">
        <f t="shared" si="66"/>
        <v>13430340</v>
      </c>
    </row>
    <row r="834" spans="5:12" x14ac:dyDescent="0.35">
      <c r="E834" s="135">
        <v>821</v>
      </c>
      <c r="F834" s="135">
        <v>0</v>
      </c>
      <c r="G834" s="141">
        <f t="shared" si="62"/>
        <v>0</v>
      </c>
      <c r="H834" s="155">
        <f t="shared" si="63"/>
        <v>0</v>
      </c>
      <c r="I834" s="142">
        <f t="shared" si="64"/>
        <v>13430340</v>
      </c>
      <c r="J834" s="142">
        <v>0</v>
      </c>
      <c r="K834" s="142">
        <f t="shared" si="65"/>
        <v>0</v>
      </c>
      <c r="L834" s="142">
        <f t="shared" si="66"/>
        <v>13430340</v>
      </c>
    </row>
    <row r="835" spans="5:12" x14ac:dyDescent="0.35">
      <c r="E835" s="135">
        <v>822</v>
      </c>
      <c r="F835" s="135">
        <v>0</v>
      </c>
      <c r="G835" s="141">
        <f t="shared" si="62"/>
        <v>0</v>
      </c>
      <c r="H835" s="155">
        <f t="shared" si="63"/>
        <v>0</v>
      </c>
      <c r="I835" s="142">
        <f t="shared" si="64"/>
        <v>13430340</v>
      </c>
      <c r="J835" s="142">
        <v>0</v>
      </c>
      <c r="K835" s="142">
        <f t="shared" si="65"/>
        <v>0</v>
      </c>
      <c r="L835" s="142">
        <f t="shared" si="66"/>
        <v>13430340</v>
      </c>
    </row>
    <row r="836" spans="5:12" x14ac:dyDescent="0.35">
      <c r="E836" s="135">
        <v>823</v>
      </c>
      <c r="F836" s="135">
        <v>0</v>
      </c>
      <c r="G836" s="141">
        <f t="shared" si="62"/>
        <v>0</v>
      </c>
      <c r="H836" s="155">
        <f t="shared" si="63"/>
        <v>0</v>
      </c>
      <c r="I836" s="142">
        <f t="shared" si="64"/>
        <v>13430340</v>
      </c>
      <c r="J836" s="142">
        <v>0</v>
      </c>
      <c r="K836" s="142">
        <f t="shared" si="65"/>
        <v>0</v>
      </c>
      <c r="L836" s="142">
        <f t="shared" si="66"/>
        <v>13430340</v>
      </c>
    </row>
    <row r="837" spans="5:12" x14ac:dyDescent="0.35">
      <c r="E837" s="135">
        <v>824</v>
      </c>
      <c r="F837" s="135">
        <v>0</v>
      </c>
      <c r="G837" s="141">
        <f t="shared" si="62"/>
        <v>0</v>
      </c>
      <c r="H837" s="155">
        <f t="shared" si="63"/>
        <v>0</v>
      </c>
      <c r="I837" s="142">
        <f t="shared" si="64"/>
        <v>13430340</v>
      </c>
      <c r="J837" s="142">
        <v>0</v>
      </c>
      <c r="K837" s="142">
        <f t="shared" si="65"/>
        <v>0</v>
      </c>
      <c r="L837" s="142">
        <f t="shared" si="66"/>
        <v>13430340</v>
      </c>
    </row>
    <row r="838" spans="5:12" x14ac:dyDescent="0.35">
      <c r="E838" s="135">
        <v>825</v>
      </c>
      <c r="F838" s="135">
        <v>0</v>
      </c>
      <c r="G838" s="141">
        <f t="shared" si="62"/>
        <v>0</v>
      </c>
      <c r="H838" s="155">
        <f t="shared" si="63"/>
        <v>0</v>
      </c>
      <c r="I838" s="142">
        <f t="shared" si="64"/>
        <v>13430340</v>
      </c>
      <c r="J838" s="142">
        <v>0</v>
      </c>
      <c r="K838" s="142">
        <f t="shared" si="65"/>
        <v>0</v>
      </c>
      <c r="L838" s="142">
        <f t="shared" si="66"/>
        <v>13430340</v>
      </c>
    </row>
    <row r="839" spans="5:12" x14ac:dyDescent="0.35">
      <c r="E839" s="135">
        <v>826</v>
      </c>
      <c r="F839" s="135">
        <v>0</v>
      </c>
      <c r="G839" s="141">
        <f t="shared" si="62"/>
        <v>0</v>
      </c>
      <c r="H839" s="155">
        <f t="shared" si="63"/>
        <v>0</v>
      </c>
      <c r="I839" s="142">
        <f t="shared" si="64"/>
        <v>13430340</v>
      </c>
      <c r="J839" s="142">
        <v>0</v>
      </c>
      <c r="K839" s="142">
        <f t="shared" si="65"/>
        <v>0</v>
      </c>
      <c r="L839" s="142">
        <f t="shared" si="66"/>
        <v>13430340</v>
      </c>
    </row>
    <row r="840" spans="5:12" x14ac:dyDescent="0.35">
      <c r="E840" s="135">
        <v>827</v>
      </c>
      <c r="F840" s="135">
        <v>1</v>
      </c>
      <c r="G840" s="141">
        <f t="shared" si="62"/>
        <v>23.813582244547764</v>
      </c>
      <c r="H840" s="155">
        <f t="shared" si="63"/>
        <v>0</v>
      </c>
      <c r="I840" s="142">
        <f t="shared" si="64"/>
        <v>13430340</v>
      </c>
      <c r="J840" s="142">
        <v>0</v>
      </c>
      <c r="K840" s="142">
        <f t="shared" si="65"/>
        <v>136632.93323927111</v>
      </c>
      <c r="L840" s="142">
        <f t="shared" si="66"/>
        <v>13566972.933239272</v>
      </c>
    </row>
    <row r="841" spans="5:12" x14ac:dyDescent="0.35">
      <c r="E841" s="135">
        <v>828</v>
      </c>
      <c r="F841" s="135">
        <v>0</v>
      </c>
      <c r="G841" s="141">
        <f t="shared" si="62"/>
        <v>0</v>
      </c>
      <c r="H841" s="155">
        <f t="shared" si="63"/>
        <v>0</v>
      </c>
      <c r="I841" s="142">
        <f t="shared" si="64"/>
        <v>13430340</v>
      </c>
      <c r="J841" s="142">
        <v>0</v>
      </c>
      <c r="K841" s="142">
        <f t="shared" si="65"/>
        <v>0</v>
      </c>
      <c r="L841" s="142">
        <f t="shared" si="66"/>
        <v>13430340</v>
      </c>
    </row>
    <row r="842" spans="5:12" x14ac:dyDescent="0.35">
      <c r="E842" s="135">
        <v>829</v>
      </c>
      <c r="F842" s="135">
        <v>0</v>
      </c>
      <c r="G842" s="141">
        <f t="shared" si="62"/>
        <v>0</v>
      </c>
      <c r="H842" s="155">
        <f t="shared" si="63"/>
        <v>0</v>
      </c>
      <c r="I842" s="142">
        <f t="shared" si="64"/>
        <v>13430340</v>
      </c>
      <c r="J842" s="142">
        <v>0</v>
      </c>
      <c r="K842" s="142">
        <f t="shared" si="65"/>
        <v>0</v>
      </c>
      <c r="L842" s="142">
        <f t="shared" si="66"/>
        <v>13430340</v>
      </c>
    </row>
    <row r="843" spans="5:12" x14ac:dyDescent="0.35">
      <c r="E843" s="135">
        <v>830</v>
      </c>
      <c r="F843" s="135">
        <v>0</v>
      </c>
      <c r="G843" s="141">
        <f t="shared" si="62"/>
        <v>0</v>
      </c>
      <c r="H843" s="155">
        <f t="shared" si="63"/>
        <v>0</v>
      </c>
      <c r="I843" s="142">
        <f t="shared" si="64"/>
        <v>13430340</v>
      </c>
      <c r="J843" s="142">
        <v>0</v>
      </c>
      <c r="K843" s="142">
        <f t="shared" si="65"/>
        <v>0</v>
      </c>
      <c r="L843" s="142">
        <f t="shared" si="66"/>
        <v>13430340</v>
      </c>
    </row>
    <row r="844" spans="5:12" x14ac:dyDescent="0.35">
      <c r="E844" s="135">
        <v>831</v>
      </c>
      <c r="F844" s="135">
        <v>0</v>
      </c>
      <c r="G844" s="141">
        <f t="shared" si="62"/>
        <v>0</v>
      </c>
      <c r="H844" s="155">
        <f t="shared" si="63"/>
        <v>0</v>
      </c>
      <c r="I844" s="142">
        <f t="shared" si="64"/>
        <v>13430340</v>
      </c>
      <c r="J844" s="142">
        <v>0</v>
      </c>
      <c r="K844" s="142">
        <f t="shared" si="65"/>
        <v>0</v>
      </c>
      <c r="L844" s="142">
        <f t="shared" si="66"/>
        <v>13430340</v>
      </c>
    </row>
    <row r="845" spans="5:12" x14ac:dyDescent="0.35">
      <c r="E845" s="135">
        <v>832</v>
      </c>
      <c r="F845" s="135">
        <v>0</v>
      </c>
      <c r="G845" s="141">
        <f t="shared" si="62"/>
        <v>0</v>
      </c>
      <c r="H845" s="155">
        <f t="shared" si="63"/>
        <v>0</v>
      </c>
      <c r="I845" s="142">
        <f t="shared" si="64"/>
        <v>13430340</v>
      </c>
      <c r="J845" s="142">
        <v>0</v>
      </c>
      <c r="K845" s="142">
        <f t="shared" si="65"/>
        <v>0</v>
      </c>
      <c r="L845" s="142">
        <f t="shared" si="66"/>
        <v>13430340</v>
      </c>
    </row>
    <row r="846" spans="5:12" x14ac:dyDescent="0.35">
      <c r="E846" s="135">
        <v>833</v>
      </c>
      <c r="F846" s="135">
        <v>1</v>
      </c>
      <c r="G846" s="141">
        <f t="shared" ref="G846:G909" si="67">F846*$C$10</f>
        <v>23.813582244547764</v>
      </c>
      <c r="H846" s="155">
        <f t="shared" ref="H846:H909" si="68">IF(F846 &gt; 1,$C$14*20000,0)</f>
        <v>0</v>
      </c>
      <c r="I846" s="142">
        <f t="shared" ref="I846:I909" si="69">IF(F846 &gt; 1,$C$5+$G$2,$G$2)</f>
        <v>13430340</v>
      </c>
      <c r="J846" s="142">
        <v>0</v>
      </c>
      <c r="K846" s="142">
        <f t="shared" ref="K846:K909" si="70">F846*$C$6</f>
        <v>136632.93323927111</v>
      </c>
      <c r="L846" s="142">
        <f t="shared" ref="L846:L909" si="71">J846+I846+K846</f>
        <v>13566972.933239272</v>
      </c>
    </row>
    <row r="847" spans="5:12" x14ac:dyDescent="0.35">
      <c r="E847" s="135">
        <v>834</v>
      </c>
      <c r="F847" s="135">
        <v>0</v>
      </c>
      <c r="G847" s="141">
        <f t="shared" si="67"/>
        <v>0</v>
      </c>
      <c r="H847" s="155">
        <f t="shared" si="68"/>
        <v>0</v>
      </c>
      <c r="I847" s="142">
        <f t="shared" si="69"/>
        <v>13430340</v>
      </c>
      <c r="J847" s="142">
        <v>0</v>
      </c>
      <c r="K847" s="142">
        <f t="shared" si="70"/>
        <v>0</v>
      </c>
      <c r="L847" s="142">
        <f t="shared" si="71"/>
        <v>13430340</v>
      </c>
    </row>
    <row r="848" spans="5:12" x14ac:dyDescent="0.35">
      <c r="E848" s="135">
        <v>835</v>
      </c>
      <c r="F848" s="135">
        <v>0</v>
      </c>
      <c r="G848" s="141">
        <f t="shared" si="67"/>
        <v>0</v>
      </c>
      <c r="H848" s="155">
        <f t="shared" si="68"/>
        <v>0</v>
      </c>
      <c r="I848" s="142">
        <f t="shared" si="69"/>
        <v>13430340</v>
      </c>
      <c r="J848" s="142">
        <v>0</v>
      </c>
      <c r="K848" s="142">
        <f t="shared" si="70"/>
        <v>0</v>
      </c>
      <c r="L848" s="142">
        <f t="shared" si="71"/>
        <v>13430340</v>
      </c>
    </row>
    <row r="849" spans="5:12" x14ac:dyDescent="0.35">
      <c r="E849" s="135">
        <v>836</v>
      </c>
      <c r="F849" s="135">
        <v>0</v>
      </c>
      <c r="G849" s="141">
        <f t="shared" si="67"/>
        <v>0</v>
      </c>
      <c r="H849" s="155">
        <f t="shared" si="68"/>
        <v>0</v>
      </c>
      <c r="I849" s="142">
        <f t="shared" si="69"/>
        <v>13430340</v>
      </c>
      <c r="J849" s="142">
        <v>0</v>
      </c>
      <c r="K849" s="142">
        <f t="shared" si="70"/>
        <v>0</v>
      </c>
      <c r="L849" s="142">
        <f t="shared" si="71"/>
        <v>13430340</v>
      </c>
    </row>
    <row r="850" spans="5:12" x14ac:dyDescent="0.35">
      <c r="E850" s="135">
        <v>837</v>
      </c>
      <c r="F850" s="135">
        <v>0</v>
      </c>
      <c r="G850" s="141">
        <f t="shared" si="67"/>
        <v>0</v>
      </c>
      <c r="H850" s="155">
        <f t="shared" si="68"/>
        <v>0</v>
      </c>
      <c r="I850" s="142">
        <f t="shared" si="69"/>
        <v>13430340</v>
      </c>
      <c r="J850" s="142">
        <v>0</v>
      </c>
      <c r="K850" s="142">
        <f t="shared" si="70"/>
        <v>0</v>
      </c>
      <c r="L850" s="142">
        <f t="shared" si="71"/>
        <v>13430340</v>
      </c>
    </row>
    <row r="851" spans="5:12" x14ac:dyDescent="0.35">
      <c r="E851" s="135">
        <v>838</v>
      </c>
      <c r="F851" s="135">
        <v>0</v>
      </c>
      <c r="G851" s="141">
        <f t="shared" si="67"/>
        <v>0</v>
      </c>
      <c r="H851" s="155">
        <f t="shared" si="68"/>
        <v>0</v>
      </c>
      <c r="I851" s="142">
        <f t="shared" si="69"/>
        <v>13430340</v>
      </c>
      <c r="J851" s="142">
        <v>0</v>
      </c>
      <c r="K851" s="142">
        <f t="shared" si="70"/>
        <v>0</v>
      </c>
      <c r="L851" s="142">
        <f t="shared" si="71"/>
        <v>13430340</v>
      </c>
    </row>
    <row r="852" spans="5:12" x14ac:dyDescent="0.35">
      <c r="E852" s="135">
        <v>839</v>
      </c>
      <c r="F852" s="135">
        <v>0</v>
      </c>
      <c r="G852" s="141">
        <f t="shared" si="67"/>
        <v>0</v>
      </c>
      <c r="H852" s="155">
        <f t="shared" si="68"/>
        <v>0</v>
      </c>
      <c r="I852" s="142">
        <f t="shared" si="69"/>
        <v>13430340</v>
      </c>
      <c r="J852" s="142">
        <v>0</v>
      </c>
      <c r="K852" s="142">
        <f t="shared" si="70"/>
        <v>0</v>
      </c>
      <c r="L852" s="142">
        <f t="shared" si="71"/>
        <v>13430340</v>
      </c>
    </row>
    <row r="853" spans="5:12" x14ac:dyDescent="0.35">
      <c r="E853" s="135">
        <v>840</v>
      </c>
      <c r="F853" s="135">
        <v>0</v>
      </c>
      <c r="G853" s="141">
        <f t="shared" si="67"/>
        <v>0</v>
      </c>
      <c r="H853" s="155">
        <f t="shared" si="68"/>
        <v>0</v>
      </c>
      <c r="I853" s="142">
        <f t="shared" si="69"/>
        <v>13430340</v>
      </c>
      <c r="J853" s="142">
        <v>0</v>
      </c>
      <c r="K853" s="142">
        <f t="shared" si="70"/>
        <v>0</v>
      </c>
      <c r="L853" s="142">
        <f t="shared" si="71"/>
        <v>13430340</v>
      </c>
    </row>
    <row r="854" spans="5:12" x14ac:dyDescent="0.35">
      <c r="E854" s="135">
        <v>841</v>
      </c>
      <c r="F854" s="135">
        <v>0</v>
      </c>
      <c r="G854" s="141">
        <f t="shared" si="67"/>
        <v>0</v>
      </c>
      <c r="H854" s="155">
        <f t="shared" si="68"/>
        <v>0</v>
      </c>
      <c r="I854" s="142">
        <f t="shared" si="69"/>
        <v>13430340</v>
      </c>
      <c r="J854" s="142">
        <v>0</v>
      </c>
      <c r="K854" s="142">
        <f t="shared" si="70"/>
        <v>0</v>
      </c>
      <c r="L854" s="142">
        <f t="shared" si="71"/>
        <v>13430340</v>
      </c>
    </row>
    <row r="855" spans="5:12" x14ac:dyDescent="0.35">
      <c r="E855" s="135">
        <v>842</v>
      </c>
      <c r="F855" s="135">
        <v>0</v>
      </c>
      <c r="G855" s="141">
        <f t="shared" si="67"/>
        <v>0</v>
      </c>
      <c r="H855" s="155">
        <f t="shared" si="68"/>
        <v>0</v>
      </c>
      <c r="I855" s="142">
        <f t="shared" si="69"/>
        <v>13430340</v>
      </c>
      <c r="J855" s="142">
        <v>0</v>
      </c>
      <c r="K855" s="142">
        <f t="shared" si="70"/>
        <v>0</v>
      </c>
      <c r="L855" s="142">
        <f t="shared" si="71"/>
        <v>13430340</v>
      </c>
    </row>
    <row r="856" spans="5:12" x14ac:dyDescent="0.35">
      <c r="E856" s="135">
        <v>843</v>
      </c>
      <c r="F856" s="135">
        <v>0</v>
      </c>
      <c r="G856" s="141">
        <f t="shared" si="67"/>
        <v>0</v>
      </c>
      <c r="H856" s="155">
        <f t="shared" si="68"/>
        <v>0</v>
      </c>
      <c r="I856" s="142">
        <f t="shared" si="69"/>
        <v>13430340</v>
      </c>
      <c r="J856" s="142">
        <v>0</v>
      </c>
      <c r="K856" s="142">
        <f t="shared" si="70"/>
        <v>0</v>
      </c>
      <c r="L856" s="142">
        <f t="shared" si="71"/>
        <v>13430340</v>
      </c>
    </row>
    <row r="857" spans="5:12" x14ac:dyDescent="0.35">
      <c r="E857" s="135">
        <v>844</v>
      </c>
      <c r="F857" s="135">
        <v>0</v>
      </c>
      <c r="G857" s="141">
        <f t="shared" si="67"/>
        <v>0</v>
      </c>
      <c r="H857" s="155">
        <f t="shared" si="68"/>
        <v>0</v>
      </c>
      <c r="I857" s="142">
        <f t="shared" si="69"/>
        <v>13430340</v>
      </c>
      <c r="J857" s="142">
        <v>0</v>
      </c>
      <c r="K857" s="142">
        <f t="shared" si="70"/>
        <v>0</v>
      </c>
      <c r="L857" s="142">
        <f t="shared" si="71"/>
        <v>13430340</v>
      </c>
    </row>
    <row r="858" spans="5:12" x14ac:dyDescent="0.35">
      <c r="E858" s="135">
        <v>845</v>
      </c>
      <c r="F858" s="135">
        <v>0</v>
      </c>
      <c r="G858" s="141">
        <f t="shared" si="67"/>
        <v>0</v>
      </c>
      <c r="H858" s="155">
        <f t="shared" si="68"/>
        <v>0</v>
      </c>
      <c r="I858" s="142">
        <f t="shared" si="69"/>
        <v>13430340</v>
      </c>
      <c r="J858" s="142">
        <v>0</v>
      </c>
      <c r="K858" s="142">
        <f t="shared" si="70"/>
        <v>0</v>
      </c>
      <c r="L858" s="142">
        <f t="shared" si="71"/>
        <v>13430340</v>
      </c>
    </row>
    <row r="859" spans="5:12" x14ac:dyDescent="0.35">
      <c r="E859" s="135">
        <v>846</v>
      </c>
      <c r="F859" s="135">
        <v>0</v>
      </c>
      <c r="G859" s="141">
        <f t="shared" si="67"/>
        <v>0</v>
      </c>
      <c r="H859" s="155">
        <f t="shared" si="68"/>
        <v>0</v>
      </c>
      <c r="I859" s="142">
        <f t="shared" si="69"/>
        <v>13430340</v>
      </c>
      <c r="J859" s="142">
        <v>0</v>
      </c>
      <c r="K859" s="142">
        <f t="shared" si="70"/>
        <v>0</v>
      </c>
      <c r="L859" s="142">
        <f t="shared" si="71"/>
        <v>13430340</v>
      </c>
    </row>
    <row r="860" spans="5:12" x14ac:dyDescent="0.35">
      <c r="E860" s="135">
        <v>847</v>
      </c>
      <c r="F860" s="135">
        <v>0</v>
      </c>
      <c r="G860" s="141">
        <f t="shared" si="67"/>
        <v>0</v>
      </c>
      <c r="H860" s="155">
        <f t="shared" si="68"/>
        <v>0</v>
      </c>
      <c r="I860" s="142">
        <f t="shared" si="69"/>
        <v>13430340</v>
      </c>
      <c r="J860" s="142">
        <v>0</v>
      </c>
      <c r="K860" s="142">
        <f t="shared" si="70"/>
        <v>0</v>
      </c>
      <c r="L860" s="142">
        <f t="shared" si="71"/>
        <v>13430340</v>
      </c>
    </row>
    <row r="861" spans="5:12" x14ac:dyDescent="0.35">
      <c r="E861" s="135">
        <v>848</v>
      </c>
      <c r="F861" s="135">
        <v>0</v>
      </c>
      <c r="G861" s="141">
        <f t="shared" si="67"/>
        <v>0</v>
      </c>
      <c r="H861" s="155">
        <f t="shared" si="68"/>
        <v>0</v>
      </c>
      <c r="I861" s="142">
        <f t="shared" si="69"/>
        <v>13430340</v>
      </c>
      <c r="J861" s="142">
        <v>0</v>
      </c>
      <c r="K861" s="142">
        <f t="shared" si="70"/>
        <v>0</v>
      </c>
      <c r="L861" s="142">
        <f t="shared" si="71"/>
        <v>13430340</v>
      </c>
    </row>
    <row r="862" spans="5:12" x14ac:dyDescent="0.35">
      <c r="E862" s="135">
        <v>849</v>
      </c>
      <c r="F862" s="135">
        <v>0</v>
      </c>
      <c r="G862" s="141">
        <f t="shared" si="67"/>
        <v>0</v>
      </c>
      <c r="H862" s="155">
        <f t="shared" si="68"/>
        <v>0</v>
      </c>
      <c r="I862" s="142">
        <f t="shared" si="69"/>
        <v>13430340</v>
      </c>
      <c r="J862" s="142">
        <v>0</v>
      </c>
      <c r="K862" s="142">
        <f t="shared" si="70"/>
        <v>0</v>
      </c>
      <c r="L862" s="142">
        <f t="shared" si="71"/>
        <v>13430340</v>
      </c>
    </row>
    <row r="863" spans="5:12" x14ac:dyDescent="0.35">
      <c r="E863" s="135">
        <v>850</v>
      </c>
      <c r="F863" s="135">
        <v>0</v>
      </c>
      <c r="G863" s="141">
        <f t="shared" si="67"/>
        <v>0</v>
      </c>
      <c r="H863" s="155">
        <f t="shared" si="68"/>
        <v>0</v>
      </c>
      <c r="I863" s="142">
        <f t="shared" si="69"/>
        <v>13430340</v>
      </c>
      <c r="J863" s="142">
        <v>0</v>
      </c>
      <c r="K863" s="142">
        <f t="shared" si="70"/>
        <v>0</v>
      </c>
      <c r="L863" s="142">
        <f t="shared" si="71"/>
        <v>13430340</v>
      </c>
    </row>
    <row r="864" spans="5:12" x14ac:dyDescent="0.35">
      <c r="E864" s="135">
        <v>851</v>
      </c>
      <c r="F864" s="135">
        <v>0</v>
      </c>
      <c r="G864" s="141">
        <f t="shared" si="67"/>
        <v>0</v>
      </c>
      <c r="H864" s="155">
        <f t="shared" si="68"/>
        <v>0</v>
      </c>
      <c r="I864" s="142">
        <f t="shared" si="69"/>
        <v>13430340</v>
      </c>
      <c r="J864" s="142">
        <v>0</v>
      </c>
      <c r="K864" s="142">
        <f t="shared" si="70"/>
        <v>0</v>
      </c>
      <c r="L864" s="142">
        <f t="shared" si="71"/>
        <v>13430340</v>
      </c>
    </row>
    <row r="865" spans="5:12" x14ac:dyDescent="0.35">
      <c r="E865" s="135">
        <v>852</v>
      </c>
      <c r="F865" s="135">
        <v>0</v>
      </c>
      <c r="G865" s="141">
        <f t="shared" si="67"/>
        <v>0</v>
      </c>
      <c r="H865" s="155">
        <f t="shared" si="68"/>
        <v>0</v>
      </c>
      <c r="I865" s="142">
        <f t="shared" si="69"/>
        <v>13430340</v>
      </c>
      <c r="J865" s="142">
        <v>0</v>
      </c>
      <c r="K865" s="142">
        <f t="shared" si="70"/>
        <v>0</v>
      </c>
      <c r="L865" s="142">
        <f t="shared" si="71"/>
        <v>13430340</v>
      </c>
    </row>
    <row r="866" spans="5:12" x14ac:dyDescent="0.35">
      <c r="E866" s="135">
        <v>853</v>
      </c>
      <c r="F866" s="135">
        <v>0</v>
      </c>
      <c r="G866" s="141">
        <f t="shared" si="67"/>
        <v>0</v>
      </c>
      <c r="H866" s="155">
        <f t="shared" si="68"/>
        <v>0</v>
      </c>
      <c r="I866" s="142">
        <f t="shared" si="69"/>
        <v>13430340</v>
      </c>
      <c r="J866" s="142">
        <v>0</v>
      </c>
      <c r="K866" s="142">
        <f t="shared" si="70"/>
        <v>0</v>
      </c>
      <c r="L866" s="142">
        <f t="shared" si="71"/>
        <v>13430340</v>
      </c>
    </row>
    <row r="867" spans="5:12" x14ac:dyDescent="0.35">
      <c r="E867" s="135">
        <v>854</v>
      </c>
      <c r="F867" s="135">
        <v>0</v>
      </c>
      <c r="G867" s="141">
        <f t="shared" si="67"/>
        <v>0</v>
      </c>
      <c r="H867" s="155">
        <f t="shared" si="68"/>
        <v>0</v>
      </c>
      <c r="I867" s="142">
        <f t="shared" si="69"/>
        <v>13430340</v>
      </c>
      <c r="J867" s="142">
        <v>0</v>
      </c>
      <c r="K867" s="142">
        <f t="shared" si="70"/>
        <v>0</v>
      </c>
      <c r="L867" s="142">
        <f t="shared" si="71"/>
        <v>13430340</v>
      </c>
    </row>
    <row r="868" spans="5:12" x14ac:dyDescent="0.35">
      <c r="E868" s="135">
        <v>855</v>
      </c>
      <c r="F868" s="135">
        <v>0</v>
      </c>
      <c r="G868" s="141">
        <f t="shared" si="67"/>
        <v>0</v>
      </c>
      <c r="H868" s="155">
        <f t="shared" si="68"/>
        <v>0</v>
      </c>
      <c r="I868" s="142">
        <f t="shared" si="69"/>
        <v>13430340</v>
      </c>
      <c r="J868" s="142">
        <v>0</v>
      </c>
      <c r="K868" s="142">
        <f t="shared" si="70"/>
        <v>0</v>
      </c>
      <c r="L868" s="142">
        <f t="shared" si="71"/>
        <v>13430340</v>
      </c>
    </row>
    <row r="869" spans="5:12" x14ac:dyDescent="0.35">
      <c r="E869" s="135">
        <v>856</v>
      </c>
      <c r="F869" s="135">
        <v>0</v>
      </c>
      <c r="G869" s="141">
        <f t="shared" si="67"/>
        <v>0</v>
      </c>
      <c r="H869" s="155">
        <f t="shared" si="68"/>
        <v>0</v>
      </c>
      <c r="I869" s="142">
        <f t="shared" si="69"/>
        <v>13430340</v>
      </c>
      <c r="J869" s="142">
        <v>0</v>
      </c>
      <c r="K869" s="142">
        <f t="shared" si="70"/>
        <v>0</v>
      </c>
      <c r="L869" s="142">
        <f t="shared" si="71"/>
        <v>13430340</v>
      </c>
    </row>
    <row r="870" spans="5:12" x14ac:dyDescent="0.35">
      <c r="E870" s="135">
        <v>857</v>
      </c>
      <c r="F870" s="135">
        <v>0</v>
      </c>
      <c r="G870" s="141">
        <f t="shared" si="67"/>
        <v>0</v>
      </c>
      <c r="H870" s="155">
        <f t="shared" si="68"/>
        <v>0</v>
      </c>
      <c r="I870" s="142">
        <f t="shared" si="69"/>
        <v>13430340</v>
      </c>
      <c r="J870" s="142">
        <v>0</v>
      </c>
      <c r="K870" s="142">
        <f t="shared" si="70"/>
        <v>0</v>
      </c>
      <c r="L870" s="142">
        <f t="shared" si="71"/>
        <v>13430340</v>
      </c>
    </row>
    <row r="871" spans="5:12" x14ac:dyDescent="0.35">
      <c r="E871" s="135">
        <v>858</v>
      </c>
      <c r="F871" s="135">
        <v>0</v>
      </c>
      <c r="G871" s="141">
        <f t="shared" si="67"/>
        <v>0</v>
      </c>
      <c r="H871" s="155">
        <f t="shared" si="68"/>
        <v>0</v>
      </c>
      <c r="I871" s="142">
        <f t="shared" si="69"/>
        <v>13430340</v>
      </c>
      <c r="J871" s="142">
        <v>0</v>
      </c>
      <c r="K871" s="142">
        <f t="shared" si="70"/>
        <v>0</v>
      </c>
      <c r="L871" s="142">
        <f t="shared" si="71"/>
        <v>13430340</v>
      </c>
    </row>
    <row r="872" spans="5:12" x14ac:dyDescent="0.35">
      <c r="E872" s="135">
        <v>859</v>
      </c>
      <c r="F872" s="135">
        <v>0</v>
      </c>
      <c r="G872" s="141">
        <f t="shared" si="67"/>
        <v>0</v>
      </c>
      <c r="H872" s="155">
        <f t="shared" si="68"/>
        <v>0</v>
      </c>
      <c r="I872" s="142">
        <f t="shared" si="69"/>
        <v>13430340</v>
      </c>
      <c r="J872" s="142">
        <v>0</v>
      </c>
      <c r="K872" s="142">
        <f t="shared" si="70"/>
        <v>0</v>
      </c>
      <c r="L872" s="142">
        <f t="shared" si="71"/>
        <v>13430340</v>
      </c>
    </row>
    <row r="873" spans="5:12" x14ac:dyDescent="0.35">
      <c r="E873" s="135">
        <v>860</v>
      </c>
      <c r="F873" s="135">
        <v>2</v>
      </c>
      <c r="G873" s="141">
        <f t="shared" si="67"/>
        <v>47.627164489095527</v>
      </c>
      <c r="H873" s="155">
        <f t="shared" si="68"/>
        <v>200</v>
      </c>
      <c r="I873" s="142">
        <f t="shared" si="69"/>
        <v>27930340</v>
      </c>
      <c r="J873" s="142">
        <v>0</v>
      </c>
      <c r="K873" s="142">
        <f t="shared" si="70"/>
        <v>273265.86647854222</v>
      </c>
      <c r="L873" s="142">
        <f t="shared" si="71"/>
        <v>28203605.866478544</v>
      </c>
    </row>
    <row r="874" spans="5:12" x14ac:dyDescent="0.35">
      <c r="E874" s="135">
        <v>861</v>
      </c>
      <c r="F874" s="135">
        <v>2</v>
      </c>
      <c r="G874" s="141">
        <f t="shared" si="67"/>
        <v>47.627164489095527</v>
      </c>
      <c r="H874" s="155">
        <f t="shared" si="68"/>
        <v>200</v>
      </c>
      <c r="I874" s="142">
        <f t="shared" si="69"/>
        <v>27930340</v>
      </c>
      <c r="J874" s="142">
        <v>0</v>
      </c>
      <c r="K874" s="142">
        <f t="shared" si="70"/>
        <v>273265.86647854222</v>
      </c>
      <c r="L874" s="142">
        <f t="shared" si="71"/>
        <v>28203605.866478544</v>
      </c>
    </row>
    <row r="875" spans="5:12" x14ac:dyDescent="0.35">
      <c r="E875" s="135">
        <v>862</v>
      </c>
      <c r="F875" s="135">
        <v>0</v>
      </c>
      <c r="G875" s="141">
        <f t="shared" si="67"/>
        <v>0</v>
      </c>
      <c r="H875" s="155">
        <f t="shared" si="68"/>
        <v>0</v>
      </c>
      <c r="I875" s="142">
        <f t="shared" si="69"/>
        <v>13430340</v>
      </c>
      <c r="J875" s="142">
        <v>0</v>
      </c>
      <c r="K875" s="142">
        <f t="shared" si="70"/>
        <v>0</v>
      </c>
      <c r="L875" s="142">
        <f t="shared" si="71"/>
        <v>13430340</v>
      </c>
    </row>
    <row r="876" spans="5:12" x14ac:dyDescent="0.35">
      <c r="E876" s="135">
        <v>863</v>
      </c>
      <c r="F876" s="135">
        <v>0</v>
      </c>
      <c r="G876" s="141">
        <f t="shared" si="67"/>
        <v>0</v>
      </c>
      <c r="H876" s="155">
        <f t="shared" si="68"/>
        <v>0</v>
      </c>
      <c r="I876" s="142">
        <f t="shared" si="69"/>
        <v>13430340</v>
      </c>
      <c r="J876" s="142">
        <v>0</v>
      </c>
      <c r="K876" s="142">
        <f t="shared" si="70"/>
        <v>0</v>
      </c>
      <c r="L876" s="142">
        <f t="shared" si="71"/>
        <v>13430340</v>
      </c>
    </row>
    <row r="877" spans="5:12" x14ac:dyDescent="0.35">
      <c r="E877" s="135">
        <v>864</v>
      </c>
      <c r="F877" s="135">
        <v>0</v>
      </c>
      <c r="G877" s="141">
        <f t="shared" si="67"/>
        <v>0</v>
      </c>
      <c r="H877" s="155">
        <f t="shared" si="68"/>
        <v>0</v>
      </c>
      <c r="I877" s="142">
        <f t="shared" si="69"/>
        <v>13430340</v>
      </c>
      <c r="J877" s="142">
        <v>0</v>
      </c>
      <c r="K877" s="142">
        <f t="shared" si="70"/>
        <v>0</v>
      </c>
      <c r="L877" s="142">
        <f t="shared" si="71"/>
        <v>13430340</v>
      </c>
    </row>
    <row r="878" spans="5:12" x14ac:dyDescent="0.35">
      <c r="E878" s="135">
        <v>865</v>
      </c>
      <c r="F878" s="135">
        <v>0</v>
      </c>
      <c r="G878" s="141">
        <f t="shared" si="67"/>
        <v>0</v>
      </c>
      <c r="H878" s="155">
        <f t="shared" si="68"/>
        <v>0</v>
      </c>
      <c r="I878" s="142">
        <f t="shared" si="69"/>
        <v>13430340</v>
      </c>
      <c r="J878" s="142">
        <v>0</v>
      </c>
      <c r="K878" s="142">
        <f t="shared" si="70"/>
        <v>0</v>
      </c>
      <c r="L878" s="142">
        <f t="shared" si="71"/>
        <v>13430340</v>
      </c>
    </row>
    <row r="879" spans="5:12" x14ac:dyDescent="0.35">
      <c r="E879" s="135">
        <v>866</v>
      </c>
      <c r="F879" s="135">
        <v>0</v>
      </c>
      <c r="G879" s="141">
        <f t="shared" si="67"/>
        <v>0</v>
      </c>
      <c r="H879" s="155">
        <f t="shared" si="68"/>
        <v>0</v>
      </c>
      <c r="I879" s="142">
        <f t="shared" si="69"/>
        <v>13430340</v>
      </c>
      <c r="J879" s="142">
        <v>0</v>
      </c>
      <c r="K879" s="142">
        <f t="shared" si="70"/>
        <v>0</v>
      </c>
      <c r="L879" s="142">
        <f t="shared" si="71"/>
        <v>13430340</v>
      </c>
    </row>
    <row r="880" spans="5:12" x14ac:dyDescent="0.35">
      <c r="E880" s="135">
        <v>867</v>
      </c>
      <c r="F880" s="135">
        <v>0</v>
      </c>
      <c r="G880" s="141">
        <f t="shared" si="67"/>
        <v>0</v>
      </c>
      <c r="H880" s="155">
        <f t="shared" si="68"/>
        <v>0</v>
      </c>
      <c r="I880" s="142">
        <f t="shared" si="69"/>
        <v>13430340</v>
      </c>
      <c r="J880" s="142">
        <v>0</v>
      </c>
      <c r="K880" s="142">
        <f t="shared" si="70"/>
        <v>0</v>
      </c>
      <c r="L880" s="142">
        <f t="shared" si="71"/>
        <v>13430340</v>
      </c>
    </row>
    <row r="881" spans="5:12" x14ac:dyDescent="0.35">
      <c r="E881" s="135">
        <v>868</v>
      </c>
      <c r="F881" s="135">
        <v>0</v>
      </c>
      <c r="G881" s="141">
        <f t="shared" si="67"/>
        <v>0</v>
      </c>
      <c r="H881" s="155">
        <f t="shared" si="68"/>
        <v>0</v>
      </c>
      <c r="I881" s="142">
        <f t="shared" si="69"/>
        <v>13430340</v>
      </c>
      <c r="J881" s="142">
        <v>0</v>
      </c>
      <c r="K881" s="142">
        <f t="shared" si="70"/>
        <v>0</v>
      </c>
      <c r="L881" s="142">
        <f t="shared" si="71"/>
        <v>13430340</v>
      </c>
    </row>
    <row r="882" spans="5:12" x14ac:dyDescent="0.35">
      <c r="E882" s="135">
        <v>869</v>
      </c>
      <c r="F882" s="135">
        <v>0</v>
      </c>
      <c r="G882" s="141">
        <f t="shared" si="67"/>
        <v>0</v>
      </c>
      <c r="H882" s="155">
        <f t="shared" si="68"/>
        <v>0</v>
      </c>
      <c r="I882" s="142">
        <f t="shared" si="69"/>
        <v>13430340</v>
      </c>
      <c r="J882" s="142">
        <v>0</v>
      </c>
      <c r="K882" s="142">
        <f t="shared" si="70"/>
        <v>0</v>
      </c>
      <c r="L882" s="142">
        <f t="shared" si="71"/>
        <v>13430340</v>
      </c>
    </row>
    <row r="883" spans="5:12" x14ac:dyDescent="0.35">
      <c r="E883" s="135">
        <v>870</v>
      </c>
      <c r="F883" s="135">
        <v>0</v>
      </c>
      <c r="G883" s="141">
        <f t="shared" si="67"/>
        <v>0</v>
      </c>
      <c r="H883" s="155">
        <f t="shared" si="68"/>
        <v>0</v>
      </c>
      <c r="I883" s="142">
        <f t="shared" si="69"/>
        <v>13430340</v>
      </c>
      <c r="J883" s="142">
        <v>0</v>
      </c>
      <c r="K883" s="142">
        <f t="shared" si="70"/>
        <v>0</v>
      </c>
      <c r="L883" s="142">
        <f t="shared" si="71"/>
        <v>13430340</v>
      </c>
    </row>
    <row r="884" spans="5:12" x14ac:dyDescent="0.35">
      <c r="E884" s="135">
        <v>871</v>
      </c>
      <c r="F884" s="135">
        <v>1</v>
      </c>
      <c r="G884" s="141">
        <f t="shared" si="67"/>
        <v>23.813582244547764</v>
      </c>
      <c r="H884" s="155">
        <f t="shared" si="68"/>
        <v>0</v>
      </c>
      <c r="I884" s="142">
        <f t="shared" si="69"/>
        <v>13430340</v>
      </c>
      <c r="J884" s="142">
        <v>0</v>
      </c>
      <c r="K884" s="142">
        <f t="shared" si="70"/>
        <v>136632.93323927111</v>
      </c>
      <c r="L884" s="142">
        <f t="shared" si="71"/>
        <v>13566972.933239272</v>
      </c>
    </row>
    <row r="885" spans="5:12" x14ac:dyDescent="0.35">
      <c r="E885" s="135">
        <v>872</v>
      </c>
      <c r="F885" s="135">
        <v>0</v>
      </c>
      <c r="G885" s="141">
        <f t="shared" si="67"/>
        <v>0</v>
      </c>
      <c r="H885" s="155">
        <f t="shared" si="68"/>
        <v>0</v>
      </c>
      <c r="I885" s="142">
        <f t="shared" si="69"/>
        <v>13430340</v>
      </c>
      <c r="J885" s="142">
        <v>0</v>
      </c>
      <c r="K885" s="142">
        <f t="shared" si="70"/>
        <v>0</v>
      </c>
      <c r="L885" s="142">
        <f t="shared" si="71"/>
        <v>13430340</v>
      </c>
    </row>
    <row r="886" spans="5:12" x14ac:dyDescent="0.35">
      <c r="E886" s="135">
        <v>873</v>
      </c>
      <c r="F886" s="135">
        <v>1</v>
      </c>
      <c r="G886" s="141">
        <f t="shared" si="67"/>
        <v>23.813582244547764</v>
      </c>
      <c r="H886" s="155">
        <f t="shared" si="68"/>
        <v>0</v>
      </c>
      <c r="I886" s="142">
        <f t="shared" si="69"/>
        <v>13430340</v>
      </c>
      <c r="J886" s="142">
        <v>0</v>
      </c>
      <c r="K886" s="142">
        <f t="shared" si="70"/>
        <v>136632.93323927111</v>
      </c>
      <c r="L886" s="142">
        <f t="shared" si="71"/>
        <v>13566972.933239272</v>
      </c>
    </row>
    <row r="887" spans="5:12" x14ac:dyDescent="0.35">
      <c r="E887" s="135">
        <v>874</v>
      </c>
      <c r="F887" s="135">
        <v>0</v>
      </c>
      <c r="G887" s="141">
        <f t="shared" si="67"/>
        <v>0</v>
      </c>
      <c r="H887" s="155">
        <f t="shared" si="68"/>
        <v>0</v>
      </c>
      <c r="I887" s="142">
        <f t="shared" si="69"/>
        <v>13430340</v>
      </c>
      <c r="J887" s="142">
        <v>0</v>
      </c>
      <c r="K887" s="142">
        <f t="shared" si="70"/>
        <v>0</v>
      </c>
      <c r="L887" s="142">
        <f t="shared" si="71"/>
        <v>13430340</v>
      </c>
    </row>
    <row r="888" spans="5:12" x14ac:dyDescent="0.35">
      <c r="E888" s="135">
        <v>875</v>
      </c>
      <c r="F888" s="135">
        <v>0</v>
      </c>
      <c r="G888" s="141">
        <f t="shared" si="67"/>
        <v>0</v>
      </c>
      <c r="H888" s="155">
        <f t="shared" si="68"/>
        <v>0</v>
      </c>
      <c r="I888" s="142">
        <f t="shared" si="69"/>
        <v>13430340</v>
      </c>
      <c r="J888" s="142">
        <v>0</v>
      </c>
      <c r="K888" s="142">
        <f t="shared" si="70"/>
        <v>0</v>
      </c>
      <c r="L888" s="142">
        <f t="shared" si="71"/>
        <v>13430340</v>
      </c>
    </row>
    <row r="889" spans="5:12" x14ac:dyDescent="0.35">
      <c r="E889" s="135">
        <v>876</v>
      </c>
      <c r="F889" s="135">
        <v>0</v>
      </c>
      <c r="G889" s="141">
        <f t="shared" si="67"/>
        <v>0</v>
      </c>
      <c r="H889" s="155">
        <f t="shared" si="68"/>
        <v>0</v>
      </c>
      <c r="I889" s="142">
        <f t="shared" si="69"/>
        <v>13430340</v>
      </c>
      <c r="J889" s="142">
        <v>0</v>
      </c>
      <c r="K889" s="142">
        <f t="shared" si="70"/>
        <v>0</v>
      </c>
      <c r="L889" s="142">
        <f t="shared" si="71"/>
        <v>13430340</v>
      </c>
    </row>
    <row r="890" spans="5:12" x14ac:dyDescent="0.35">
      <c r="E890" s="135">
        <v>877</v>
      </c>
      <c r="F890" s="135">
        <v>0</v>
      </c>
      <c r="G890" s="141">
        <f t="shared" si="67"/>
        <v>0</v>
      </c>
      <c r="H890" s="155">
        <f t="shared" si="68"/>
        <v>0</v>
      </c>
      <c r="I890" s="142">
        <f t="shared" si="69"/>
        <v>13430340</v>
      </c>
      <c r="J890" s="142">
        <v>0</v>
      </c>
      <c r="K890" s="142">
        <f t="shared" si="70"/>
        <v>0</v>
      </c>
      <c r="L890" s="142">
        <f t="shared" si="71"/>
        <v>13430340</v>
      </c>
    </row>
    <row r="891" spans="5:12" x14ac:dyDescent="0.35">
      <c r="E891" s="135">
        <v>878</v>
      </c>
      <c r="F891" s="135">
        <v>0</v>
      </c>
      <c r="G891" s="141">
        <f t="shared" si="67"/>
        <v>0</v>
      </c>
      <c r="H891" s="155">
        <f t="shared" si="68"/>
        <v>0</v>
      </c>
      <c r="I891" s="142">
        <f t="shared" si="69"/>
        <v>13430340</v>
      </c>
      <c r="J891" s="142">
        <v>0</v>
      </c>
      <c r="K891" s="142">
        <f t="shared" si="70"/>
        <v>0</v>
      </c>
      <c r="L891" s="142">
        <f t="shared" si="71"/>
        <v>13430340</v>
      </c>
    </row>
    <row r="892" spans="5:12" x14ac:dyDescent="0.35">
      <c r="E892" s="135">
        <v>879</v>
      </c>
      <c r="F892" s="135">
        <v>0</v>
      </c>
      <c r="G892" s="141">
        <f t="shared" si="67"/>
        <v>0</v>
      </c>
      <c r="H892" s="155">
        <f t="shared" si="68"/>
        <v>0</v>
      </c>
      <c r="I892" s="142">
        <f t="shared" si="69"/>
        <v>13430340</v>
      </c>
      <c r="J892" s="142">
        <v>0</v>
      </c>
      <c r="K892" s="142">
        <f t="shared" si="70"/>
        <v>0</v>
      </c>
      <c r="L892" s="142">
        <f t="shared" si="71"/>
        <v>13430340</v>
      </c>
    </row>
    <row r="893" spans="5:12" x14ac:dyDescent="0.35">
      <c r="E893" s="135">
        <v>880</v>
      </c>
      <c r="F893" s="135">
        <v>0</v>
      </c>
      <c r="G893" s="141">
        <f t="shared" si="67"/>
        <v>0</v>
      </c>
      <c r="H893" s="155">
        <f t="shared" si="68"/>
        <v>0</v>
      </c>
      <c r="I893" s="142">
        <f t="shared" si="69"/>
        <v>13430340</v>
      </c>
      <c r="J893" s="142">
        <v>0</v>
      </c>
      <c r="K893" s="142">
        <f t="shared" si="70"/>
        <v>0</v>
      </c>
      <c r="L893" s="142">
        <f t="shared" si="71"/>
        <v>13430340</v>
      </c>
    </row>
    <row r="894" spans="5:12" x14ac:dyDescent="0.35">
      <c r="E894" s="135">
        <v>881</v>
      </c>
      <c r="F894" s="135">
        <v>0</v>
      </c>
      <c r="G894" s="141">
        <f t="shared" si="67"/>
        <v>0</v>
      </c>
      <c r="H894" s="155">
        <f t="shared" si="68"/>
        <v>0</v>
      </c>
      <c r="I894" s="142">
        <f t="shared" si="69"/>
        <v>13430340</v>
      </c>
      <c r="J894" s="142">
        <v>0</v>
      </c>
      <c r="K894" s="142">
        <f t="shared" si="70"/>
        <v>0</v>
      </c>
      <c r="L894" s="142">
        <f t="shared" si="71"/>
        <v>13430340</v>
      </c>
    </row>
    <row r="895" spans="5:12" x14ac:dyDescent="0.35">
      <c r="E895" s="135">
        <v>882</v>
      </c>
      <c r="F895" s="135">
        <v>0</v>
      </c>
      <c r="G895" s="141">
        <f t="shared" si="67"/>
        <v>0</v>
      </c>
      <c r="H895" s="155">
        <f t="shared" si="68"/>
        <v>0</v>
      </c>
      <c r="I895" s="142">
        <f t="shared" si="69"/>
        <v>13430340</v>
      </c>
      <c r="J895" s="142">
        <v>0</v>
      </c>
      <c r="K895" s="142">
        <f t="shared" si="70"/>
        <v>0</v>
      </c>
      <c r="L895" s="142">
        <f t="shared" si="71"/>
        <v>13430340</v>
      </c>
    </row>
    <row r="896" spans="5:12" x14ac:dyDescent="0.35">
      <c r="E896" s="135">
        <v>883</v>
      </c>
      <c r="F896" s="135">
        <v>0</v>
      </c>
      <c r="G896" s="141">
        <f t="shared" si="67"/>
        <v>0</v>
      </c>
      <c r="H896" s="155">
        <f t="shared" si="68"/>
        <v>0</v>
      </c>
      <c r="I896" s="142">
        <f t="shared" si="69"/>
        <v>13430340</v>
      </c>
      <c r="J896" s="142">
        <v>0</v>
      </c>
      <c r="K896" s="142">
        <f t="shared" si="70"/>
        <v>0</v>
      </c>
      <c r="L896" s="142">
        <f t="shared" si="71"/>
        <v>13430340</v>
      </c>
    </row>
    <row r="897" spans="5:12" x14ac:dyDescent="0.35">
      <c r="E897" s="135">
        <v>884</v>
      </c>
      <c r="F897" s="135">
        <v>1</v>
      </c>
      <c r="G897" s="141">
        <f t="shared" si="67"/>
        <v>23.813582244547764</v>
      </c>
      <c r="H897" s="155">
        <f t="shared" si="68"/>
        <v>0</v>
      </c>
      <c r="I897" s="142">
        <f t="shared" si="69"/>
        <v>13430340</v>
      </c>
      <c r="J897" s="142">
        <v>0</v>
      </c>
      <c r="K897" s="142">
        <f t="shared" si="70"/>
        <v>136632.93323927111</v>
      </c>
      <c r="L897" s="142">
        <f t="shared" si="71"/>
        <v>13566972.933239272</v>
      </c>
    </row>
    <row r="898" spans="5:12" x14ac:dyDescent="0.35">
      <c r="E898" s="135">
        <v>885</v>
      </c>
      <c r="F898" s="135">
        <v>1</v>
      </c>
      <c r="G898" s="141">
        <f t="shared" si="67"/>
        <v>23.813582244547764</v>
      </c>
      <c r="H898" s="155">
        <f t="shared" si="68"/>
        <v>0</v>
      </c>
      <c r="I898" s="142">
        <f t="shared" si="69"/>
        <v>13430340</v>
      </c>
      <c r="J898" s="142">
        <v>0</v>
      </c>
      <c r="K898" s="142">
        <f t="shared" si="70"/>
        <v>136632.93323927111</v>
      </c>
      <c r="L898" s="142">
        <f t="shared" si="71"/>
        <v>13566972.933239272</v>
      </c>
    </row>
    <row r="899" spans="5:12" x14ac:dyDescent="0.35">
      <c r="E899" s="135">
        <v>886</v>
      </c>
      <c r="F899" s="135">
        <v>0</v>
      </c>
      <c r="G899" s="141">
        <f t="shared" si="67"/>
        <v>0</v>
      </c>
      <c r="H899" s="155">
        <f t="shared" si="68"/>
        <v>0</v>
      </c>
      <c r="I899" s="142">
        <f t="shared" si="69"/>
        <v>13430340</v>
      </c>
      <c r="J899" s="142">
        <v>0</v>
      </c>
      <c r="K899" s="142">
        <f t="shared" si="70"/>
        <v>0</v>
      </c>
      <c r="L899" s="142">
        <f t="shared" si="71"/>
        <v>13430340</v>
      </c>
    </row>
    <row r="900" spans="5:12" x14ac:dyDescent="0.35">
      <c r="E900" s="135">
        <v>887</v>
      </c>
      <c r="F900" s="135">
        <v>0</v>
      </c>
      <c r="G900" s="141">
        <f t="shared" si="67"/>
        <v>0</v>
      </c>
      <c r="H900" s="155">
        <f t="shared" si="68"/>
        <v>0</v>
      </c>
      <c r="I900" s="142">
        <f t="shared" si="69"/>
        <v>13430340</v>
      </c>
      <c r="J900" s="142">
        <v>0</v>
      </c>
      <c r="K900" s="142">
        <f t="shared" si="70"/>
        <v>0</v>
      </c>
      <c r="L900" s="142">
        <f t="shared" si="71"/>
        <v>13430340</v>
      </c>
    </row>
    <row r="901" spans="5:12" x14ac:dyDescent="0.35">
      <c r="E901" s="135">
        <v>888</v>
      </c>
      <c r="F901" s="135">
        <v>0</v>
      </c>
      <c r="G901" s="141">
        <f t="shared" si="67"/>
        <v>0</v>
      </c>
      <c r="H901" s="155">
        <f t="shared" si="68"/>
        <v>0</v>
      </c>
      <c r="I901" s="142">
        <f t="shared" si="69"/>
        <v>13430340</v>
      </c>
      <c r="J901" s="142">
        <v>0</v>
      </c>
      <c r="K901" s="142">
        <f t="shared" si="70"/>
        <v>0</v>
      </c>
      <c r="L901" s="142">
        <f t="shared" si="71"/>
        <v>13430340</v>
      </c>
    </row>
    <row r="902" spans="5:12" x14ac:dyDescent="0.35">
      <c r="E902" s="135">
        <v>889</v>
      </c>
      <c r="F902" s="135">
        <v>0</v>
      </c>
      <c r="G902" s="141">
        <f t="shared" si="67"/>
        <v>0</v>
      </c>
      <c r="H902" s="155">
        <f t="shared" si="68"/>
        <v>0</v>
      </c>
      <c r="I902" s="142">
        <f t="shared" si="69"/>
        <v>13430340</v>
      </c>
      <c r="J902" s="142">
        <v>0</v>
      </c>
      <c r="K902" s="142">
        <f t="shared" si="70"/>
        <v>0</v>
      </c>
      <c r="L902" s="142">
        <f t="shared" si="71"/>
        <v>13430340</v>
      </c>
    </row>
    <row r="903" spans="5:12" x14ac:dyDescent="0.35">
      <c r="E903" s="135">
        <v>890</v>
      </c>
      <c r="F903" s="135">
        <v>0</v>
      </c>
      <c r="G903" s="141">
        <f t="shared" si="67"/>
        <v>0</v>
      </c>
      <c r="H903" s="155">
        <f t="shared" si="68"/>
        <v>0</v>
      </c>
      <c r="I903" s="142">
        <f t="shared" si="69"/>
        <v>13430340</v>
      </c>
      <c r="J903" s="142">
        <v>0</v>
      </c>
      <c r="K903" s="142">
        <f t="shared" si="70"/>
        <v>0</v>
      </c>
      <c r="L903" s="142">
        <f t="shared" si="71"/>
        <v>13430340</v>
      </c>
    </row>
    <row r="904" spans="5:12" x14ac:dyDescent="0.35">
      <c r="E904" s="135">
        <v>891</v>
      </c>
      <c r="F904" s="135">
        <v>0</v>
      </c>
      <c r="G904" s="141">
        <f t="shared" si="67"/>
        <v>0</v>
      </c>
      <c r="H904" s="155">
        <f t="shared" si="68"/>
        <v>0</v>
      </c>
      <c r="I904" s="142">
        <f t="shared" si="69"/>
        <v>13430340</v>
      </c>
      <c r="J904" s="142">
        <v>0</v>
      </c>
      <c r="K904" s="142">
        <f t="shared" si="70"/>
        <v>0</v>
      </c>
      <c r="L904" s="142">
        <f t="shared" si="71"/>
        <v>13430340</v>
      </c>
    </row>
    <row r="905" spans="5:12" x14ac:dyDescent="0.35">
      <c r="E905" s="135">
        <v>892</v>
      </c>
      <c r="F905" s="135">
        <v>0</v>
      </c>
      <c r="G905" s="141">
        <f t="shared" si="67"/>
        <v>0</v>
      </c>
      <c r="H905" s="155">
        <f t="shared" si="68"/>
        <v>0</v>
      </c>
      <c r="I905" s="142">
        <f t="shared" si="69"/>
        <v>13430340</v>
      </c>
      <c r="J905" s="142">
        <v>0</v>
      </c>
      <c r="K905" s="142">
        <f t="shared" si="70"/>
        <v>0</v>
      </c>
      <c r="L905" s="142">
        <f t="shared" si="71"/>
        <v>13430340</v>
      </c>
    </row>
    <row r="906" spans="5:12" x14ac:dyDescent="0.35">
      <c r="E906" s="135">
        <v>893</v>
      </c>
      <c r="F906" s="135">
        <v>0</v>
      </c>
      <c r="G906" s="141">
        <f t="shared" si="67"/>
        <v>0</v>
      </c>
      <c r="H906" s="155">
        <f t="shared" si="68"/>
        <v>0</v>
      </c>
      <c r="I906" s="142">
        <f t="shared" si="69"/>
        <v>13430340</v>
      </c>
      <c r="J906" s="142">
        <v>0</v>
      </c>
      <c r="K906" s="142">
        <f t="shared" si="70"/>
        <v>0</v>
      </c>
      <c r="L906" s="142">
        <f t="shared" si="71"/>
        <v>13430340</v>
      </c>
    </row>
    <row r="907" spans="5:12" x14ac:dyDescent="0.35">
      <c r="E907" s="135">
        <v>894</v>
      </c>
      <c r="F907" s="135">
        <v>0</v>
      </c>
      <c r="G907" s="141">
        <f t="shared" si="67"/>
        <v>0</v>
      </c>
      <c r="H907" s="155">
        <f t="shared" si="68"/>
        <v>0</v>
      </c>
      <c r="I907" s="142">
        <f t="shared" si="69"/>
        <v>13430340</v>
      </c>
      <c r="J907" s="142">
        <v>0</v>
      </c>
      <c r="K907" s="142">
        <f t="shared" si="70"/>
        <v>0</v>
      </c>
      <c r="L907" s="142">
        <f t="shared" si="71"/>
        <v>13430340</v>
      </c>
    </row>
    <row r="908" spans="5:12" x14ac:dyDescent="0.35">
      <c r="E908" s="135">
        <v>895</v>
      </c>
      <c r="F908" s="135">
        <v>1</v>
      </c>
      <c r="G908" s="141">
        <f t="shared" si="67"/>
        <v>23.813582244547764</v>
      </c>
      <c r="H908" s="155">
        <f t="shared" si="68"/>
        <v>0</v>
      </c>
      <c r="I908" s="142">
        <f t="shared" si="69"/>
        <v>13430340</v>
      </c>
      <c r="J908" s="142">
        <v>0</v>
      </c>
      <c r="K908" s="142">
        <f t="shared" si="70"/>
        <v>136632.93323927111</v>
      </c>
      <c r="L908" s="142">
        <f t="shared" si="71"/>
        <v>13566972.933239272</v>
      </c>
    </row>
    <row r="909" spans="5:12" x14ac:dyDescent="0.35">
      <c r="E909" s="135">
        <v>896</v>
      </c>
      <c r="F909" s="135">
        <v>0</v>
      </c>
      <c r="G909" s="141">
        <f t="shared" si="67"/>
        <v>0</v>
      </c>
      <c r="H909" s="155">
        <f t="shared" si="68"/>
        <v>0</v>
      </c>
      <c r="I909" s="142">
        <f t="shared" si="69"/>
        <v>13430340</v>
      </c>
      <c r="J909" s="142">
        <v>0</v>
      </c>
      <c r="K909" s="142">
        <f t="shared" si="70"/>
        <v>0</v>
      </c>
      <c r="L909" s="142">
        <f t="shared" si="71"/>
        <v>13430340</v>
      </c>
    </row>
    <row r="910" spans="5:12" x14ac:dyDescent="0.35">
      <c r="E910" s="135">
        <v>897</v>
      </c>
      <c r="F910" s="135">
        <v>0</v>
      </c>
      <c r="G910" s="141">
        <f t="shared" ref="G910:G973" si="72">F910*$C$10</f>
        <v>0</v>
      </c>
      <c r="H910" s="155">
        <f t="shared" ref="H910:H973" si="73">IF(F910 &gt; 1,$C$14*20000,0)</f>
        <v>0</v>
      </c>
      <c r="I910" s="142">
        <f t="shared" ref="I910:I973" si="74">IF(F910 &gt; 1,$C$5+$G$2,$G$2)</f>
        <v>13430340</v>
      </c>
      <c r="J910" s="142">
        <v>0</v>
      </c>
      <c r="K910" s="142">
        <f t="shared" ref="K910:K973" si="75">F910*$C$6</f>
        <v>0</v>
      </c>
      <c r="L910" s="142">
        <f t="shared" ref="L910:L973" si="76">J910+I910+K910</f>
        <v>13430340</v>
      </c>
    </row>
    <row r="911" spans="5:12" x14ac:dyDescent="0.35">
      <c r="E911" s="135">
        <v>898</v>
      </c>
      <c r="F911" s="135">
        <v>0</v>
      </c>
      <c r="G911" s="141">
        <f t="shared" si="72"/>
        <v>0</v>
      </c>
      <c r="H911" s="155">
        <f t="shared" si="73"/>
        <v>0</v>
      </c>
      <c r="I911" s="142">
        <f t="shared" si="74"/>
        <v>13430340</v>
      </c>
      <c r="J911" s="142">
        <v>0</v>
      </c>
      <c r="K911" s="142">
        <f t="shared" si="75"/>
        <v>0</v>
      </c>
      <c r="L911" s="142">
        <f t="shared" si="76"/>
        <v>13430340</v>
      </c>
    </row>
    <row r="912" spans="5:12" x14ac:dyDescent="0.35">
      <c r="E912" s="135">
        <v>899</v>
      </c>
      <c r="F912" s="135">
        <v>0</v>
      </c>
      <c r="G912" s="141">
        <f t="shared" si="72"/>
        <v>0</v>
      </c>
      <c r="H912" s="155">
        <f t="shared" si="73"/>
        <v>0</v>
      </c>
      <c r="I912" s="142">
        <f t="shared" si="74"/>
        <v>13430340</v>
      </c>
      <c r="J912" s="142">
        <v>0</v>
      </c>
      <c r="K912" s="142">
        <f t="shared" si="75"/>
        <v>0</v>
      </c>
      <c r="L912" s="142">
        <f t="shared" si="76"/>
        <v>13430340</v>
      </c>
    </row>
    <row r="913" spans="5:12" x14ac:dyDescent="0.35">
      <c r="E913" s="135">
        <v>900</v>
      </c>
      <c r="F913" s="135">
        <v>1</v>
      </c>
      <c r="G913" s="141">
        <f t="shared" si="72"/>
        <v>23.813582244547764</v>
      </c>
      <c r="H913" s="155">
        <f t="shared" si="73"/>
        <v>0</v>
      </c>
      <c r="I913" s="142">
        <f t="shared" si="74"/>
        <v>13430340</v>
      </c>
      <c r="J913" s="142">
        <v>0</v>
      </c>
      <c r="K913" s="142">
        <f t="shared" si="75"/>
        <v>136632.93323927111</v>
      </c>
      <c r="L913" s="142">
        <f t="shared" si="76"/>
        <v>13566972.933239272</v>
      </c>
    </row>
    <row r="914" spans="5:12" x14ac:dyDescent="0.35">
      <c r="E914" s="135">
        <v>901</v>
      </c>
      <c r="F914" s="135">
        <v>0</v>
      </c>
      <c r="G914" s="141">
        <f t="shared" si="72"/>
        <v>0</v>
      </c>
      <c r="H914" s="155">
        <f t="shared" si="73"/>
        <v>0</v>
      </c>
      <c r="I914" s="142">
        <f t="shared" si="74"/>
        <v>13430340</v>
      </c>
      <c r="J914" s="142">
        <v>0</v>
      </c>
      <c r="K914" s="142">
        <f t="shared" si="75"/>
        <v>0</v>
      </c>
      <c r="L914" s="142">
        <f t="shared" si="76"/>
        <v>13430340</v>
      </c>
    </row>
    <row r="915" spans="5:12" x14ac:dyDescent="0.35">
      <c r="E915" s="135">
        <v>902</v>
      </c>
      <c r="F915" s="135">
        <v>0</v>
      </c>
      <c r="G915" s="141">
        <f t="shared" si="72"/>
        <v>0</v>
      </c>
      <c r="H915" s="155">
        <f t="shared" si="73"/>
        <v>0</v>
      </c>
      <c r="I915" s="142">
        <f t="shared" si="74"/>
        <v>13430340</v>
      </c>
      <c r="J915" s="142">
        <v>0</v>
      </c>
      <c r="K915" s="142">
        <f t="shared" si="75"/>
        <v>0</v>
      </c>
      <c r="L915" s="142">
        <f t="shared" si="76"/>
        <v>13430340</v>
      </c>
    </row>
    <row r="916" spans="5:12" x14ac:dyDescent="0.35">
      <c r="E916" s="135">
        <v>903</v>
      </c>
      <c r="F916" s="135">
        <v>0</v>
      </c>
      <c r="G916" s="141">
        <f t="shared" si="72"/>
        <v>0</v>
      </c>
      <c r="H916" s="155">
        <f t="shared" si="73"/>
        <v>0</v>
      </c>
      <c r="I916" s="142">
        <f t="shared" si="74"/>
        <v>13430340</v>
      </c>
      <c r="J916" s="142">
        <v>0</v>
      </c>
      <c r="K916" s="142">
        <f t="shared" si="75"/>
        <v>0</v>
      </c>
      <c r="L916" s="142">
        <f t="shared" si="76"/>
        <v>13430340</v>
      </c>
    </row>
    <row r="917" spans="5:12" x14ac:dyDescent="0.35">
      <c r="E917" s="135">
        <v>904</v>
      </c>
      <c r="F917" s="135">
        <v>0</v>
      </c>
      <c r="G917" s="141">
        <f t="shared" si="72"/>
        <v>0</v>
      </c>
      <c r="H917" s="155">
        <f t="shared" si="73"/>
        <v>0</v>
      </c>
      <c r="I917" s="142">
        <f t="shared" si="74"/>
        <v>13430340</v>
      </c>
      <c r="J917" s="142">
        <v>0</v>
      </c>
      <c r="K917" s="142">
        <f t="shared" si="75"/>
        <v>0</v>
      </c>
      <c r="L917" s="142">
        <f t="shared" si="76"/>
        <v>13430340</v>
      </c>
    </row>
    <row r="918" spans="5:12" x14ac:dyDescent="0.35">
      <c r="E918" s="135">
        <v>905</v>
      </c>
      <c r="F918" s="135">
        <v>0</v>
      </c>
      <c r="G918" s="141">
        <f t="shared" si="72"/>
        <v>0</v>
      </c>
      <c r="H918" s="155">
        <f t="shared" si="73"/>
        <v>0</v>
      </c>
      <c r="I918" s="142">
        <f t="shared" si="74"/>
        <v>13430340</v>
      </c>
      <c r="J918" s="142">
        <v>0</v>
      </c>
      <c r="K918" s="142">
        <f t="shared" si="75"/>
        <v>0</v>
      </c>
      <c r="L918" s="142">
        <f t="shared" si="76"/>
        <v>13430340</v>
      </c>
    </row>
    <row r="919" spans="5:12" x14ac:dyDescent="0.35">
      <c r="E919" s="135">
        <v>906</v>
      </c>
      <c r="F919" s="135">
        <v>0</v>
      </c>
      <c r="G919" s="141">
        <f t="shared" si="72"/>
        <v>0</v>
      </c>
      <c r="H919" s="155">
        <f t="shared" si="73"/>
        <v>0</v>
      </c>
      <c r="I919" s="142">
        <f t="shared" si="74"/>
        <v>13430340</v>
      </c>
      <c r="J919" s="142">
        <v>0</v>
      </c>
      <c r="K919" s="142">
        <f t="shared" si="75"/>
        <v>0</v>
      </c>
      <c r="L919" s="142">
        <f t="shared" si="76"/>
        <v>13430340</v>
      </c>
    </row>
    <row r="920" spans="5:12" x14ac:dyDescent="0.35">
      <c r="E920" s="135">
        <v>907</v>
      </c>
      <c r="F920" s="135">
        <v>0</v>
      </c>
      <c r="G920" s="141">
        <f t="shared" si="72"/>
        <v>0</v>
      </c>
      <c r="H920" s="155">
        <f t="shared" si="73"/>
        <v>0</v>
      </c>
      <c r="I920" s="142">
        <f t="shared" si="74"/>
        <v>13430340</v>
      </c>
      <c r="J920" s="142">
        <v>0</v>
      </c>
      <c r="K920" s="142">
        <f t="shared" si="75"/>
        <v>0</v>
      </c>
      <c r="L920" s="142">
        <f t="shared" si="76"/>
        <v>13430340</v>
      </c>
    </row>
    <row r="921" spans="5:12" x14ac:dyDescent="0.35">
      <c r="E921" s="135">
        <v>908</v>
      </c>
      <c r="F921" s="135">
        <v>0</v>
      </c>
      <c r="G921" s="141">
        <f t="shared" si="72"/>
        <v>0</v>
      </c>
      <c r="H921" s="155">
        <f t="shared" si="73"/>
        <v>0</v>
      </c>
      <c r="I921" s="142">
        <f t="shared" si="74"/>
        <v>13430340</v>
      </c>
      <c r="J921" s="142">
        <v>0</v>
      </c>
      <c r="K921" s="142">
        <f t="shared" si="75"/>
        <v>0</v>
      </c>
      <c r="L921" s="142">
        <f t="shared" si="76"/>
        <v>13430340</v>
      </c>
    </row>
    <row r="922" spans="5:12" x14ac:dyDescent="0.35">
      <c r="E922" s="135">
        <v>909</v>
      </c>
      <c r="F922" s="135">
        <v>0</v>
      </c>
      <c r="G922" s="141">
        <f t="shared" si="72"/>
        <v>0</v>
      </c>
      <c r="H922" s="155">
        <f t="shared" si="73"/>
        <v>0</v>
      </c>
      <c r="I922" s="142">
        <f t="shared" si="74"/>
        <v>13430340</v>
      </c>
      <c r="J922" s="142">
        <v>0</v>
      </c>
      <c r="K922" s="142">
        <f t="shared" si="75"/>
        <v>0</v>
      </c>
      <c r="L922" s="142">
        <f t="shared" si="76"/>
        <v>13430340</v>
      </c>
    </row>
    <row r="923" spans="5:12" x14ac:dyDescent="0.35">
      <c r="E923" s="135">
        <v>910</v>
      </c>
      <c r="F923" s="135">
        <v>1</v>
      </c>
      <c r="G923" s="141">
        <f t="shared" si="72"/>
        <v>23.813582244547764</v>
      </c>
      <c r="H923" s="155">
        <f t="shared" si="73"/>
        <v>0</v>
      </c>
      <c r="I923" s="142">
        <f t="shared" si="74"/>
        <v>13430340</v>
      </c>
      <c r="J923" s="142">
        <v>0</v>
      </c>
      <c r="K923" s="142">
        <f t="shared" si="75"/>
        <v>136632.93323927111</v>
      </c>
      <c r="L923" s="142">
        <f t="shared" si="76"/>
        <v>13566972.933239272</v>
      </c>
    </row>
    <row r="924" spans="5:12" x14ac:dyDescent="0.35">
      <c r="E924" s="135">
        <v>911</v>
      </c>
      <c r="F924" s="135">
        <v>0</v>
      </c>
      <c r="G924" s="141">
        <f t="shared" si="72"/>
        <v>0</v>
      </c>
      <c r="H924" s="155">
        <f t="shared" si="73"/>
        <v>0</v>
      </c>
      <c r="I924" s="142">
        <f t="shared" si="74"/>
        <v>13430340</v>
      </c>
      <c r="J924" s="142">
        <v>0</v>
      </c>
      <c r="K924" s="142">
        <f t="shared" si="75"/>
        <v>0</v>
      </c>
      <c r="L924" s="142">
        <f t="shared" si="76"/>
        <v>13430340</v>
      </c>
    </row>
    <row r="925" spans="5:12" x14ac:dyDescent="0.35">
      <c r="E925" s="135">
        <v>912</v>
      </c>
      <c r="F925" s="135">
        <v>0</v>
      </c>
      <c r="G925" s="141">
        <f t="shared" si="72"/>
        <v>0</v>
      </c>
      <c r="H925" s="155">
        <f t="shared" si="73"/>
        <v>0</v>
      </c>
      <c r="I925" s="142">
        <f t="shared" si="74"/>
        <v>13430340</v>
      </c>
      <c r="J925" s="142">
        <v>0</v>
      </c>
      <c r="K925" s="142">
        <f t="shared" si="75"/>
        <v>0</v>
      </c>
      <c r="L925" s="142">
        <f t="shared" si="76"/>
        <v>13430340</v>
      </c>
    </row>
    <row r="926" spans="5:12" x14ac:dyDescent="0.35">
      <c r="E926" s="135">
        <v>913</v>
      </c>
      <c r="F926" s="135">
        <v>0</v>
      </c>
      <c r="G926" s="141">
        <f t="shared" si="72"/>
        <v>0</v>
      </c>
      <c r="H926" s="155">
        <f t="shared" si="73"/>
        <v>0</v>
      </c>
      <c r="I926" s="142">
        <f t="shared" si="74"/>
        <v>13430340</v>
      </c>
      <c r="J926" s="142">
        <v>0</v>
      </c>
      <c r="K926" s="142">
        <f t="shared" si="75"/>
        <v>0</v>
      </c>
      <c r="L926" s="142">
        <f t="shared" si="76"/>
        <v>13430340</v>
      </c>
    </row>
    <row r="927" spans="5:12" x14ac:dyDescent="0.35">
      <c r="E927" s="135">
        <v>914</v>
      </c>
      <c r="F927" s="135">
        <v>0</v>
      </c>
      <c r="G927" s="141">
        <f t="shared" si="72"/>
        <v>0</v>
      </c>
      <c r="H927" s="155">
        <f t="shared" si="73"/>
        <v>0</v>
      </c>
      <c r="I927" s="142">
        <f t="shared" si="74"/>
        <v>13430340</v>
      </c>
      <c r="J927" s="142">
        <v>0</v>
      </c>
      <c r="K927" s="142">
        <f t="shared" si="75"/>
        <v>0</v>
      </c>
      <c r="L927" s="142">
        <f t="shared" si="76"/>
        <v>13430340</v>
      </c>
    </row>
    <row r="928" spans="5:12" x14ac:dyDescent="0.35">
      <c r="E928" s="135">
        <v>915</v>
      </c>
      <c r="F928" s="135">
        <v>0</v>
      </c>
      <c r="G928" s="141">
        <f t="shared" si="72"/>
        <v>0</v>
      </c>
      <c r="H928" s="155">
        <f t="shared" si="73"/>
        <v>0</v>
      </c>
      <c r="I928" s="142">
        <f t="shared" si="74"/>
        <v>13430340</v>
      </c>
      <c r="J928" s="142">
        <v>0</v>
      </c>
      <c r="K928" s="142">
        <f t="shared" si="75"/>
        <v>0</v>
      </c>
      <c r="L928" s="142">
        <f t="shared" si="76"/>
        <v>13430340</v>
      </c>
    </row>
    <row r="929" spans="5:12" x14ac:dyDescent="0.35">
      <c r="E929" s="135">
        <v>916</v>
      </c>
      <c r="F929" s="135">
        <v>0</v>
      </c>
      <c r="G929" s="141">
        <f t="shared" si="72"/>
        <v>0</v>
      </c>
      <c r="H929" s="155">
        <f t="shared" si="73"/>
        <v>0</v>
      </c>
      <c r="I929" s="142">
        <f t="shared" si="74"/>
        <v>13430340</v>
      </c>
      <c r="J929" s="142">
        <v>0</v>
      </c>
      <c r="K929" s="142">
        <f t="shared" si="75"/>
        <v>0</v>
      </c>
      <c r="L929" s="142">
        <f t="shared" si="76"/>
        <v>13430340</v>
      </c>
    </row>
    <row r="930" spans="5:12" x14ac:dyDescent="0.35">
      <c r="E930" s="135">
        <v>917</v>
      </c>
      <c r="F930" s="135">
        <v>0</v>
      </c>
      <c r="G930" s="141">
        <f t="shared" si="72"/>
        <v>0</v>
      </c>
      <c r="H930" s="155">
        <f t="shared" si="73"/>
        <v>0</v>
      </c>
      <c r="I930" s="142">
        <f t="shared" si="74"/>
        <v>13430340</v>
      </c>
      <c r="J930" s="142">
        <v>0</v>
      </c>
      <c r="K930" s="142">
        <f t="shared" si="75"/>
        <v>0</v>
      </c>
      <c r="L930" s="142">
        <f t="shared" si="76"/>
        <v>13430340</v>
      </c>
    </row>
    <row r="931" spans="5:12" x14ac:dyDescent="0.35">
      <c r="E931" s="135">
        <v>918</v>
      </c>
      <c r="F931" s="135">
        <v>0</v>
      </c>
      <c r="G931" s="141">
        <f t="shared" si="72"/>
        <v>0</v>
      </c>
      <c r="H931" s="155">
        <f t="shared" si="73"/>
        <v>0</v>
      </c>
      <c r="I931" s="142">
        <f t="shared" si="74"/>
        <v>13430340</v>
      </c>
      <c r="J931" s="142">
        <v>0</v>
      </c>
      <c r="K931" s="142">
        <f t="shared" si="75"/>
        <v>0</v>
      </c>
      <c r="L931" s="142">
        <f t="shared" si="76"/>
        <v>13430340</v>
      </c>
    </row>
    <row r="932" spans="5:12" x14ac:dyDescent="0.35">
      <c r="E932" s="135">
        <v>919</v>
      </c>
      <c r="F932" s="135">
        <v>0</v>
      </c>
      <c r="G932" s="141">
        <f t="shared" si="72"/>
        <v>0</v>
      </c>
      <c r="H932" s="155">
        <f t="shared" si="73"/>
        <v>0</v>
      </c>
      <c r="I932" s="142">
        <f t="shared" si="74"/>
        <v>13430340</v>
      </c>
      <c r="J932" s="142">
        <v>0</v>
      </c>
      <c r="K932" s="142">
        <f t="shared" si="75"/>
        <v>0</v>
      </c>
      <c r="L932" s="142">
        <f t="shared" si="76"/>
        <v>13430340</v>
      </c>
    </row>
    <row r="933" spans="5:12" x14ac:dyDescent="0.35">
      <c r="E933" s="135">
        <v>920</v>
      </c>
      <c r="F933" s="135">
        <v>0</v>
      </c>
      <c r="G933" s="141">
        <f t="shared" si="72"/>
        <v>0</v>
      </c>
      <c r="H933" s="155">
        <f t="shared" si="73"/>
        <v>0</v>
      </c>
      <c r="I933" s="142">
        <f t="shared" si="74"/>
        <v>13430340</v>
      </c>
      <c r="J933" s="142">
        <v>0</v>
      </c>
      <c r="K933" s="142">
        <f t="shared" si="75"/>
        <v>0</v>
      </c>
      <c r="L933" s="142">
        <f t="shared" si="76"/>
        <v>13430340</v>
      </c>
    </row>
    <row r="934" spans="5:12" x14ac:dyDescent="0.35">
      <c r="E934" s="135">
        <v>921</v>
      </c>
      <c r="F934" s="135">
        <v>0</v>
      </c>
      <c r="G934" s="141">
        <f t="shared" si="72"/>
        <v>0</v>
      </c>
      <c r="H934" s="155">
        <f t="shared" si="73"/>
        <v>0</v>
      </c>
      <c r="I934" s="142">
        <f t="shared" si="74"/>
        <v>13430340</v>
      </c>
      <c r="J934" s="142">
        <v>0</v>
      </c>
      <c r="K934" s="142">
        <f t="shared" si="75"/>
        <v>0</v>
      </c>
      <c r="L934" s="142">
        <f t="shared" si="76"/>
        <v>13430340</v>
      </c>
    </row>
    <row r="935" spans="5:12" x14ac:dyDescent="0.35">
      <c r="E935" s="135">
        <v>922</v>
      </c>
      <c r="F935" s="135">
        <v>0</v>
      </c>
      <c r="G935" s="141">
        <f t="shared" si="72"/>
        <v>0</v>
      </c>
      <c r="H935" s="155">
        <f t="shared" si="73"/>
        <v>0</v>
      </c>
      <c r="I935" s="142">
        <f t="shared" si="74"/>
        <v>13430340</v>
      </c>
      <c r="J935" s="142">
        <v>0</v>
      </c>
      <c r="K935" s="142">
        <f t="shared" si="75"/>
        <v>0</v>
      </c>
      <c r="L935" s="142">
        <f t="shared" si="76"/>
        <v>13430340</v>
      </c>
    </row>
    <row r="936" spans="5:12" x14ac:dyDescent="0.35">
      <c r="E936" s="135">
        <v>923</v>
      </c>
      <c r="F936" s="135">
        <v>0</v>
      </c>
      <c r="G936" s="141">
        <f t="shared" si="72"/>
        <v>0</v>
      </c>
      <c r="H936" s="155">
        <f t="shared" si="73"/>
        <v>0</v>
      </c>
      <c r="I936" s="142">
        <f t="shared" si="74"/>
        <v>13430340</v>
      </c>
      <c r="J936" s="142">
        <v>0</v>
      </c>
      <c r="K936" s="142">
        <f t="shared" si="75"/>
        <v>0</v>
      </c>
      <c r="L936" s="142">
        <f t="shared" si="76"/>
        <v>13430340</v>
      </c>
    </row>
    <row r="937" spans="5:12" x14ac:dyDescent="0.35">
      <c r="E937" s="135">
        <v>924</v>
      </c>
      <c r="F937" s="135">
        <v>0</v>
      </c>
      <c r="G937" s="141">
        <f t="shared" si="72"/>
        <v>0</v>
      </c>
      <c r="H937" s="155">
        <f t="shared" si="73"/>
        <v>0</v>
      </c>
      <c r="I937" s="142">
        <f t="shared" si="74"/>
        <v>13430340</v>
      </c>
      <c r="J937" s="142">
        <v>0</v>
      </c>
      <c r="K937" s="142">
        <f t="shared" si="75"/>
        <v>0</v>
      </c>
      <c r="L937" s="142">
        <f t="shared" si="76"/>
        <v>13430340</v>
      </c>
    </row>
    <row r="938" spans="5:12" x14ac:dyDescent="0.35">
      <c r="E938" s="135">
        <v>925</v>
      </c>
      <c r="F938" s="135">
        <v>0</v>
      </c>
      <c r="G938" s="141">
        <f t="shared" si="72"/>
        <v>0</v>
      </c>
      <c r="H938" s="155">
        <f t="shared" si="73"/>
        <v>0</v>
      </c>
      <c r="I938" s="142">
        <f t="shared" si="74"/>
        <v>13430340</v>
      </c>
      <c r="J938" s="142">
        <v>0</v>
      </c>
      <c r="K938" s="142">
        <f t="shared" si="75"/>
        <v>0</v>
      </c>
      <c r="L938" s="142">
        <f t="shared" si="76"/>
        <v>13430340</v>
      </c>
    </row>
    <row r="939" spans="5:12" x14ac:dyDescent="0.35">
      <c r="E939" s="135">
        <v>926</v>
      </c>
      <c r="F939" s="135">
        <v>0</v>
      </c>
      <c r="G939" s="141">
        <f t="shared" si="72"/>
        <v>0</v>
      </c>
      <c r="H939" s="155">
        <f t="shared" si="73"/>
        <v>0</v>
      </c>
      <c r="I939" s="142">
        <f t="shared" si="74"/>
        <v>13430340</v>
      </c>
      <c r="J939" s="142">
        <v>0</v>
      </c>
      <c r="K939" s="142">
        <f t="shared" si="75"/>
        <v>0</v>
      </c>
      <c r="L939" s="142">
        <f t="shared" si="76"/>
        <v>13430340</v>
      </c>
    </row>
    <row r="940" spans="5:12" x14ac:dyDescent="0.35">
      <c r="E940" s="135">
        <v>927</v>
      </c>
      <c r="F940" s="135">
        <v>1</v>
      </c>
      <c r="G940" s="141">
        <f t="shared" si="72"/>
        <v>23.813582244547764</v>
      </c>
      <c r="H940" s="155">
        <f t="shared" si="73"/>
        <v>0</v>
      </c>
      <c r="I940" s="142">
        <f t="shared" si="74"/>
        <v>13430340</v>
      </c>
      <c r="J940" s="142">
        <v>0</v>
      </c>
      <c r="K940" s="142">
        <f t="shared" si="75"/>
        <v>136632.93323927111</v>
      </c>
      <c r="L940" s="142">
        <f t="shared" si="76"/>
        <v>13566972.933239272</v>
      </c>
    </row>
    <row r="941" spans="5:12" x14ac:dyDescent="0.35">
      <c r="E941" s="135">
        <v>928</v>
      </c>
      <c r="F941" s="135">
        <v>0</v>
      </c>
      <c r="G941" s="141">
        <f t="shared" si="72"/>
        <v>0</v>
      </c>
      <c r="H941" s="155">
        <f t="shared" si="73"/>
        <v>0</v>
      </c>
      <c r="I941" s="142">
        <f t="shared" si="74"/>
        <v>13430340</v>
      </c>
      <c r="J941" s="142">
        <v>0</v>
      </c>
      <c r="K941" s="142">
        <f t="shared" si="75"/>
        <v>0</v>
      </c>
      <c r="L941" s="142">
        <f t="shared" si="76"/>
        <v>13430340</v>
      </c>
    </row>
    <row r="942" spans="5:12" x14ac:dyDescent="0.35">
      <c r="E942" s="135">
        <v>929</v>
      </c>
      <c r="F942" s="135">
        <v>1</v>
      </c>
      <c r="G942" s="141">
        <f t="shared" si="72"/>
        <v>23.813582244547764</v>
      </c>
      <c r="H942" s="155">
        <f t="shared" si="73"/>
        <v>0</v>
      </c>
      <c r="I942" s="142">
        <f t="shared" si="74"/>
        <v>13430340</v>
      </c>
      <c r="J942" s="142">
        <v>0</v>
      </c>
      <c r="K942" s="142">
        <f t="shared" si="75"/>
        <v>136632.93323927111</v>
      </c>
      <c r="L942" s="142">
        <f t="shared" si="76"/>
        <v>13566972.933239272</v>
      </c>
    </row>
    <row r="943" spans="5:12" x14ac:dyDescent="0.35">
      <c r="E943" s="135">
        <v>930</v>
      </c>
      <c r="F943" s="135">
        <v>0</v>
      </c>
      <c r="G943" s="141">
        <f t="shared" si="72"/>
        <v>0</v>
      </c>
      <c r="H943" s="155">
        <f t="shared" si="73"/>
        <v>0</v>
      </c>
      <c r="I943" s="142">
        <f t="shared" si="74"/>
        <v>13430340</v>
      </c>
      <c r="J943" s="142">
        <v>0</v>
      </c>
      <c r="K943" s="142">
        <f t="shared" si="75"/>
        <v>0</v>
      </c>
      <c r="L943" s="142">
        <f t="shared" si="76"/>
        <v>13430340</v>
      </c>
    </row>
    <row r="944" spans="5:12" x14ac:dyDescent="0.35">
      <c r="E944" s="135">
        <v>931</v>
      </c>
      <c r="F944" s="135">
        <v>0</v>
      </c>
      <c r="G944" s="141">
        <f t="shared" si="72"/>
        <v>0</v>
      </c>
      <c r="H944" s="155">
        <f t="shared" si="73"/>
        <v>0</v>
      </c>
      <c r="I944" s="142">
        <f t="shared" si="74"/>
        <v>13430340</v>
      </c>
      <c r="J944" s="142">
        <v>0</v>
      </c>
      <c r="K944" s="142">
        <f t="shared" si="75"/>
        <v>0</v>
      </c>
      <c r="L944" s="142">
        <f t="shared" si="76"/>
        <v>13430340</v>
      </c>
    </row>
    <row r="945" spans="5:12" x14ac:dyDescent="0.35">
      <c r="E945" s="135">
        <v>932</v>
      </c>
      <c r="F945" s="135">
        <v>0</v>
      </c>
      <c r="G945" s="141">
        <f t="shared" si="72"/>
        <v>0</v>
      </c>
      <c r="H945" s="155">
        <f t="shared" si="73"/>
        <v>0</v>
      </c>
      <c r="I945" s="142">
        <f t="shared" si="74"/>
        <v>13430340</v>
      </c>
      <c r="J945" s="142">
        <v>0</v>
      </c>
      <c r="K945" s="142">
        <f t="shared" si="75"/>
        <v>0</v>
      </c>
      <c r="L945" s="142">
        <f t="shared" si="76"/>
        <v>13430340</v>
      </c>
    </row>
    <row r="946" spans="5:12" x14ac:dyDescent="0.35">
      <c r="E946" s="135">
        <v>933</v>
      </c>
      <c r="F946" s="135">
        <v>0</v>
      </c>
      <c r="G946" s="141">
        <f t="shared" si="72"/>
        <v>0</v>
      </c>
      <c r="H946" s="155">
        <f t="shared" si="73"/>
        <v>0</v>
      </c>
      <c r="I946" s="142">
        <f t="shared" si="74"/>
        <v>13430340</v>
      </c>
      <c r="J946" s="142">
        <v>0</v>
      </c>
      <c r="K946" s="142">
        <f t="shared" si="75"/>
        <v>0</v>
      </c>
      <c r="L946" s="142">
        <f t="shared" si="76"/>
        <v>13430340</v>
      </c>
    </row>
    <row r="947" spans="5:12" x14ac:dyDescent="0.35">
      <c r="E947" s="135">
        <v>934</v>
      </c>
      <c r="F947" s="135">
        <v>0</v>
      </c>
      <c r="G947" s="141">
        <f t="shared" si="72"/>
        <v>0</v>
      </c>
      <c r="H947" s="155">
        <f t="shared" si="73"/>
        <v>0</v>
      </c>
      <c r="I947" s="142">
        <f t="shared" si="74"/>
        <v>13430340</v>
      </c>
      <c r="J947" s="142">
        <v>0</v>
      </c>
      <c r="K947" s="142">
        <f t="shared" si="75"/>
        <v>0</v>
      </c>
      <c r="L947" s="142">
        <f t="shared" si="76"/>
        <v>13430340</v>
      </c>
    </row>
    <row r="948" spans="5:12" x14ac:dyDescent="0.35">
      <c r="E948" s="135">
        <v>935</v>
      </c>
      <c r="F948" s="135">
        <v>0</v>
      </c>
      <c r="G948" s="141">
        <f t="shared" si="72"/>
        <v>0</v>
      </c>
      <c r="H948" s="155">
        <f t="shared" si="73"/>
        <v>0</v>
      </c>
      <c r="I948" s="142">
        <f t="shared" si="74"/>
        <v>13430340</v>
      </c>
      <c r="J948" s="142">
        <v>0</v>
      </c>
      <c r="K948" s="142">
        <f t="shared" si="75"/>
        <v>0</v>
      </c>
      <c r="L948" s="142">
        <f t="shared" si="76"/>
        <v>13430340</v>
      </c>
    </row>
    <row r="949" spans="5:12" x14ac:dyDescent="0.35">
      <c r="E949" s="135">
        <v>936</v>
      </c>
      <c r="F949" s="135">
        <v>1</v>
      </c>
      <c r="G949" s="141">
        <f t="shared" si="72"/>
        <v>23.813582244547764</v>
      </c>
      <c r="H949" s="155">
        <f t="shared" si="73"/>
        <v>0</v>
      </c>
      <c r="I949" s="142">
        <f t="shared" si="74"/>
        <v>13430340</v>
      </c>
      <c r="J949" s="142">
        <v>0</v>
      </c>
      <c r="K949" s="142">
        <f t="shared" si="75"/>
        <v>136632.93323927111</v>
      </c>
      <c r="L949" s="142">
        <f t="shared" si="76"/>
        <v>13566972.933239272</v>
      </c>
    </row>
    <row r="950" spans="5:12" x14ac:dyDescent="0.35">
      <c r="E950" s="135">
        <v>937</v>
      </c>
      <c r="F950" s="135">
        <v>0</v>
      </c>
      <c r="G950" s="141">
        <f t="shared" si="72"/>
        <v>0</v>
      </c>
      <c r="H950" s="155">
        <f t="shared" si="73"/>
        <v>0</v>
      </c>
      <c r="I950" s="142">
        <f t="shared" si="74"/>
        <v>13430340</v>
      </c>
      <c r="J950" s="142">
        <v>0</v>
      </c>
      <c r="K950" s="142">
        <f t="shared" si="75"/>
        <v>0</v>
      </c>
      <c r="L950" s="142">
        <f t="shared" si="76"/>
        <v>13430340</v>
      </c>
    </row>
    <row r="951" spans="5:12" x14ac:dyDescent="0.35">
      <c r="E951" s="135">
        <v>938</v>
      </c>
      <c r="F951" s="135">
        <v>0</v>
      </c>
      <c r="G951" s="141">
        <f t="shared" si="72"/>
        <v>0</v>
      </c>
      <c r="H951" s="155">
        <f t="shared" si="73"/>
        <v>0</v>
      </c>
      <c r="I951" s="142">
        <f t="shared" si="74"/>
        <v>13430340</v>
      </c>
      <c r="J951" s="142">
        <v>0</v>
      </c>
      <c r="K951" s="142">
        <f t="shared" si="75"/>
        <v>0</v>
      </c>
      <c r="L951" s="142">
        <f t="shared" si="76"/>
        <v>13430340</v>
      </c>
    </row>
    <row r="952" spans="5:12" x14ac:dyDescent="0.35">
      <c r="E952" s="135">
        <v>939</v>
      </c>
      <c r="F952" s="135">
        <v>0</v>
      </c>
      <c r="G952" s="141">
        <f t="shared" si="72"/>
        <v>0</v>
      </c>
      <c r="H952" s="155">
        <f t="shared" si="73"/>
        <v>0</v>
      </c>
      <c r="I952" s="142">
        <f t="shared" si="74"/>
        <v>13430340</v>
      </c>
      <c r="J952" s="142">
        <v>0</v>
      </c>
      <c r="K952" s="142">
        <f t="shared" si="75"/>
        <v>0</v>
      </c>
      <c r="L952" s="142">
        <f t="shared" si="76"/>
        <v>13430340</v>
      </c>
    </row>
    <row r="953" spans="5:12" x14ac:dyDescent="0.35">
      <c r="E953" s="135">
        <v>940</v>
      </c>
      <c r="F953" s="135">
        <v>1</v>
      </c>
      <c r="G953" s="141">
        <f t="shared" si="72"/>
        <v>23.813582244547764</v>
      </c>
      <c r="H953" s="155">
        <f t="shared" si="73"/>
        <v>0</v>
      </c>
      <c r="I953" s="142">
        <f t="shared" si="74"/>
        <v>13430340</v>
      </c>
      <c r="J953" s="142">
        <v>0</v>
      </c>
      <c r="K953" s="142">
        <f t="shared" si="75"/>
        <v>136632.93323927111</v>
      </c>
      <c r="L953" s="142">
        <f t="shared" si="76"/>
        <v>13566972.933239272</v>
      </c>
    </row>
    <row r="954" spans="5:12" x14ac:dyDescent="0.35">
      <c r="E954" s="135">
        <v>941</v>
      </c>
      <c r="F954" s="135">
        <v>0</v>
      </c>
      <c r="G954" s="141">
        <f t="shared" si="72"/>
        <v>0</v>
      </c>
      <c r="H954" s="155">
        <f t="shared" si="73"/>
        <v>0</v>
      </c>
      <c r="I954" s="142">
        <f t="shared" si="74"/>
        <v>13430340</v>
      </c>
      <c r="J954" s="142">
        <v>0</v>
      </c>
      <c r="K954" s="142">
        <f t="shared" si="75"/>
        <v>0</v>
      </c>
      <c r="L954" s="142">
        <f t="shared" si="76"/>
        <v>13430340</v>
      </c>
    </row>
    <row r="955" spans="5:12" x14ac:dyDescent="0.35">
      <c r="E955" s="135">
        <v>942</v>
      </c>
      <c r="F955" s="135">
        <v>0</v>
      </c>
      <c r="G955" s="141">
        <f t="shared" si="72"/>
        <v>0</v>
      </c>
      <c r="H955" s="155">
        <f t="shared" si="73"/>
        <v>0</v>
      </c>
      <c r="I955" s="142">
        <f t="shared" si="74"/>
        <v>13430340</v>
      </c>
      <c r="J955" s="142">
        <v>0</v>
      </c>
      <c r="K955" s="142">
        <f t="shared" si="75"/>
        <v>0</v>
      </c>
      <c r="L955" s="142">
        <f t="shared" si="76"/>
        <v>13430340</v>
      </c>
    </row>
    <row r="956" spans="5:12" x14ac:dyDescent="0.35">
      <c r="E956" s="135">
        <v>943</v>
      </c>
      <c r="F956" s="135">
        <v>0</v>
      </c>
      <c r="G956" s="141">
        <f t="shared" si="72"/>
        <v>0</v>
      </c>
      <c r="H956" s="155">
        <f t="shared" si="73"/>
        <v>0</v>
      </c>
      <c r="I956" s="142">
        <f t="shared" si="74"/>
        <v>13430340</v>
      </c>
      <c r="J956" s="142">
        <v>0</v>
      </c>
      <c r="K956" s="142">
        <f t="shared" si="75"/>
        <v>0</v>
      </c>
      <c r="L956" s="142">
        <f t="shared" si="76"/>
        <v>13430340</v>
      </c>
    </row>
    <row r="957" spans="5:12" x14ac:dyDescent="0.35">
      <c r="E957" s="135">
        <v>944</v>
      </c>
      <c r="F957" s="135">
        <v>0</v>
      </c>
      <c r="G957" s="141">
        <f t="shared" si="72"/>
        <v>0</v>
      </c>
      <c r="H957" s="155">
        <f t="shared" si="73"/>
        <v>0</v>
      </c>
      <c r="I957" s="142">
        <f t="shared" si="74"/>
        <v>13430340</v>
      </c>
      <c r="J957" s="142">
        <v>0</v>
      </c>
      <c r="K957" s="142">
        <f t="shared" si="75"/>
        <v>0</v>
      </c>
      <c r="L957" s="142">
        <f t="shared" si="76"/>
        <v>13430340</v>
      </c>
    </row>
    <row r="958" spans="5:12" x14ac:dyDescent="0.35">
      <c r="E958" s="135">
        <v>945</v>
      </c>
      <c r="F958" s="135">
        <v>0</v>
      </c>
      <c r="G958" s="141">
        <f t="shared" si="72"/>
        <v>0</v>
      </c>
      <c r="H958" s="155">
        <f t="shared" si="73"/>
        <v>0</v>
      </c>
      <c r="I958" s="142">
        <f t="shared" si="74"/>
        <v>13430340</v>
      </c>
      <c r="J958" s="142">
        <v>0</v>
      </c>
      <c r="K958" s="142">
        <f t="shared" si="75"/>
        <v>0</v>
      </c>
      <c r="L958" s="142">
        <f t="shared" si="76"/>
        <v>13430340</v>
      </c>
    </row>
    <row r="959" spans="5:12" x14ac:dyDescent="0.35">
      <c r="E959" s="135">
        <v>946</v>
      </c>
      <c r="F959" s="135">
        <v>0</v>
      </c>
      <c r="G959" s="141">
        <f t="shared" si="72"/>
        <v>0</v>
      </c>
      <c r="H959" s="155">
        <f t="shared" si="73"/>
        <v>0</v>
      </c>
      <c r="I959" s="142">
        <f t="shared" si="74"/>
        <v>13430340</v>
      </c>
      <c r="J959" s="142">
        <v>0</v>
      </c>
      <c r="K959" s="142">
        <f t="shared" si="75"/>
        <v>0</v>
      </c>
      <c r="L959" s="142">
        <f t="shared" si="76"/>
        <v>13430340</v>
      </c>
    </row>
    <row r="960" spans="5:12" x14ac:dyDescent="0.35">
      <c r="E960" s="135">
        <v>947</v>
      </c>
      <c r="F960" s="135">
        <v>0</v>
      </c>
      <c r="G960" s="141">
        <f t="shared" si="72"/>
        <v>0</v>
      </c>
      <c r="H960" s="155">
        <f t="shared" si="73"/>
        <v>0</v>
      </c>
      <c r="I960" s="142">
        <f t="shared" si="74"/>
        <v>13430340</v>
      </c>
      <c r="J960" s="142">
        <v>0</v>
      </c>
      <c r="K960" s="142">
        <f t="shared" si="75"/>
        <v>0</v>
      </c>
      <c r="L960" s="142">
        <f t="shared" si="76"/>
        <v>13430340</v>
      </c>
    </row>
    <row r="961" spans="5:12" x14ac:dyDescent="0.35">
      <c r="E961" s="135">
        <v>948</v>
      </c>
      <c r="F961" s="135">
        <v>0</v>
      </c>
      <c r="G961" s="141">
        <f t="shared" si="72"/>
        <v>0</v>
      </c>
      <c r="H961" s="155">
        <f t="shared" si="73"/>
        <v>0</v>
      </c>
      <c r="I961" s="142">
        <f t="shared" si="74"/>
        <v>13430340</v>
      </c>
      <c r="J961" s="142">
        <v>0</v>
      </c>
      <c r="K961" s="142">
        <f t="shared" si="75"/>
        <v>0</v>
      </c>
      <c r="L961" s="142">
        <f t="shared" si="76"/>
        <v>13430340</v>
      </c>
    </row>
    <row r="962" spans="5:12" x14ac:dyDescent="0.35">
      <c r="E962" s="135">
        <v>949</v>
      </c>
      <c r="F962" s="135">
        <v>1</v>
      </c>
      <c r="G962" s="141">
        <f t="shared" si="72"/>
        <v>23.813582244547764</v>
      </c>
      <c r="H962" s="155">
        <f t="shared" si="73"/>
        <v>0</v>
      </c>
      <c r="I962" s="142">
        <f t="shared" si="74"/>
        <v>13430340</v>
      </c>
      <c r="J962" s="142">
        <v>0</v>
      </c>
      <c r="K962" s="142">
        <f t="shared" si="75"/>
        <v>136632.93323927111</v>
      </c>
      <c r="L962" s="142">
        <f t="shared" si="76"/>
        <v>13566972.933239272</v>
      </c>
    </row>
    <row r="963" spans="5:12" x14ac:dyDescent="0.35">
      <c r="E963" s="135">
        <v>950</v>
      </c>
      <c r="F963" s="135">
        <v>1</v>
      </c>
      <c r="G963" s="141">
        <f t="shared" si="72"/>
        <v>23.813582244547764</v>
      </c>
      <c r="H963" s="155">
        <f t="shared" si="73"/>
        <v>0</v>
      </c>
      <c r="I963" s="142">
        <f t="shared" si="74"/>
        <v>13430340</v>
      </c>
      <c r="J963" s="142">
        <v>0</v>
      </c>
      <c r="K963" s="142">
        <f t="shared" si="75"/>
        <v>136632.93323927111</v>
      </c>
      <c r="L963" s="142">
        <f t="shared" si="76"/>
        <v>13566972.933239272</v>
      </c>
    </row>
    <row r="964" spans="5:12" x14ac:dyDescent="0.35">
      <c r="E964" s="135">
        <v>951</v>
      </c>
      <c r="F964" s="135">
        <v>0</v>
      </c>
      <c r="G964" s="141">
        <f t="shared" si="72"/>
        <v>0</v>
      </c>
      <c r="H964" s="155">
        <f t="shared" si="73"/>
        <v>0</v>
      </c>
      <c r="I964" s="142">
        <f t="shared" si="74"/>
        <v>13430340</v>
      </c>
      <c r="J964" s="142">
        <v>0</v>
      </c>
      <c r="K964" s="142">
        <f t="shared" si="75"/>
        <v>0</v>
      </c>
      <c r="L964" s="142">
        <f t="shared" si="76"/>
        <v>13430340</v>
      </c>
    </row>
    <row r="965" spans="5:12" x14ac:dyDescent="0.35">
      <c r="E965" s="135">
        <v>952</v>
      </c>
      <c r="F965" s="135">
        <v>0</v>
      </c>
      <c r="G965" s="141">
        <f t="shared" si="72"/>
        <v>0</v>
      </c>
      <c r="H965" s="155">
        <f t="shared" si="73"/>
        <v>0</v>
      </c>
      <c r="I965" s="142">
        <f t="shared" si="74"/>
        <v>13430340</v>
      </c>
      <c r="J965" s="142">
        <v>0</v>
      </c>
      <c r="K965" s="142">
        <f t="shared" si="75"/>
        <v>0</v>
      </c>
      <c r="L965" s="142">
        <f t="shared" si="76"/>
        <v>13430340</v>
      </c>
    </row>
    <row r="966" spans="5:12" x14ac:dyDescent="0.35">
      <c r="E966" s="135">
        <v>953</v>
      </c>
      <c r="F966" s="135">
        <v>0</v>
      </c>
      <c r="G966" s="141">
        <f t="shared" si="72"/>
        <v>0</v>
      </c>
      <c r="H966" s="155">
        <f t="shared" si="73"/>
        <v>0</v>
      </c>
      <c r="I966" s="142">
        <f t="shared" si="74"/>
        <v>13430340</v>
      </c>
      <c r="J966" s="142">
        <v>0</v>
      </c>
      <c r="K966" s="142">
        <f t="shared" si="75"/>
        <v>0</v>
      </c>
      <c r="L966" s="142">
        <f t="shared" si="76"/>
        <v>13430340</v>
      </c>
    </row>
    <row r="967" spans="5:12" x14ac:dyDescent="0.35">
      <c r="E967" s="135">
        <v>954</v>
      </c>
      <c r="F967" s="135">
        <v>0</v>
      </c>
      <c r="G967" s="141">
        <f t="shared" si="72"/>
        <v>0</v>
      </c>
      <c r="H967" s="155">
        <f t="shared" si="73"/>
        <v>0</v>
      </c>
      <c r="I967" s="142">
        <f t="shared" si="74"/>
        <v>13430340</v>
      </c>
      <c r="J967" s="142">
        <v>0</v>
      </c>
      <c r="K967" s="142">
        <f t="shared" si="75"/>
        <v>0</v>
      </c>
      <c r="L967" s="142">
        <f t="shared" si="76"/>
        <v>13430340</v>
      </c>
    </row>
    <row r="968" spans="5:12" x14ac:dyDescent="0.35">
      <c r="E968" s="135">
        <v>955</v>
      </c>
      <c r="F968" s="135">
        <v>1</v>
      </c>
      <c r="G968" s="141">
        <f t="shared" si="72"/>
        <v>23.813582244547764</v>
      </c>
      <c r="H968" s="155">
        <f t="shared" si="73"/>
        <v>0</v>
      </c>
      <c r="I968" s="142">
        <f t="shared" si="74"/>
        <v>13430340</v>
      </c>
      <c r="J968" s="142">
        <v>0</v>
      </c>
      <c r="K968" s="142">
        <f t="shared" si="75"/>
        <v>136632.93323927111</v>
      </c>
      <c r="L968" s="142">
        <f t="shared" si="76"/>
        <v>13566972.933239272</v>
      </c>
    </row>
    <row r="969" spans="5:12" x14ac:dyDescent="0.35">
      <c r="E969" s="135">
        <v>956</v>
      </c>
      <c r="F969" s="135">
        <v>0</v>
      </c>
      <c r="G969" s="141">
        <f t="shared" si="72"/>
        <v>0</v>
      </c>
      <c r="H969" s="155">
        <f t="shared" si="73"/>
        <v>0</v>
      </c>
      <c r="I969" s="142">
        <f t="shared" si="74"/>
        <v>13430340</v>
      </c>
      <c r="J969" s="142">
        <v>0</v>
      </c>
      <c r="K969" s="142">
        <f t="shared" si="75"/>
        <v>0</v>
      </c>
      <c r="L969" s="142">
        <f t="shared" si="76"/>
        <v>13430340</v>
      </c>
    </row>
    <row r="970" spans="5:12" x14ac:dyDescent="0.35">
      <c r="E970" s="135">
        <v>957</v>
      </c>
      <c r="F970" s="135">
        <v>0</v>
      </c>
      <c r="G970" s="141">
        <f t="shared" si="72"/>
        <v>0</v>
      </c>
      <c r="H970" s="155">
        <f t="shared" si="73"/>
        <v>0</v>
      </c>
      <c r="I970" s="142">
        <f t="shared" si="74"/>
        <v>13430340</v>
      </c>
      <c r="J970" s="142">
        <v>0</v>
      </c>
      <c r="K970" s="142">
        <f t="shared" si="75"/>
        <v>0</v>
      </c>
      <c r="L970" s="142">
        <f t="shared" si="76"/>
        <v>13430340</v>
      </c>
    </row>
    <row r="971" spans="5:12" x14ac:dyDescent="0.35">
      <c r="E971" s="135">
        <v>958</v>
      </c>
      <c r="F971" s="135">
        <v>2</v>
      </c>
      <c r="G971" s="141">
        <f t="shared" si="72"/>
        <v>47.627164489095527</v>
      </c>
      <c r="H971" s="155">
        <f t="shared" si="73"/>
        <v>200</v>
      </c>
      <c r="I971" s="142">
        <f t="shared" si="74"/>
        <v>27930340</v>
      </c>
      <c r="J971" s="142">
        <v>0</v>
      </c>
      <c r="K971" s="142">
        <f t="shared" si="75"/>
        <v>273265.86647854222</v>
      </c>
      <c r="L971" s="142">
        <f t="shared" si="76"/>
        <v>28203605.866478544</v>
      </c>
    </row>
    <row r="972" spans="5:12" x14ac:dyDescent="0.35">
      <c r="E972" s="135">
        <v>959</v>
      </c>
      <c r="F972" s="135">
        <v>0</v>
      </c>
      <c r="G972" s="141">
        <f t="shared" si="72"/>
        <v>0</v>
      </c>
      <c r="H972" s="155">
        <f t="shared" si="73"/>
        <v>0</v>
      </c>
      <c r="I972" s="142">
        <f t="shared" si="74"/>
        <v>13430340</v>
      </c>
      <c r="J972" s="142">
        <v>0</v>
      </c>
      <c r="K972" s="142">
        <f t="shared" si="75"/>
        <v>0</v>
      </c>
      <c r="L972" s="142">
        <f t="shared" si="76"/>
        <v>13430340</v>
      </c>
    </row>
    <row r="973" spans="5:12" x14ac:dyDescent="0.35">
      <c r="E973" s="135">
        <v>960</v>
      </c>
      <c r="F973" s="135">
        <v>0</v>
      </c>
      <c r="G973" s="141">
        <f t="shared" si="72"/>
        <v>0</v>
      </c>
      <c r="H973" s="155">
        <f t="shared" si="73"/>
        <v>0</v>
      </c>
      <c r="I973" s="142">
        <f t="shared" si="74"/>
        <v>13430340</v>
      </c>
      <c r="J973" s="142">
        <v>0</v>
      </c>
      <c r="K973" s="142">
        <f t="shared" si="75"/>
        <v>0</v>
      </c>
      <c r="L973" s="142">
        <f t="shared" si="76"/>
        <v>13430340</v>
      </c>
    </row>
    <row r="974" spans="5:12" x14ac:dyDescent="0.35">
      <c r="E974" s="135">
        <v>961</v>
      </c>
      <c r="F974" s="135">
        <v>0</v>
      </c>
      <c r="G974" s="141">
        <f t="shared" ref="G974:G1013" si="77">F974*$C$10</f>
        <v>0</v>
      </c>
      <c r="H974" s="155">
        <f t="shared" ref="H974:H1013" si="78">IF(F974 &gt; 1,$C$14*20000,0)</f>
        <v>0</v>
      </c>
      <c r="I974" s="142">
        <f t="shared" ref="I974:I1013" si="79">IF(F974 &gt; 1,$C$5+$G$2,$G$2)</f>
        <v>13430340</v>
      </c>
      <c r="J974" s="142">
        <v>0</v>
      </c>
      <c r="K974" s="142">
        <f t="shared" ref="K974:K1013" si="80">F974*$C$6</f>
        <v>0</v>
      </c>
      <c r="L974" s="142">
        <f t="shared" ref="L974:L1013" si="81">J974+I974+K974</f>
        <v>13430340</v>
      </c>
    </row>
    <row r="975" spans="5:12" x14ac:dyDescent="0.35">
      <c r="E975" s="135">
        <v>962</v>
      </c>
      <c r="F975" s="135">
        <v>0</v>
      </c>
      <c r="G975" s="141">
        <f t="shared" si="77"/>
        <v>0</v>
      </c>
      <c r="H975" s="155">
        <f t="shared" si="78"/>
        <v>0</v>
      </c>
      <c r="I975" s="142">
        <f t="shared" si="79"/>
        <v>13430340</v>
      </c>
      <c r="J975" s="142">
        <v>0</v>
      </c>
      <c r="K975" s="142">
        <f t="shared" si="80"/>
        <v>0</v>
      </c>
      <c r="L975" s="142">
        <f t="shared" si="81"/>
        <v>13430340</v>
      </c>
    </row>
    <row r="976" spans="5:12" x14ac:dyDescent="0.35">
      <c r="E976" s="135">
        <v>963</v>
      </c>
      <c r="F976" s="135">
        <v>0</v>
      </c>
      <c r="G976" s="141">
        <f t="shared" si="77"/>
        <v>0</v>
      </c>
      <c r="H976" s="155">
        <f t="shared" si="78"/>
        <v>0</v>
      </c>
      <c r="I976" s="142">
        <f t="shared" si="79"/>
        <v>13430340</v>
      </c>
      <c r="J976" s="142">
        <v>0</v>
      </c>
      <c r="K976" s="142">
        <f t="shared" si="80"/>
        <v>0</v>
      </c>
      <c r="L976" s="142">
        <f t="shared" si="81"/>
        <v>13430340</v>
      </c>
    </row>
    <row r="977" spans="5:12" x14ac:dyDescent="0.35">
      <c r="E977" s="135">
        <v>964</v>
      </c>
      <c r="F977" s="135">
        <v>0</v>
      </c>
      <c r="G977" s="141">
        <f t="shared" si="77"/>
        <v>0</v>
      </c>
      <c r="H977" s="155">
        <f t="shared" si="78"/>
        <v>0</v>
      </c>
      <c r="I977" s="142">
        <f t="shared" si="79"/>
        <v>13430340</v>
      </c>
      <c r="J977" s="142">
        <v>0</v>
      </c>
      <c r="K977" s="142">
        <f t="shared" si="80"/>
        <v>0</v>
      </c>
      <c r="L977" s="142">
        <f t="shared" si="81"/>
        <v>13430340</v>
      </c>
    </row>
    <row r="978" spans="5:12" x14ac:dyDescent="0.35">
      <c r="E978" s="135">
        <v>965</v>
      </c>
      <c r="F978" s="135">
        <v>0</v>
      </c>
      <c r="G978" s="141">
        <f t="shared" si="77"/>
        <v>0</v>
      </c>
      <c r="H978" s="155">
        <f t="shared" si="78"/>
        <v>0</v>
      </c>
      <c r="I978" s="142">
        <f t="shared" si="79"/>
        <v>13430340</v>
      </c>
      <c r="J978" s="142">
        <v>0</v>
      </c>
      <c r="K978" s="142">
        <f t="shared" si="80"/>
        <v>0</v>
      </c>
      <c r="L978" s="142">
        <f t="shared" si="81"/>
        <v>13430340</v>
      </c>
    </row>
    <row r="979" spans="5:12" x14ac:dyDescent="0.35">
      <c r="E979" s="135">
        <v>966</v>
      </c>
      <c r="F979" s="135">
        <v>0</v>
      </c>
      <c r="G979" s="141">
        <f t="shared" si="77"/>
        <v>0</v>
      </c>
      <c r="H979" s="155">
        <f t="shared" si="78"/>
        <v>0</v>
      </c>
      <c r="I979" s="142">
        <f t="shared" si="79"/>
        <v>13430340</v>
      </c>
      <c r="J979" s="142">
        <v>0</v>
      </c>
      <c r="K979" s="142">
        <f t="shared" si="80"/>
        <v>0</v>
      </c>
      <c r="L979" s="142">
        <f t="shared" si="81"/>
        <v>13430340</v>
      </c>
    </row>
    <row r="980" spans="5:12" x14ac:dyDescent="0.35">
      <c r="E980" s="135">
        <v>967</v>
      </c>
      <c r="F980" s="135">
        <v>0</v>
      </c>
      <c r="G980" s="141">
        <f t="shared" si="77"/>
        <v>0</v>
      </c>
      <c r="H980" s="155">
        <f t="shared" si="78"/>
        <v>0</v>
      </c>
      <c r="I980" s="142">
        <f t="shared" si="79"/>
        <v>13430340</v>
      </c>
      <c r="J980" s="142">
        <v>0</v>
      </c>
      <c r="K980" s="142">
        <f t="shared" si="80"/>
        <v>0</v>
      </c>
      <c r="L980" s="142">
        <f t="shared" si="81"/>
        <v>13430340</v>
      </c>
    </row>
    <row r="981" spans="5:12" x14ac:dyDescent="0.35">
      <c r="E981" s="135">
        <v>968</v>
      </c>
      <c r="F981" s="135">
        <v>1</v>
      </c>
      <c r="G981" s="141">
        <f t="shared" si="77"/>
        <v>23.813582244547764</v>
      </c>
      <c r="H981" s="155">
        <f t="shared" si="78"/>
        <v>0</v>
      </c>
      <c r="I981" s="142">
        <f t="shared" si="79"/>
        <v>13430340</v>
      </c>
      <c r="J981" s="142">
        <v>0</v>
      </c>
      <c r="K981" s="142">
        <f t="shared" si="80"/>
        <v>136632.93323927111</v>
      </c>
      <c r="L981" s="142">
        <f t="shared" si="81"/>
        <v>13566972.933239272</v>
      </c>
    </row>
    <row r="982" spans="5:12" x14ac:dyDescent="0.35">
      <c r="E982" s="135">
        <v>969</v>
      </c>
      <c r="F982" s="135">
        <v>0</v>
      </c>
      <c r="G982" s="141">
        <f t="shared" si="77"/>
        <v>0</v>
      </c>
      <c r="H982" s="155">
        <f t="shared" si="78"/>
        <v>0</v>
      </c>
      <c r="I982" s="142">
        <f t="shared" si="79"/>
        <v>13430340</v>
      </c>
      <c r="J982" s="142">
        <v>0</v>
      </c>
      <c r="K982" s="142">
        <f t="shared" si="80"/>
        <v>0</v>
      </c>
      <c r="L982" s="142">
        <f t="shared" si="81"/>
        <v>13430340</v>
      </c>
    </row>
    <row r="983" spans="5:12" x14ac:dyDescent="0.35">
      <c r="E983" s="135">
        <v>970</v>
      </c>
      <c r="F983" s="135">
        <v>0</v>
      </c>
      <c r="G983" s="141">
        <f t="shared" si="77"/>
        <v>0</v>
      </c>
      <c r="H983" s="155">
        <f t="shared" si="78"/>
        <v>0</v>
      </c>
      <c r="I983" s="142">
        <f t="shared" si="79"/>
        <v>13430340</v>
      </c>
      <c r="J983" s="142">
        <v>0</v>
      </c>
      <c r="K983" s="142">
        <f t="shared" si="80"/>
        <v>0</v>
      </c>
      <c r="L983" s="142">
        <f t="shared" si="81"/>
        <v>13430340</v>
      </c>
    </row>
    <row r="984" spans="5:12" x14ac:dyDescent="0.35">
      <c r="E984" s="135">
        <v>971</v>
      </c>
      <c r="F984" s="135">
        <v>0</v>
      </c>
      <c r="G984" s="141">
        <f t="shared" si="77"/>
        <v>0</v>
      </c>
      <c r="H984" s="155">
        <f t="shared" si="78"/>
        <v>0</v>
      </c>
      <c r="I984" s="142">
        <f t="shared" si="79"/>
        <v>13430340</v>
      </c>
      <c r="J984" s="142">
        <v>0</v>
      </c>
      <c r="K984" s="142">
        <f t="shared" si="80"/>
        <v>0</v>
      </c>
      <c r="L984" s="142">
        <f t="shared" si="81"/>
        <v>13430340</v>
      </c>
    </row>
    <row r="985" spans="5:12" x14ac:dyDescent="0.35">
      <c r="E985" s="135">
        <v>972</v>
      </c>
      <c r="F985" s="135">
        <v>0</v>
      </c>
      <c r="G985" s="141">
        <f t="shared" si="77"/>
        <v>0</v>
      </c>
      <c r="H985" s="155">
        <f t="shared" si="78"/>
        <v>0</v>
      </c>
      <c r="I985" s="142">
        <f t="shared" si="79"/>
        <v>13430340</v>
      </c>
      <c r="J985" s="142">
        <v>0</v>
      </c>
      <c r="K985" s="142">
        <f t="shared" si="80"/>
        <v>0</v>
      </c>
      <c r="L985" s="142">
        <f t="shared" si="81"/>
        <v>13430340</v>
      </c>
    </row>
    <row r="986" spans="5:12" x14ac:dyDescent="0.35">
      <c r="E986" s="135">
        <v>973</v>
      </c>
      <c r="F986" s="135">
        <v>0</v>
      </c>
      <c r="G986" s="141">
        <f t="shared" si="77"/>
        <v>0</v>
      </c>
      <c r="H986" s="155">
        <f t="shared" si="78"/>
        <v>0</v>
      </c>
      <c r="I986" s="142">
        <f t="shared" si="79"/>
        <v>13430340</v>
      </c>
      <c r="J986" s="142">
        <v>0</v>
      </c>
      <c r="K986" s="142">
        <f t="shared" si="80"/>
        <v>0</v>
      </c>
      <c r="L986" s="142">
        <f t="shared" si="81"/>
        <v>13430340</v>
      </c>
    </row>
    <row r="987" spans="5:12" x14ac:dyDescent="0.35">
      <c r="E987" s="135">
        <v>974</v>
      </c>
      <c r="F987" s="135">
        <v>0</v>
      </c>
      <c r="G987" s="141">
        <f t="shared" si="77"/>
        <v>0</v>
      </c>
      <c r="H987" s="155">
        <f t="shared" si="78"/>
        <v>0</v>
      </c>
      <c r="I987" s="142">
        <f t="shared" si="79"/>
        <v>13430340</v>
      </c>
      <c r="J987" s="142">
        <v>0</v>
      </c>
      <c r="K987" s="142">
        <f t="shared" si="80"/>
        <v>0</v>
      </c>
      <c r="L987" s="142">
        <f t="shared" si="81"/>
        <v>13430340</v>
      </c>
    </row>
    <row r="988" spans="5:12" x14ac:dyDescent="0.35">
      <c r="E988" s="135">
        <v>975</v>
      </c>
      <c r="F988" s="135">
        <v>0</v>
      </c>
      <c r="G988" s="141">
        <f t="shared" si="77"/>
        <v>0</v>
      </c>
      <c r="H988" s="155">
        <f t="shared" si="78"/>
        <v>0</v>
      </c>
      <c r="I988" s="142">
        <f t="shared" si="79"/>
        <v>13430340</v>
      </c>
      <c r="J988" s="142">
        <v>0</v>
      </c>
      <c r="K988" s="142">
        <f t="shared" si="80"/>
        <v>0</v>
      </c>
      <c r="L988" s="142">
        <f t="shared" si="81"/>
        <v>13430340</v>
      </c>
    </row>
    <row r="989" spans="5:12" x14ac:dyDescent="0.35">
      <c r="E989" s="135">
        <v>976</v>
      </c>
      <c r="F989" s="135">
        <v>0</v>
      </c>
      <c r="G989" s="141">
        <f t="shared" si="77"/>
        <v>0</v>
      </c>
      <c r="H989" s="155">
        <f t="shared" si="78"/>
        <v>0</v>
      </c>
      <c r="I989" s="142">
        <f t="shared" si="79"/>
        <v>13430340</v>
      </c>
      <c r="J989" s="142">
        <v>0</v>
      </c>
      <c r="K989" s="142">
        <f t="shared" si="80"/>
        <v>0</v>
      </c>
      <c r="L989" s="142">
        <f t="shared" si="81"/>
        <v>13430340</v>
      </c>
    </row>
    <row r="990" spans="5:12" x14ac:dyDescent="0.35">
      <c r="E990" s="135">
        <v>977</v>
      </c>
      <c r="F990" s="135">
        <v>0</v>
      </c>
      <c r="G990" s="141">
        <f t="shared" si="77"/>
        <v>0</v>
      </c>
      <c r="H990" s="155">
        <f t="shared" si="78"/>
        <v>0</v>
      </c>
      <c r="I990" s="142">
        <f t="shared" si="79"/>
        <v>13430340</v>
      </c>
      <c r="J990" s="142">
        <v>0</v>
      </c>
      <c r="K990" s="142">
        <f t="shared" si="80"/>
        <v>0</v>
      </c>
      <c r="L990" s="142">
        <f t="shared" si="81"/>
        <v>13430340</v>
      </c>
    </row>
    <row r="991" spans="5:12" x14ac:dyDescent="0.35">
      <c r="E991" s="135">
        <v>978</v>
      </c>
      <c r="F991" s="135">
        <v>0</v>
      </c>
      <c r="G991" s="141">
        <f t="shared" si="77"/>
        <v>0</v>
      </c>
      <c r="H991" s="155">
        <f t="shared" si="78"/>
        <v>0</v>
      </c>
      <c r="I991" s="142">
        <f t="shared" si="79"/>
        <v>13430340</v>
      </c>
      <c r="J991" s="142">
        <v>0</v>
      </c>
      <c r="K991" s="142">
        <f t="shared" si="80"/>
        <v>0</v>
      </c>
      <c r="L991" s="142">
        <f t="shared" si="81"/>
        <v>13430340</v>
      </c>
    </row>
    <row r="992" spans="5:12" x14ac:dyDescent="0.35">
      <c r="E992" s="135">
        <v>979</v>
      </c>
      <c r="F992" s="135">
        <v>0</v>
      </c>
      <c r="G992" s="141">
        <f t="shared" si="77"/>
        <v>0</v>
      </c>
      <c r="H992" s="155">
        <f t="shared" si="78"/>
        <v>0</v>
      </c>
      <c r="I992" s="142">
        <f t="shared" si="79"/>
        <v>13430340</v>
      </c>
      <c r="J992" s="142">
        <v>0</v>
      </c>
      <c r="K992" s="142">
        <f t="shared" si="80"/>
        <v>0</v>
      </c>
      <c r="L992" s="142">
        <f t="shared" si="81"/>
        <v>13430340</v>
      </c>
    </row>
    <row r="993" spans="5:12" x14ac:dyDescent="0.35">
      <c r="E993" s="135">
        <v>980</v>
      </c>
      <c r="F993" s="135">
        <v>0</v>
      </c>
      <c r="G993" s="141">
        <f t="shared" si="77"/>
        <v>0</v>
      </c>
      <c r="H993" s="155">
        <f t="shared" si="78"/>
        <v>0</v>
      </c>
      <c r="I993" s="142">
        <f t="shared" si="79"/>
        <v>13430340</v>
      </c>
      <c r="J993" s="142">
        <v>0</v>
      </c>
      <c r="K993" s="142">
        <f t="shared" si="80"/>
        <v>0</v>
      </c>
      <c r="L993" s="142">
        <f t="shared" si="81"/>
        <v>13430340</v>
      </c>
    </row>
    <row r="994" spans="5:12" x14ac:dyDescent="0.35">
      <c r="E994" s="135">
        <v>981</v>
      </c>
      <c r="F994" s="135">
        <v>0</v>
      </c>
      <c r="G994" s="141">
        <f t="shared" si="77"/>
        <v>0</v>
      </c>
      <c r="H994" s="155">
        <f t="shared" si="78"/>
        <v>0</v>
      </c>
      <c r="I994" s="142">
        <f t="shared" si="79"/>
        <v>13430340</v>
      </c>
      <c r="J994" s="142">
        <v>0</v>
      </c>
      <c r="K994" s="142">
        <f t="shared" si="80"/>
        <v>0</v>
      </c>
      <c r="L994" s="142">
        <f t="shared" si="81"/>
        <v>13430340</v>
      </c>
    </row>
    <row r="995" spans="5:12" x14ac:dyDescent="0.35">
      <c r="E995" s="135">
        <v>982</v>
      </c>
      <c r="F995" s="135">
        <v>0</v>
      </c>
      <c r="G995" s="141">
        <f t="shared" si="77"/>
        <v>0</v>
      </c>
      <c r="H995" s="155">
        <f t="shared" si="78"/>
        <v>0</v>
      </c>
      <c r="I995" s="142">
        <f t="shared" si="79"/>
        <v>13430340</v>
      </c>
      <c r="J995" s="142">
        <v>0</v>
      </c>
      <c r="K995" s="142">
        <f t="shared" si="80"/>
        <v>0</v>
      </c>
      <c r="L995" s="142">
        <f t="shared" si="81"/>
        <v>13430340</v>
      </c>
    </row>
    <row r="996" spans="5:12" x14ac:dyDescent="0.35">
      <c r="E996" s="135">
        <v>983</v>
      </c>
      <c r="F996" s="135">
        <v>0</v>
      </c>
      <c r="G996" s="141">
        <f t="shared" si="77"/>
        <v>0</v>
      </c>
      <c r="H996" s="155">
        <f t="shared" si="78"/>
        <v>0</v>
      </c>
      <c r="I996" s="142">
        <f t="shared" si="79"/>
        <v>13430340</v>
      </c>
      <c r="J996" s="142">
        <v>0</v>
      </c>
      <c r="K996" s="142">
        <f t="shared" si="80"/>
        <v>0</v>
      </c>
      <c r="L996" s="142">
        <f t="shared" si="81"/>
        <v>13430340</v>
      </c>
    </row>
    <row r="997" spans="5:12" x14ac:dyDescent="0.35">
      <c r="E997" s="135">
        <v>984</v>
      </c>
      <c r="F997" s="135">
        <v>0</v>
      </c>
      <c r="G997" s="141">
        <f t="shared" si="77"/>
        <v>0</v>
      </c>
      <c r="H997" s="155">
        <f t="shared" si="78"/>
        <v>0</v>
      </c>
      <c r="I997" s="142">
        <f t="shared" si="79"/>
        <v>13430340</v>
      </c>
      <c r="J997" s="142">
        <v>0</v>
      </c>
      <c r="K997" s="142">
        <f t="shared" si="80"/>
        <v>0</v>
      </c>
      <c r="L997" s="142">
        <f t="shared" si="81"/>
        <v>13430340</v>
      </c>
    </row>
    <row r="998" spans="5:12" x14ac:dyDescent="0.35">
      <c r="E998" s="135">
        <v>985</v>
      </c>
      <c r="F998" s="135">
        <v>0</v>
      </c>
      <c r="G998" s="141">
        <f t="shared" si="77"/>
        <v>0</v>
      </c>
      <c r="H998" s="155">
        <f t="shared" si="78"/>
        <v>0</v>
      </c>
      <c r="I998" s="142">
        <f t="shared" si="79"/>
        <v>13430340</v>
      </c>
      <c r="J998" s="142">
        <v>0</v>
      </c>
      <c r="K998" s="142">
        <f t="shared" si="80"/>
        <v>0</v>
      </c>
      <c r="L998" s="142">
        <f t="shared" si="81"/>
        <v>13430340</v>
      </c>
    </row>
    <row r="999" spans="5:12" x14ac:dyDescent="0.35">
      <c r="E999" s="135">
        <v>986</v>
      </c>
      <c r="F999" s="135">
        <v>1</v>
      </c>
      <c r="G999" s="141">
        <f t="shared" si="77"/>
        <v>23.813582244547764</v>
      </c>
      <c r="H999" s="155">
        <f t="shared" si="78"/>
        <v>0</v>
      </c>
      <c r="I999" s="142">
        <f t="shared" si="79"/>
        <v>13430340</v>
      </c>
      <c r="J999" s="142">
        <v>0</v>
      </c>
      <c r="K999" s="142">
        <f t="shared" si="80"/>
        <v>136632.93323927111</v>
      </c>
      <c r="L999" s="142">
        <f t="shared" si="81"/>
        <v>13566972.933239272</v>
      </c>
    </row>
    <row r="1000" spans="5:12" x14ac:dyDescent="0.35">
      <c r="E1000" s="135">
        <v>987</v>
      </c>
      <c r="F1000" s="135">
        <v>0</v>
      </c>
      <c r="G1000" s="141">
        <f t="shared" si="77"/>
        <v>0</v>
      </c>
      <c r="H1000" s="155">
        <f t="shared" si="78"/>
        <v>0</v>
      </c>
      <c r="I1000" s="142">
        <f t="shared" si="79"/>
        <v>13430340</v>
      </c>
      <c r="J1000" s="142">
        <v>0</v>
      </c>
      <c r="K1000" s="142">
        <f t="shared" si="80"/>
        <v>0</v>
      </c>
      <c r="L1000" s="142">
        <f t="shared" si="81"/>
        <v>13430340</v>
      </c>
    </row>
    <row r="1001" spans="5:12" x14ac:dyDescent="0.35">
      <c r="E1001" s="135">
        <v>988</v>
      </c>
      <c r="F1001" s="135">
        <v>0</v>
      </c>
      <c r="G1001" s="141">
        <f t="shared" si="77"/>
        <v>0</v>
      </c>
      <c r="H1001" s="155">
        <f t="shared" si="78"/>
        <v>0</v>
      </c>
      <c r="I1001" s="142">
        <f t="shared" si="79"/>
        <v>13430340</v>
      </c>
      <c r="J1001" s="142">
        <v>0</v>
      </c>
      <c r="K1001" s="142">
        <f t="shared" si="80"/>
        <v>0</v>
      </c>
      <c r="L1001" s="142">
        <f t="shared" si="81"/>
        <v>13430340</v>
      </c>
    </row>
    <row r="1002" spans="5:12" x14ac:dyDescent="0.35">
      <c r="E1002" s="135">
        <v>989</v>
      </c>
      <c r="F1002" s="135">
        <v>0</v>
      </c>
      <c r="G1002" s="141">
        <f t="shared" si="77"/>
        <v>0</v>
      </c>
      <c r="H1002" s="155">
        <f t="shared" si="78"/>
        <v>0</v>
      </c>
      <c r="I1002" s="142">
        <f t="shared" si="79"/>
        <v>13430340</v>
      </c>
      <c r="J1002" s="142">
        <v>0</v>
      </c>
      <c r="K1002" s="142">
        <f t="shared" si="80"/>
        <v>0</v>
      </c>
      <c r="L1002" s="142">
        <f t="shared" si="81"/>
        <v>13430340</v>
      </c>
    </row>
    <row r="1003" spans="5:12" x14ac:dyDescent="0.35">
      <c r="E1003" s="135">
        <v>990</v>
      </c>
      <c r="F1003" s="135">
        <v>0</v>
      </c>
      <c r="G1003" s="141">
        <f t="shared" si="77"/>
        <v>0</v>
      </c>
      <c r="H1003" s="155">
        <f t="shared" si="78"/>
        <v>0</v>
      </c>
      <c r="I1003" s="142">
        <f t="shared" si="79"/>
        <v>13430340</v>
      </c>
      <c r="J1003" s="142">
        <v>0</v>
      </c>
      <c r="K1003" s="142">
        <f t="shared" si="80"/>
        <v>0</v>
      </c>
      <c r="L1003" s="142">
        <f t="shared" si="81"/>
        <v>13430340</v>
      </c>
    </row>
    <row r="1004" spans="5:12" x14ac:dyDescent="0.35">
      <c r="E1004" s="135">
        <v>991</v>
      </c>
      <c r="F1004" s="135">
        <v>0</v>
      </c>
      <c r="G1004" s="141">
        <f t="shared" si="77"/>
        <v>0</v>
      </c>
      <c r="H1004" s="155">
        <f t="shared" si="78"/>
        <v>0</v>
      </c>
      <c r="I1004" s="142">
        <f t="shared" si="79"/>
        <v>13430340</v>
      </c>
      <c r="J1004" s="142">
        <v>0</v>
      </c>
      <c r="K1004" s="142">
        <f t="shared" si="80"/>
        <v>0</v>
      </c>
      <c r="L1004" s="142">
        <f t="shared" si="81"/>
        <v>13430340</v>
      </c>
    </row>
    <row r="1005" spans="5:12" x14ac:dyDescent="0.35">
      <c r="E1005" s="135">
        <v>992</v>
      </c>
      <c r="F1005" s="135">
        <v>0</v>
      </c>
      <c r="G1005" s="141">
        <f t="shared" si="77"/>
        <v>0</v>
      </c>
      <c r="H1005" s="155">
        <f t="shared" si="78"/>
        <v>0</v>
      </c>
      <c r="I1005" s="142">
        <f t="shared" si="79"/>
        <v>13430340</v>
      </c>
      <c r="J1005" s="142">
        <v>0</v>
      </c>
      <c r="K1005" s="142">
        <f t="shared" si="80"/>
        <v>0</v>
      </c>
      <c r="L1005" s="142">
        <f t="shared" si="81"/>
        <v>13430340</v>
      </c>
    </row>
    <row r="1006" spans="5:12" x14ac:dyDescent="0.35">
      <c r="E1006" s="135">
        <v>993</v>
      </c>
      <c r="F1006" s="135">
        <v>0</v>
      </c>
      <c r="G1006" s="141">
        <f t="shared" si="77"/>
        <v>0</v>
      </c>
      <c r="H1006" s="155">
        <f t="shared" si="78"/>
        <v>0</v>
      </c>
      <c r="I1006" s="142">
        <f t="shared" si="79"/>
        <v>13430340</v>
      </c>
      <c r="J1006" s="142">
        <v>0</v>
      </c>
      <c r="K1006" s="142">
        <f t="shared" si="80"/>
        <v>0</v>
      </c>
      <c r="L1006" s="142">
        <f t="shared" si="81"/>
        <v>13430340</v>
      </c>
    </row>
    <row r="1007" spans="5:12" x14ac:dyDescent="0.35">
      <c r="E1007" s="135">
        <v>994</v>
      </c>
      <c r="F1007" s="135">
        <v>0</v>
      </c>
      <c r="G1007" s="141">
        <f t="shared" si="77"/>
        <v>0</v>
      </c>
      <c r="H1007" s="155">
        <f t="shared" si="78"/>
        <v>0</v>
      </c>
      <c r="I1007" s="142">
        <f t="shared" si="79"/>
        <v>13430340</v>
      </c>
      <c r="J1007" s="142">
        <v>0</v>
      </c>
      <c r="K1007" s="142">
        <f t="shared" si="80"/>
        <v>0</v>
      </c>
      <c r="L1007" s="142">
        <f t="shared" si="81"/>
        <v>13430340</v>
      </c>
    </row>
    <row r="1008" spans="5:12" x14ac:dyDescent="0.35">
      <c r="E1008" s="135">
        <v>995</v>
      </c>
      <c r="F1008" s="135">
        <v>0</v>
      </c>
      <c r="G1008" s="141">
        <f t="shared" si="77"/>
        <v>0</v>
      </c>
      <c r="H1008" s="155">
        <f t="shared" si="78"/>
        <v>0</v>
      </c>
      <c r="I1008" s="142">
        <f t="shared" si="79"/>
        <v>13430340</v>
      </c>
      <c r="J1008" s="142">
        <v>0</v>
      </c>
      <c r="K1008" s="142">
        <f t="shared" si="80"/>
        <v>0</v>
      </c>
      <c r="L1008" s="142">
        <f t="shared" si="81"/>
        <v>13430340</v>
      </c>
    </row>
    <row r="1009" spans="5:12" x14ac:dyDescent="0.35">
      <c r="E1009" s="135">
        <v>996</v>
      </c>
      <c r="F1009" s="135">
        <v>1</v>
      </c>
      <c r="G1009" s="141">
        <f t="shared" si="77"/>
        <v>23.813582244547764</v>
      </c>
      <c r="H1009" s="155">
        <f t="shared" si="78"/>
        <v>0</v>
      </c>
      <c r="I1009" s="142">
        <f t="shared" si="79"/>
        <v>13430340</v>
      </c>
      <c r="J1009" s="142">
        <v>0</v>
      </c>
      <c r="K1009" s="142">
        <f t="shared" si="80"/>
        <v>136632.93323927111</v>
      </c>
      <c r="L1009" s="142">
        <f t="shared" si="81"/>
        <v>13566972.933239272</v>
      </c>
    </row>
    <row r="1010" spans="5:12" x14ac:dyDescent="0.35">
      <c r="E1010" s="135">
        <v>997</v>
      </c>
      <c r="F1010" s="135">
        <v>0</v>
      </c>
      <c r="G1010" s="141">
        <f t="shared" si="77"/>
        <v>0</v>
      </c>
      <c r="H1010" s="155">
        <f t="shared" si="78"/>
        <v>0</v>
      </c>
      <c r="I1010" s="142">
        <f t="shared" si="79"/>
        <v>13430340</v>
      </c>
      <c r="J1010" s="142">
        <v>0</v>
      </c>
      <c r="K1010" s="142">
        <f t="shared" si="80"/>
        <v>0</v>
      </c>
      <c r="L1010" s="142">
        <f t="shared" si="81"/>
        <v>13430340</v>
      </c>
    </row>
    <row r="1011" spans="5:12" x14ac:dyDescent="0.35">
      <c r="E1011" s="135">
        <v>998</v>
      </c>
      <c r="F1011" s="135">
        <v>0</v>
      </c>
      <c r="G1011" s="141">
        <f t="shared" si="77"/>
        <v>0</v>
      </c>
      <c r="H1011" s="155">
        <f t="shared" si="78"/>
        <v>0</v>
      </c>
      <c r="I1011" s="142">
        <f t="shared" si="79"/>
        <v>13430340</v>
      </c>
      <c r="J1011" s="142">
        <v>0</v>
      </c>
      <c r="K1011" s="142">
        <f t="shared" si="80"/>
        <v>0</v>
      </c>
      <c r="L1011" s="142">
        <f t="shared" si="81"/>
        <v>13430340</v>
      </c>
    </row>
    <row r="1012" spans="5:12" x14ac:dyDescent="0.35">
      <c r="E1012" s="135">
        <v>999</v>
      </c>
      <c r="F1012" s="135">
        <v>0</v>
      </c>
      <c r="G1012" s="141">
        <f t="shared" si="77"/>
        <v>0</v>
      </c>
      <c r="H1012" s="155">
        <f t="shared" si="78"/>
        <v>0</v>
      </c>
      <c r="I1012" s="142">
        <f t="shared" si="79"/>
        <v>13430340</v>
      </c>
      <c r="J1012" s="142">
        <v>0</v>
      </c>
      <c r="K1012" s="142">
        <f t="shared" si="80"/>
        <v>0</v>
      </c>
      <c r="L1012" s="142">
        <f t="shared" si="81"/>
        <v>13430340</v>
      </c>
    </row>
    <row r="1013" spans="5:12" x14ac:dyDescent="0.35">
      <c r="E1013" s="135">
        <v>1000</v>
      </c>
      <c r="F1013" s="135">
        <v>0</v>
      </c>
      <c r="G1013" s="141">
        <f t="shared" si="77"/>
        <v>0</v>
      </c>
      <c r="H1013" s="155">
        <f t="shared" si="78"/>
        <v>0</v>
      </c>
      <c r="I1013" s="142">
        <f t="shared" si="79"/>
        <v>13430340</v>
      </c>
      <c r="J1013" s="142">
        <v>0</v>
      </c>
      <c r="K1013" s="142">
        <f t="shared" si="80"/>
        <v>0</v>
      </c>
      <c r="L1013" s="142">
        <f t="shared" si="81"/>
        <v>13430340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2A640-BEDE-4D83-B9EF-930A969D8DA7}">
  <sheetPr codeName="Sheet12"/>
  <dimension ref="A1:J20"/>
  <sheetViews>
    <sheetView tabSelected="1" zoomScale="96" zoomScaleNormal="96" workbookViewId="0">
      <selection activeCell="A11" sqref="A11"/>
    </sheetView>
  </sheetViews>
  <sheetFormatPr defaultColWidth="12" defaultRowHeight="15.5" x14ac:dyDescent="0.35"/>
  <cols>
    <col min="1" max="2" width="16.36328125" style="141" bestFit="1" customWidth="1"/>
    <col min="3" max="3" width="21.54296875" style="141" customWidth="1"/>
    <col min="4" max="5" width="12" style="141"/>
    <col min="6" max="6" width="11.90625" style="141" customWidth="1"/>
    <col min="7" max="7" width="43.54296875" style="141" customWidth="1"/>
    <col min="8" max="8" width="27.26953125" style="141" bestFit="1" customWidth="1"/>
    <col min="9" max="10" width="12" style="141"/>
    <col min="11" max="16384" width="12" style="120"/>
  </cols>
  <sheetData>
    <row r="1" spans="1:9" x14ac:dyDescent="0.35">
      <c r="A1" s="141" t="s">
        <v>230</v>
      </c>
      <c r="F1" s="141" t="s">
        <v>230</v>
      </c>
      <c r="H1" s="141" t="s">
        <v>221</v>
      </c>
    </row>
    <row r="2" spans="1:9" x14ac:dyDescent="0.35">
      <c r="A2" s="141" t="s">
        <v>241</v>
      </c>
      <c r="B2" s="126" t="s">
        <v>240</v>
      </c>
      <c r="G2" s="141" t="s">
        <v>243</v>
      </c>
      <c r="H2" s="128">
        <f>'List of all parameters'!B32</f>
        <v>28.88</v>
      </c>
    </row>
    <row r="3" spans="1:9" x14ac:dyDescent="0.35">
      <c r="A3" s="142">
        <f>'Base Case'!L10</f>
        <v>962961.12183261337</v>
      </c>
      <c r="B3" s="142">
        <f>'Intervention 90% Vax'!L11</f>
        <v>13535785.445987279</v>
      </c>
      <c r="G3" s="141" t="s">
        <v>242</v>
      </c>
      <c r="H3" s="128">
        <f>'List of all parameters'!B31</f>
        <v>310.27</v>
      </c>
    </row>
    <row r="4" spans="1:9" x14ac:dyDescent="0.35">
      <c r="A4" s="141" t="s">
        <v>239</v>
      </c>
      <c r="G4" s="141" t="s">
        <v>244</v>
      </c>
      <c r="H4" s="128">
        <f>('List of all parameters'!B31+'List of all parameters'!B32)*(1+'List of all parameters'!B30)</f>
        <v>373.065</v>
      </c>
    </row>
    <row r="5" spans="1:9" x14ac:dyDescent="0.35">
      <c r="A5" s="141" t="s">
        <v>238</v>
      </c>
      <c r="B5" s="126" t="s">
        <v>237</v>
      </c>
      <c r="C5" s="142"/>
      <c r="G5" s="141" t="s">
        <v>228</v>
      </c>
      <c r="H5" s="128">
        <f>'List of all parameters'!B29</f>
        <v>14500000</v>
      </c>
      <c r="I5" s="141" t="s">
        <v>227</v>
      </c>
    </row>
    <row r="6" spans="1:9" x14ac:dyDescent="0.35">
      <c r="A6" s="143">
        <f>-'Base Case'!I4</f>
        <v>-21.220516772526267</v>
      </c>
      <c r="B6" s="143">
        <f>-'Intervention 90% Vax'!I5</f>
        <v>-4.4148336030139488</v>
      </c>
      <c r="G6" s="141" t="s">
        <v>225</v>
      </c>
      <c r="H6" s="128">
        <f>'Markov model Inputs &amp; Results'!G18</f>
        <v>136632.93323927111</v>
      </c>
    </row>
    <row r="7" spans="1:9" x14ac:dyDescent="0.35">
      <c r="H7" s="128"/>
    </row>
    <row r="8" spans="1:9" x14ac:dyDescent="0.35">
      <c r="A8" s="141" t="s">
        <v>168</v>
      </c>
      <c r="F8" s="141" t="s">
        <v>222</v>
      </c>
      <c r="H8" s="141" t="s">
        <v>221</v>
      </c>
    </row>
    <row r="9" spans="1:9" x14ac:dyDescent="0.35">
      <c r="A9" s="126" t="s">
        <v>236</v>
      </c>
      <c r="G9" s="141" t="s">
        <v>220</v>
      </c>
      <c r="H9" s="143">
        <f>'Markov model Inputs &amp; Results'!H18</f>
        <v>23.813582244547764</v>
      </c>
    </row>
    <row r="10" spans="1:9" x14ac:dyDescent="0.35">
      <c r="A10" s="142">
        <f>(B3-A3)/(B6-A6)</f>
        <v>748129.32014352118</v>
      </c>
      <c r="B10" s="142"/>
      <c r="G10" s="141" t="s">
        <v>211</v>
      </c>
    </row>
    <row r="11" spans="1:9" x14ac:dyDescent="0.35">
      <c r="G11" s="141" t="s">
        <v>210</v>
      </c>
      <c r="H11" s="141">
        <v>0.04</v>
      </c>
    </row>
    <row r="12" spans="1:9" x14ac:dyDescent="0.35">
      <c r="G12" s="141" t="s">
        <v>201</v>
      </c>
      <c r="H12" s="141">
        <v>0.01</v>
      </c>
    </row>
    <row r="15" spans="1:9" ht="16" thickBot="1" x14ac:dyDescent="0.4"/>
    <row r="16" spans="1:9" ht="16" thickBot="1" x14ac:dyDescent="0.4">
      <c r="C16" s="145" t="s">
        <v>235</v>
      </c>
      <c r="D16" s="146"/>
      <c r="E16" s="146"/>
      <c r="F16" s="147"/>
    </row>
    <row r="17" spans="3:6" x14ac:dyDescent="0.35">
      <c r="C17" s="148" t="s">
        <v>234</v>
      </c>
      <c r="D17" s="141" t="s">
        <v>222</v>
      </c>
      <c r="F17" s="157" t="s">
        <v>168</v>
      </c>
    </row>
    <row r="18" spans="3:6" ht="16" thickBot="1" x14ac:dyDescent="0.4">
      <c r="C18" s="158">
        <f>'Base Case'!U10-B3</f>
        <v>1323210.8884061053</v>
      </c>
      <c r="D18" s="162">
        <f>'Base Case'!R7+ICER!B6</f>
        <v>258.15418641207231</v>
      </c>
      <c r="E18" s="159"/>
      <c r="F18" s="160">
        <f>-C18/D18</f>
        <v>-5125.6611670591401</v>
      </c>
    </row>
    <row r="20" spans="3:6" x14ac:dyDescent="0.35">
      <c r="C20" s="14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BK92"/>
  <sheetViews>
    <sheetView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4.5" x14ac:dyDescent="0.35"/>
  <cols>
    <col min="1" max="1" width="100.6328125" customWidth="1"/>
    <col min="2" max="10" width="10" bestFit="1" customWidth="1"/>
    <col min="11" max="11" width="12.1796875" bestFit="1" customWidth="1"/>
    <col min="12" max="12" width="11.36328125" bestFit="1" customWidth="1"/>
    <col min="13" max="13" width="10" bestFit="1" customWidth="1"/>
    <col min="14" max="14" width="12.1796875" bestFit="1" customWidth="1"/>
    <col min="15" max="15" width="11.36328125" bestFit="1" customWidth="1"/>
    <col min="16" max="16" width="10" bestFit="1" customWidth="1"/>
    <col min="17" max="17" width="10" customWidth="1"/>
    <col min="18" max="18" width="10" bestFit="1" customWidth="1"/>
    <col min="19" max="19" width="10" customWidth="1"/>
    <col min="20" max="20" width="26.90625" bestFit="1" customWidth="1"/>
    <col min="21" max="21" width="31" bestFit="1" customWidth="1"/>
    <col min="22" max="22" width="10.7265625" bestFit="1" customWidth="1"/>
    <col min="23" max="23" width="26.90625" bestFit="1" customWidth="1"/>
    <col min="24" max="24" width="10.26953125" bestFit="1" customWidth="1"/>
    <col min="25" max="25" width="11.7265625" bestFit="1" customWidth="1"/>
    <col min="26" max="26" width="26.90625" bestFit="1" customWidth="1"/>
    <col min="27" max="27" width="27.1796875" bestFit="1" customWidth="1"/>
    <col min="28" max="28" width="31.1796875" bestFit="1" customWidth="1"/>
    <col min="29" max="29" width="10.7265625" bestFit="1" customWidth="1"/>
    <col min="30" max="30" width="27.1796875" bestFit="1" customWidth="1"/>
    <col min="31" max="31" width="10.26953125" bestFit="1" customWidth="1"/>
    <col min="32" max="32" width="11.7265625" bestFit="1" customWidth="1"/>
    <col min="33" max="33" width="27.1796875" bestFit="1" customWidth="1"/>
    <col min="34" max="34" width="32.36328125" bestFit="1" customWidth="1"/>
    <col min="35" max="35" width="36.36328125" bestFit="1" customWidth="1"/>
    <col min="36" max="36" width="10.7265625" bestFit="1" customWidth="1"/>
    <col min="37" max="37" width="32.36328125" bestFit="1" customWidth="1"/>
    <col min="38" max="38" width="10.26953125" bestFit="1" customWidth="1"/>
    <col min="39" max="39" width="11.7265625" bestFit="1" customWidth="1"/>
    <col min="40" max="40" width="32.36328125" bestFit="1" customWidth="1"/>
    <col min="41" max="41" width="34.7265625" bestFit="1" customWidth="1"/>
    <col min="42" max="42" width="38.7265625" bestFit="1" customWidth="1"/>
    <col min="43" max="43" width="10.7265625" bestFit="1" customWidth="1"/>
    <col min="44" max="44" width="34.7265625" bestFit="1" customWidth="1"/>
    <col min="45" max="45" width="10.26953125" bestFit="1" customWidth="1"/>
    <col min="46" max="46" width="11.7265625" bestFit="1" customWidth="1"/>
    <col min="47" max="47" width="34.7265625" bestFit="1" customWidth="1"/>
    <col min="48" max="48" width="26.7265625" bestFit="1" customWidth="1"/>
    <col min="49" max="49" width="30.7265625" bestFit="1" customWidth="1"/>
    <col min="50" max="50" width="10.7265625" bestFit="1" customWidth="1"/>
    <col min="51" max="51" width="26.7265625" bestFit="1" customWidth="1"/>
    <col min="52" max="52" width="10.26953125" bestFit="1" customWidth="1"/>
    <col min="53" max="53" width="11.7265625" bestFit="1" customWidth="1"/>
    <col min="54" max="54" width="26.7265625" bestFit="1" customWidth="1"/>
    <col min="55" max="55" width="34.26953125" bestFit="1" customWidth="1"/>
    <col min="56" max="56" width="38.26953125" bestFit="1" customWidth="1"/>
    <col min="57" max="57" width="10.7265625" bestFit="1" customWidth="1"/>
    <col min="58" max="58" width="34.26953125" bestFit="1" customWidth="1"/>
    <col min="59" max="59" width="10.26953125" bestFit="1" customWidth="1"/>
    <col min="60" max="60" width="11.7265625" bestFit="1" customWidth="1"/>
    <col min="61" max="61" width="34.26953125" bestFit="1" customWidth="1"/>
    <col min="62" max="62" width="10" bestFit="1" customWidth="1"/>
    <col min="63" max="63" width="14.1796875" bestFit="1" customWidth="1"/>
    <col min="64" max="64" width="10" customWidth="1"/>
  </cols>
  <sheetData>
    <row r="1" spans="2:63" x14ac:dyDescent="0.35">
      <c r="B1" s="10" t="s">
        <v>48</v>
      </c>
      <c r="C1" s="10">
        <v>1</v>
      </c>
      <c r="D1" s="206" t="s">
        <v>49</v>
      </c>
      <c r="E1" s="206"/>
      <c r="F1" s="181"/>
      <c r="G1" s="181"/>
    </row>
    <row r="2" spans="2:63" x14ac:dyDescent="0.35">
      <c r="B2" s="10" t="s">
        <v>50</v>
      </c>
      <c r="C2" s="11" t="s">
        <v>51</v>
      </c>
    </row>
    <row r="3" spans="2:63" x14ac:dyDescent="0.35">
      <c r="T3" s="194" t="s">
        <v>96</v>
      </c>
      <c r="U3" s="184"/>
      <c r="V3" s="184"/>
      <c r="W3" s="184"/>
      <c r="X3" s="184"/>
      <c r="Y3" s="184"/>
      <c r="Z3" s="185"/>
      <c r="AA3" s="194" t="s">
        <v>103</v>
      </c>
      <c r="AB3" s="184"/>
      <c r="AC3" s="184"/>
      <c r="AD3" s="184"/>
      <c r="AE3" s="184"/>
      <c r="AF3" s="184"/>
      <c r="AG3" s="185"/>
      <c r="AH3" s="194" t="s">
        <v>110</v>
      </c>
      <c r="AI3" s="184"/>
      <c r="AJ3" s="184"/>
      <c r="AK3" s="184"/>
      <c r="AL3" s="184"/>
      <c r="AM3" s="184"/>
      <c r="AN3" s="185"/>
      <c r="AO3" s="194" t="s">
        <v>117</v>
      </c>
      <c r="AP3" s="184"/>
      <c r="AQ3" s="184"/>
      <c r="AR3" s="184"/>
      <c r="AS3" s="184"/>
      <c r="AT3" s="184"/>
      <c r="AU3" s="185"/>
      <c r="AV3" s="194" t="s">
        <v>124</v>
      </c>
      <c r="AW3" s="184"/>
      <c r="AX3" s="184"/>
      <c r="AY3" s="184"/>
      <c r="AZ3" s="184"/>
      <c r="BA3" s="184"/>
      <c r="BB3" s="185"/>
      <c r="BC3" s="194" t="s">
        <v>131</v>
      </c>
      <c r="BD3" s="184"/>
      <c r="BE3" s="184"/>
      <c r="BF3" s="184"/>
      <c r="BG3" s="184"/>
      <c r="BH3" s="184"/>
      <c r="BI3" s="185"/>
      <c r="BJ3" s="194" t="s">
        <v>134</v>
      </c>
      <c r="BK3" s="185"/>
    </row>
    <row r="4" spans="2:63" x14ac:dyDescent="0.35">
      <c r="B4" s="10"/>
      <c r="C4" s="10"/>
      <c r="D4" s="206" t="s">
        <v>52</v>
      </c>
      <c r="E4" s="206"/>
      <c r="F4" s="206"/>
      <c r="G4" s="10"/>
      <c r="H4" s="10"/>
      <c r="T4" s="197" t="s">
        <v>87</v>
      </c>
      <c r="U4" s="187"/>
      <c r="V4" s="187"/>
      <c r="W4" s="198" t="s">
        <v>61</v>
      </c>
      <c r="X4" s="199"/>
      <c r="Y4" s="200"/>
      <c r="Z4" s="22" t="s">
        <v>65</v>
      </c>
      <c r="AA4" s="197" t="s">
        <v>87</v>
      </c>
      <c r="AB4" s="187"/>
      <c r="AC4" s="187"/>
      <c r="AD4" s="198" t="s">
        <v>61</v>
      </c>
      <c r="AE4" s="199"/>
      <c r="AF4" s="200"/>
      <c r="AG4" s="22" t="s">
        <v>65</v>
      </c>
      <c r="AH4" s="197" t="s">
        <v>87</v>
      </c>
      <c r="AI4" s="187"/>
      <c r="AJ4" s="187"/>
      <c r="AK4" s="198" t="s">
        <v>61</v>
      </c>
      <c r="AL4" s="199"/>
      <c r="AM4" s="200"/>
      <c r="AN4" s="22" t="s">
        <v>65</v>
      </c>
      <c r="AO4" s="197" t="s">
        <v>87</v>
      </c>
      <c r="AP4" s="187"/>
      <c r="AQ4" s="187"/>
      <c r="AR4" s="198" t="s">
        <v>61</v>
      </c>
      <c r="AS4" s="199"/>
      <c r="AT4" s="200"/>
      <c r="AU4" s="22" t="s">
        <v>65</v>
      </c>
      <c r="AV4" s="197" t="s">
        <v>87</v>
      </c>
      <c r="AW4" s="187"/>
      <c r="AX4" s="187"/>
      <c r="AY4" s="198" t="s">
        <v>61</v>
      </c>
      <c r="AZ4" s="199"/>
      <c r="BA4" s="200"/>
      <c r="BB4" s="22" t="s">
        <v>65</v>
      </c>
      <c r="BC4" s="197" t="s">
        <v>87</v>
      </c>
      <c r="BD4" s="187"/>
      <c r="BE4" s="187"/>
      <c r="BF4" s="198" t="s">
        <v>61</v>
      </c>
      <c r="BG4" s="199"/>
      <c r="BH4" s="200"/>
      <c r="BI4" s="22" t="s">
        <v>65</v>
      </c>
      <c r="BJ4" s="44" t="s">
        <v>87</v>
      </c>
      <c r="BK4" s="65" t="s">
        <v>61</v>
      </c>
    </row>
    <row r="5" spans="2:63" ht="29" x14ac:dyDescent="0.35">
      <c r="B5" s="195" t="s">
        <v>53</v>
      </c>
      <c r="D5" s="205" t="s">
        <v>54</v>
      </c>
      <c r="E5" s="201" t="s">
        <v>55</v>
      </c>
      <c r="F5" s="201" t="s">
        <v>56</v>
      </c>
      <c r="G5" s="201" t="s">
        <v>57</v>
      </c>
      <c r="H5" s="201" t="s">
        <v>58</v>
      </c>
      <c r="I5" s="201" t="s">
        <v>59</v>
      </c>
      <c r="J5" s="203" t="s">
        <v>60</v>
      </c>
      <c r="K5" s="205" t="s">
        <v>61</v>
      </c>
      <c r="L5" s="201"/>
      <c r="M5" s="203"/>
      <c r="N5" s="205" t="s">
        <v>65</v>
      </c>
      <c r="O5" s="201"/>
      <c r="P5" s="203"/>
      <c r="R5" s="195" t="s">
        <v>66</v>
      </c>
      <c r="T5" s="35" t="s">
        <v>88</v>
      </c>
      <c r="U5" s="1" t="s">
        <v>89</v>
      </c>
      <c r="V5" s="1" t="s">
        <v>90</v>
      </c>
      <c r="W5" s="56" t="s">
        <v>92</v>
      </c>
      <c r="X5" s="57" t="s">
        <v>93</v>
      </c>
      <c r="Y5" s="58" t="s">
        <v>94</v>
      </c>
      <c r="Z5" s="41" t="s">
        <v>92</v>
      </c>
      <c r="AA5" s="35" t="s">
        <v>97</v>
      </c>
      <c r="AB5" s="1" t="s">
        <v>98</v>
      </c>
      <c r="AC5" s="1" t="s">
        <v>99</v>
      </c>
      <c r="AD5" s="56" t="s">
        <v>101</v>
      </c>
      <c r="AE5" s="57" t="s">
        <v>102</v>
      </c>
      <c r="AF5" s="58" t="s">
        <v>94</v>
      </c>
      <c r="AG5" s="41" t="s">
        <v>101</v>
      </c>
      <c r="AH5" s="35" t="s">
        <v>104</v>
      </c>
      <c r="AI5" s="1" t="s">
        <v>105</v>
      </c>
      <c r="AJ5" s="1" t="s">
        <v>106</v>
      </c>
      <c r="AK5" s="56" t="s">
        <v>108</v>
      </c>
      <c r="AL5" s="57" t="s">
        <v>109</v>
      </c>
      <c r="AM5" s="58" t="s">
        <v>94</v>
      </c>
      <c r="AN5" s="41" t="s">
        <v>108</v>
      </c>
      <c r="AO5" s="35" t="s">
        <v>111</v>
      </c>
      <c r="AP5" s="1" t="s">
        <v>112</v>
      </c>
      <c r="AQ5" s="1" t="s">
        <v>113</v>
      </c>
      <c r="AR5" s="56" t="s">
        <v>115</v>
      </c>
      <c r="AS5" s="57" t="s">
        <v>116</v>
      </c>
      <c r="AT5" s="58" t="s">
        <v>94</v>
      </c>
      <c r="AU5" s="41" t="s">
        <v>115</v>
      </c>
      <c r="AV5" s="35" t="s">
        <v>118</v>
      </c>
      <c r="AW5" s="1" t="s">
        <v>119</v>
      </c>
      <c r="AX5" s="1" t="s">
        <v>120</v>
      </c>
      <c r="AY5" s="56" t="s">
        <v>122</v>
      </c>
      <c r="AZ5" s="57" t="s">
        <v>123</v>
      </c>
      <c r="BA5" s="58" t="s">
        <v>94</v>
      </c>
      <c r="BB5" s="41" t="s">
        <v>122</v>
      </c>
      <c r="BC5" s="35" t="s">
        <v>125</v>
      </c>
      <c r="BD5" s="1" t="s">
        <v>126</v>
      </c>
      <c r="BE5" s="1" t="s">
        <v>127</v>
      </c>
      <c r="BF5" s="56" t="s">
        <v>129</v>
      </c>
      <c r="BG5" s="57" t="s">
        <v>130</v>
      </c>
      <c r="BH5" s="58" t="s">
        <v>94</v>
      </c>
      <c r="BI5" s="41" t="s">
        <v>129</v>
      </c>
      <c r="BJ5" s="35" t="s">
        <v>132</v>
      </c>
      <c r="BK5" s="66" t="s">
        <v>133</v>
      </c>
    </row>
    <row r="6" spans="2:63" x14ac:dyDescent="0.35">
      <c r="B6" s="207"/>
      <c r="D6" s="208"/>
      <c r="E6" s="202"/>
      <c r="F6" s="202"/>
      <c r="G6" s="202"/>
      <c r="H6" s="202"/>
      <c r="I6" s="202"/>
      <c r="J6" s="204"/>
      <c r="K6" s="68" t="s">
        <v>62</v>
      </c>
      <c r="L6" s="69" t="s">
        <v>63</v>
      </c>
      <c r="M6" s="70" t="s">
        <v>64</v>
      </c>
      <c r="N6" s="68" t="s">
        <v>62</v>
      </c>
      <c r="O6" s="69" t="s">
        <v>63</v>
      </c>
      <c r="P6" s="70" t="s">
        <v>64</v>
      </c>
      <c r="R6" s="196"/>
      <c r="T6" s="36" t="s">
        <v>54</v>
      </c>
      <c r="U6" s="37" t="s">
        <v>91</v>
      </c>
      <c r="V6" s="37" t="s">
        <v>60</v>
      </c>
      <c r="W6" s="59" t="s">
        <v>54</v>
      </c>
      <c r="X6" s="60" t="s">
        <v>60</v>
      </c>
      <c r="Y6" s="61" t="s">
        <v>95</v>
      </c>
      <c r="Z6" s="42" t="s">
        <v>54</v>
      </c>
      <c r="AA6" s="36" t="s">
        <v>55</v>
      </c>
      <c r="AB6" s="37" t="s">
        <v>100</v>
      </c>
      <c r="AC6" s="37" t="s">
        <v>60</v>
      </c>
      <c r="AD6" s="59" t="s">
        <v>55</v>
      </c>
      <c r="AE6" s="60" t="s">
        <v>60</v>
      </c>
      <c r="AF6" s="61" t="s">
        <v>95</v>
      </c>
      <c r="AG6" s="42" t="s">
        <v>55</v>
      </c>
      <c r="AH6" s="36" t="s">
        <v>56</v>
      </c>
      <c r="AI6" s="37" t="s">
        <v>107</v>
      </c>
      <c r="AJ6" s="37" t="s">
        <v>60</v>
      </c>
      <c r="AK6" s="59" t="s">
        <v>56</v>
      </c>
      <c r="AL6" s="60" t="s">
        <v>60</v>
      </c>
      <c r="AM6" s="61" t="s">
        <v>95</v>
      </c>
      <c r="AN6" s="42" t="s">
        <v>56</v>
      </c>
      <c r="AO6" s="36" t="s">
        <v>57</v>
      </c>
      <c r="AP6" s="37" t="s">
        <v>114</v>
      </c>
      <c r="AQ6" s="37" t="s">
        <v>60</v>
      </c>
      <c r="AR6" s="59" t="s">
        <v>57</v>
      </c>
      <c r="AS6" s="60" t="s">
        <v>60</v>
      </c>
      <c r="AT6" s="61" t="s">
        <v>95</v>
      </c>
      <c r="AU6" s="42" t="s">
        <v>57</v>
      </c>
      <c r="AV6" s="36" t="s">
        <v>58</v>
      </c>
      <c r="AW6" s="37" t="s">
        <v>121</v>
      </c>
      <c r="AX6" s="37" t="s">
        <v>60</v>
      </c>
      <c r="AY6" s="59" t="s">
        <v>58</v>
      </c>
      <c r="AZ6" s="60" t="s">
        <v>60</v>
      </c>
      <c r="BA6" s="61" t="s">
        <v>95</v>
      </c>
      <c r="BB6" s="42" t="s">
        <v>58</v>
      </c>
      <c r="BC6" s="36" t="s">
        <v>59</v>
      </c>
      <c r="BD6" s="37" t="s">
        <v>128</v>
      </c>
      <c r="BE6" s="37" t="s">
        <v>60</v>
      </c>
      <c r="BF6" s="59" t="s">
        <v>59</v>
      </c>
      <c r="BG6" s="60" t="s">
        <v>60</v>
      </c>
      <c r="BH6" s="61" t="s">
        <v>95</v>
      </c>
      <c r="BI6" s="42" t="s">
        <v>59</v>
      </c>
      <c r="BJ6" s="36" t="s">
        <v>60</v>
      </c>
      <c r="BK6" s="67" t="s">
        <v>60</v>
      </c>
    </row>
    <row r="7" spans="2:63" x14ac:dyDescent="0.35">
      <c r="B7" s="43"/>
      <c r="D7" s="38"/>
      <c r="E7" s="39"/>
      <c r="F7" s="39"/>
      <c r="G7" s="39"/>
      <c r="H7" s="39"/>
      <c r="I7" s="39"/>
      <c r="J7" s="40"/>
      <c r="K7" s="47"/>
      <c r="L7" s="48"/>
      <c r="M7" s="49"/>
      <c r="N7" s="38"/>
      <c r="O7" s="39"/>
      <c r="P7" s="40"/>
      <c r="R7" s="43"/>
      <c r="T7" s="38"/>
      <c r="U7" s="39"/>
      <c r="V7" s="39"/>
      <c r="W7" s="47"/>
      <c r="X7" s="48"/>
      <c r="Y7" s="49"/>
      <c r="Z7" s="43"/>
      <c r="AA7" s="38"/>
      <c r="AB7" s="39"/>
      <c r="AC7" s="39"/>
      <c r="AD7" s="47"/>
      <c r="AE7" s="48"/>
      <c r="AF7" s="49"/>
      <c r="AG7" s="43"/>
      <c r="AH7" s="38"/>
      <c r="AI7" s="39"/>
      <c r="AJ7" s="39"/>
      <c r="AK7" s="47"/>
      <c r="AL7" s="48"/>
      <c r="AM7" s="49"/>
      <c r="AN7" s="43"/>
      <c r="AO7" s="38"/>
      <c r="AP7" s="39"/>
      <c r="AQ7" s="39"/>
      <c r="AR7" s="47"/>
      <c r="AS7" s="48"/>
      <c r="AT7" s="49"/>
      <c r="AU7" s="43"/>
      <c r="AV7" s="38"/>
      <c r="AW7" s="39"/>
      <c r="AX7" s="39"/>
      <c r="AY7" s="47"/>
      <c r="AZ7" s="48"/>
      <c r="BA7" s="49"/>
      <c r="BB7" s="43"/>
      <c r="BC7" s="38"/>
      <c r="BD7" s="39"/>
      <c r="BE7" s="39"/>
      <c r="BF7" s="47"/>
      <c r="BG7" s="48"/>
      <c r="BH7" s="49"/>
      <c r="BI7" s="43"/>
      <c r="BJ7" s="38"/>
      <c r="BK7" s="62"/>
    </row>
    <row r="8" spans="2:63" x14ac:dyDescent="0.35">
      <c r="B8" s="14">
        <v>0</v>
      </c>
      <c r="D8" s="5">
        <f>1-(pSkinScarring)-(pSingleAmp)-(pMultipleAmp)-(pHearingLoss)-(pNeuroDis)-(pDead)</f>
        <v>0.71499999999999997</v>
      </c>
      <c r="E8">
        <f>pSkinScarring</f>
        <v>7.5999999999999998E-2</v>
      </c>
      <c r="F8">
        <f>pSingleAmp</f>
        <v>1.9E-2</v>
      </c>
      <c r="G8">
        <f>pMultipleAmp</f>
        <v>1.2E-2</v>
      </c>
      <c r="H8">
        <f>pHearingLoss</f>
        <v>6.4000000000000001E-2</v>
      </c>
      <c r="I8">
        <f>pNeuroDis</f>
        <v>2.1000000000000001E-2</v>
      </c>
      <c r="J8" s="6">
        <f>pDead</f>
        <v>9.2999999999999999E-2</v>
      </c>
      <c r="K8" s="50">
        <f>'1. Strategy Calcs'!Y8 + '1. Strategy Calcs'!AF8 + '1. Strategy Calcs'!AM8 + '1. Strategy Calcs'!AT8 + '1. Strategy Calcs'!BA8 + '1. Strategy Calcs'!BH8 + '1. Strategy Calcs'!BK8</f>
        <v>135250.1427866618</v>
      </c>
      <c r="L8" s="51">
        <f>K8*'Time Discounting'!C5</f>
        <v>135250.1427866618</v>
      </c>
      <c r="M8" s="52">
        <f>L8</f>
        <v>135250.1427866618</v>
      </c>
      <c r="N8" s="5">
        <f>'1. Strategy Calcs'!Z8 + '1. Strategy Calcs'!AG8 + '1. Strategy Calcs'!AN8 + '1. Strategy Calcs'!AU8 + '1. Strategy Calcs'!BB8 + '1. Strategy Calcs'!BI8</f>
        <v>0.42798344999999999</v>
      </c>
      <c r="O8">
        <f>N8*'Time Discounting'!D5</f>
        <v>0.42798344999999999</v>
      </c>
      <c r="P8" s="6">
        <f>O8</f>
        <v>0.42798344999999999</v>
      </c>
      <c r="R8" s="14">
        <f t="shared" ref="R8:R39" si="0">SUM(D8:J8)</f>
        <v>0.99999999999999989</v>
      </c>
      <c r="T8" s="5">
        <f>'1. Strategy Calcs'!D8</f>
        <v>0.71499999999999997</v>
      </c>
      <c r="U8">
        <f t="shared" ref="U8:U39" si="1">T8*(1-(InterpolateTable(tdead,cycle+18,1)))</f>
        <v>0.71448870350000004</v>
      </c>
      <c r="V8">
        <f t="shared" ref="V8:V39" si="2">T8*(InterpolateTable(tdead,cycle+18,1))</f>
        <v>5.1129650000000001E-4</v>
      </c>
      <c r="W8" s="50">
        <f>T8*(cAcute_Node5)</f>
        <v>37800.619999999995</v>
      </c>
      <c r="X8" s="51">
        <f t="shared" ref="X8:X39" si="3">V8*(cDead)</f>
        <v>4.6906340909999997</v>
      </c>
      <c r="Y8" s="52">
        <f t="shared" ref="Y8:Y39" si="4">SUM(W8:X8)</f>
        <v>37805.310634090994</v>
      </c>
      <c r="Z8" s="14">
        <f>T8*(0.5*(uAlive-uAcute_Node5))</f>
        <v>0.35632025000000001</v>
      </c>
      <c r="AA8" s="5">
        <f>'1. Strategy Calcs'!E8</f>
        <v>7.5999999999999998E-2</v>
      </c>
      <c r="AB8">
        <f t="shared" ref="AB8:AB39" si="5">AA8*(1-(InterpolateTable(tdead,cycle+18,1)))</f>
        <v>7.5945652399999994E-2</v>
      </c>
      <c r="AC8">
        <f t="shared" ref="AC8:AC39" si="6">AA8*(InterpolateTable(tdead,cycle+18,1))</f>
        <v>5.4347599999999994E-5</v>
      </c>
      <c r="AD8" s="50">
        <f>AA8*(cAcute_Node4+cSkinScarring_Node4)</f>
        <v>4578.6959999999999</v>
      </c>
      <c r="AE8" s="51">
        <f t="shared" ref="AE8:AE39" si="7">AC8*(cDead)</f>
        <v>0.49858488239999993</v>
      </c>
      <c r="AF8" s="52">
        <f t="shared" ref="AF8:AF39" si="8">SUM(AD8:AE8)</f>
        <v>4579.1945848823998</v>
      </c>
      <c r="AG8" s="14">
        <f>AA8*(0.5*(uSkinScarring_Node4-uAcute))</f>
        <v>3.7874600000000001E-2</v>
      </c>
      <c r="AH8" s="5">
        <f>'1. Strategy Calcs'!F8</f>
        <v>1.9E-2</v>
      </c>
      <c r="AI8">
        <f t="shared" ref="AI8:AI39" si="9">AH8*(1-(InterpolateTable(tdead,cycle+18,1)))</f>
        <v>1.8986413099999998E-2</v>
      </c>
      <c r="AJ8">
        <f t="shared" ref="AJ8:AJ39" si="10">AH8*(InterpolateTable(tdead,cycle+18,1))</f>
        <v>1.3586899999999999E-5</v>
      </c>
      <c r="AK8" s="50">
        <f>AH8*(cAcute_Node6+cSingleAmp_Node6)</f>
        <v>5096.2560000000003</v>
      </c>
      <c r="AL8" s="51">
        <f t="shared" ref="AL8:AL39" si="11">AJ8*(cDead)</f>
        <v>0.12464622059999998</v>
      </c>
      <c r="AM8" s="52">
        <f t="shared" ref="AM8:AM39" si="12">SUM(AK8:AL8)</f>
        <v>5096.3806462206003</v>
      </c>
      <c r="AN8" s="14">
        <f>AH8*(0.5*(uSingleAmp_Node6-uAcute))</f>
        <v>6.6186499999999994E-3</v>
      </c>
      <c r="AO8" s="5">
        <f>'1. Strategy Calcs'!G8</f>
        <v>1.2E-2</v>
      </c>
      <c r="AP8">
        <f t="shared" ref="AP8:AP39" si="13">AO8*(1-(InterpolateTable(tdead,cycle+18,1)))</f>
        <v>1.19914188E-2</v>
      </c>
      <c r="AQ8">
        <f t="shared" ref="AQ8:AQ39" si="14">AO8*(InterpolateTable(tdead,cycle+18,1))</f>
        <v>8.5812000000000001E-6</v>
      </c>
      <c r="AR8" s="50">
        <f>AO8*(cAcute_Node7+cMultipleAmp_Node7)</f>
        <v>3735.54</v>
      </c>
      <c r="AS8" s="51">
        <f t="shared" ref="AS8:AS39" si="15">AQ8*(cDead)</f>
        <v>7.8723928799999995E-2</v>
      </c>
      <c r="AT8" s="52">
        <f t="shared" ref="AT8:AT39" si="16">SUM(AR8:AS8)</f>
        <v>3735.6187239288001</v>
      </c>
      <c r="AU8" s="14">
        <f>AO8*(0.5*(uMultipleAmp_Node7-uAcute))</f>
        <v>3.6402000000000001E-3</v>
      </c>
      <c r="AV8" s="5">
        <f>'1. Strategy Calcs'!H8</f>
        <v>6.4000000000000001E-2</v>
      </c>
      <c r="AW8">
        <f t="shared" ref="AW8:AW39" si="17">AV8*(1-(InterpolateTable(tdead,cycle+18,1)))</f>
        <v>6.3954233600000007E-2</v>
      </c>
      <c r="AX8">
        <f t="shared" ref="AX8:AX39" si="18">AV8*(InterpolateTable(tdead,cycle+18,1))</f>
        <v>4.5766400000000003E-5</v>
      </c>
      <c r="AY8" s="50">
        <f>AV8*(cAcute_Node10+cHearingLoss_Node10)</f>
        <v>9071.8080000000009</v>
      </c>
      <c r="AZ8" s="51">
        <f t="shared" ref="AZ8:AZ39" si="19">AX8*(cDead)</f>
        <v>0.41986095360000003</v>
      </c>
      <c r="BA8" s="52">
        <f t="shared" ref="BA8:BA39" si="20">SUM(AY8:AZ8)</f>
        <v>9072.2278609536006</v>
      </c>
      <c r="BB8" s="14">
        <f>AV8*(0.5*(uHearingLoss_Node10-uAcute))</f>
        <v>2.2934400000000001E-2</v>
      </c>
      <c r="BC8" s="5">
        <f>'1. Strategy Calcs'!I8</f>
        <v>2.1000000000000001E-2</v>
      </c>
      <c r="BD8">
        <f t="shared" ref="BD8:BD39" si="21">BC8*(1-(InterpolateTable(tdead_inc,cycle+18,1)))</f>
        <v>2.0840817900000003E-2</v>
      </c>
      <c r="BE8">
        <f t="shared" ref="BE8:BE39" si="22">BC8*(InterpolateTable(tdead_inc,cycle+18,1))</f>
        <v>1.5918209999999999E-4</v>
      </c>
      <c r="BF8" s="50">
        <f>BC8*(cAcute_Node11+cNeuroDis_Node11)</f>
        <v>69190.044000000009</v>
      </c>
      <c r="BG8" s="51">
        <f t="shared" ref="BG8:BG39" si="23">BE8*(cDead)</f>
        <v>1.4603365853999999</v>
      </c>
      <c r="BH8" s="52">
        <f t="shared" ref="BH8:BH39" si="24">SUM(BF8:BG8)</f>
        <v>69191.504336585407</v>
      </c>
      <c r="BI8" s="14">
        <f>BC8*(0.5*(uNeuroDis_Node11-uAcute))</f>
        <v>5.9535000000000002E-4</v>
      </c>
      <c r="BJ8" s="5">
        <f>'1. Strategy Calcs'!J8</f>
        <v>9.2999999999999999E-2</v>
      </c>
      <c r="BK8" s="63">
        <f>BJ8*(cAcute_Node12+cDead)</f>
        <v>5769.9059999999999</v>
      </c>
    </row>
    <row r="9" spans="2:63" x14ac:dyDescent="0.35">
      <c r="B9" s="14">
        <v>1</v>
      </c>
      <c r="D9" s="5">
        <f>'1. Strategy Calcs'!T9</f>
        <v>0.71448870350000004</v>
      </c>
      <c r="E9">
        <f>'1. Strategy Calcs'!AA9</f>
        <v>7.5945652399999994E-2</v>
      </c>
      <c r="F9">
        <f>'1. Strategy Calcs'!AH9</f>
        <v>1.8986413099999998E-2</v>
      </c>
      <c r="G9">
        <f>'1. Strategy Calcs'!AO9</f>
        <v>1.19914188E-2</v>
      </c>
      <c r="H9">
        <f>'1. Strategy Calcs'!AV9</f>
        <v>6.3954233600000007E-2</v>
      </c>
      <c r="I9">
        <f>'1. Strategy Calcs'!BC9</f>
        <v>2.0840817900000003E-2</v>
      </c>
      <c r="J9" s="6">
        <f>'1. Strategy Calcs'!BJ9</f>
        <v>9.3792760700000005E-2</v>
      </c>
      <c r="K9" s="50">
        <f>'1. Strategy Calcs'!Y9 + '1. Strategy Calcs'!AF9 + '1. Strategy Calcs'!AM9 + '1. Strategy Calcs'!AT9 + '1. Strategy Calcs'!BA9 + '1. Strategy Calcs'!BH9 + '1. Strategy Calcs'!BK9</f>
        <v>8.0735329859751559</v>
      </c>
      <c r="L9" s="51">
        <f>K9*'Time Discounting'!C6</f>
        <v>7.8383815397817047</v>
      </c>
      <c r="M9" s="52">
        <f t="shared" ref="M9:M40" si="25">M8 + L9</f>
        <v>135257.98116820157</v>
      </c>
      <c r="N9" s="5">
        <f>'1. Strategy Calcs'!Z9 + '1. Strategy Calcs'!AG9 + '1. Strategy Calcs'!AN9 + '1. Strategy Calcs'!AU9 + '1. Strategy Calcs'!BB9 + '1. Strategy Calcs'!BI9</f>
        <v>0.85833710780399997</v>
      </c>
      <c r="O9">
        <f>N9*'Time Discounting'!D6</f>
        <v>0.83333699786796112</v>
      </c>
      <c r="P9" s="6">
        <f t="shared" ref="P9:P40" si="26">P8 + O9</f>
        <v>1.2613204478679612</v>
      </c>
      <c r="R9" s="14">
        <f t="shared" si="0"/>
        <v>1</v>
      </c>
      <c r="T9" s="5">
        <f t="shared" ref="T9:T40" si="27">0 + U8</f>
        <v>0.71448870350000004</v>
      </c>
      <c r="U9">
        <f t="shared" si="1"/>
        <v>0.71392032773636582</v>
      </c>
      <c r="V9">
        <f t="shared" si="2"/>
        <v>5.6837576363425E-4</v>
      </c>
      <c r="W9" s="50">
        <f>0</f>
        <v>0</v>
      </c>
      <c r="X9" s="51">
        <f t="shared" si="3"/>
        <v>5.2142792555806095</v>
      </c>
      <c r="Y9" s="52">
        <f t="shared" si="4"/>
        <v>5.2142792555806095</v>
      </c>
      <c r="Z9" s="14">
        <f t="shared" ref="Z9:Z40" si="28">T9*(uAlive)</f>
        <v>0.71448870350000004</v>
      </c>
      <c r="AA9" s="5">
        <f t="shared" ref="AA9:AA40" si="29">0 + AB8</f>
        <v>7.5945652399999994E-2</v>
      </c>
      <c r="AB9">
        <f t="shared" si="5"/>
        <v>7.5885237633515804E-2</v>
      </c>
      <c r="AC9">
        <f t="shared" si="6"/>
        <v>6.0414766484199991E-5</v>
      </c>
      <c r="AD9" s="50">
        <f>0</f>
        <v>0</v>
      </c>
      <c r="AE9" s="51">
        <f t="shared" si="7"/>
        <v>0.55424506772605076</v>
      </c>
      <c r="AF9" s="52">
        <f t="shared" si="8"/>
        <v>0.55424506772605076</v>
      </c>
      <c r="AG9" s="14">
        <f t="shared" ref="AG9:AG40" si="30">AA9*(uSkinScarring_Node4)</f>
        <v>7.5945652399999994E-2</v>
      </c>
      <c r="AH9" s="5">
        <f t="shared" ref="AH9:AH40" si="31">0 + AI8</f>
        <v>1.8986413099999998E-2</v>
      </c>
      <c r="AI9">
        <f t="shared" si="9"/>
        <v>1.8971309408378951E-2</v>
      </c>
      <c r="AJ9">
        <f t="shared" si="10"/>
        <v>1.5103691621049998E-5</v>
      </c>
      <c r="AK9" s="50">
        <f>0</f>
        <v>0</v>
      </c>
      <c r="AL9" s="51">
        <f t="shared" si="11"/>
        <v>0.13856126693151269</v>
      </c>
      <c r="AM9" s="52">
        <f t="shared" si="12"/>
        <v>0.13856126693151269</v>
      </c>
      <c r="AN9" s="14">
        <f t="shared" ref="AN9:AN40" si="32">AH9*(uSingleAmp_Node6)</f>
        <v>1.3290489169999998E-2</v>
      </c>
      <c r="AO9" s="5">
        <f t="shared" ref="AO9:AO40" si="33">0 + AP8</f>
        <v>1.19914188E-2</v>
      </c>
      <c r="AP9">
        <f t="shared" si="13"/>
        <v>1.19818796263446E-2</v>
      </c>
      <c r="AQ9">
        <f t="shared" si="14"/>
        <v>9.5391736553999994E-6</v>
      </c>
      <c r="AR9" s="50">
        <f>0</f>
        <v>0</v>
      </c>
      <c r="AS9" s="51">
        <f t="shared" si="15"/>
        <v>8.7512379114639591E-2</v>
      </c>
      <c r="AT9" s="52">
        <f t="shared" si="16"/>
        <v>8.7512379114639591E-2</v>
      </c>
      <c r="AU9" s="14">
        <f t="shared" ref="AU9:AU40" si="34">AO9*(uMultipleAmp_Node7)</f>
        <v>7.3147654679999998E-3</v>
      </c>
      <c r="AV9" s="5">
        <f t="shared" ref="AV9:AV40" si="35">0 + AW8</f>
        <v>6.3954233600000007E-2</v>
      </c>
      <c r="AW9">
        <f t="shared" si="17"/>
        <v>6.3903358007171215E-2</v>
      </c>
      <c r="AX9">
        <f t="shared" si="18"/>
        <v>5.0875592828800003E-5</v>
      </c>
      <c r="AY9" s="50">
        <f>0</f>
        <v>0</v>
      </c>
      <c r="AZ9" s="51">
        <f t="shared" si="19"/>
        <v>0.46673268861141121</v>
      </c>
      <c r="BA9" s="52">
        <f t="shared" si="20"/>
        <v>0.46673268861141121</v>
      </c>
      <c r="BB9" s="14">
        <f t="shared" ref="BB9:BB40" si="36">AV9*(uHearingLoss_Node10)</f>
        <v>4.6047048192000006E-2</v>
      </c>
      <c r="BC9" s="5">
        <f t="shared" ref="BC9:BC40" si="37">0 + BD8</f>
        <v>2.0840817900000003E-2</v>
      </c>
      <c r="BD9">
        <f t="shared" si="21"/>
        <v>2.0665081871221833E-2</v>
      </c>
      <c r="BE9">
        <f t="shared" si="22"/>
        <v>1.7573602877817007E-4</v>
      </c>
      <c r="BF9" s="50">
        <f>0</f>
        <v>0</v>
      </c>
      <c r="BG9" s="51">
        <f t="shared" si="23"/>
        <v>1.6122023280109323</v>
      </c>
      <c r="BH9" s="52">
        <f t="shared" si="24"/>
        <v>1.6122023280109323</v>
      </c>
      <c r="BI9" s="14">
        <f t="shared" ref="BI9:BI40" si="38">BC9*(uNeuroDis_Node11)</f>
        <v>1.2504490740000002E-3</v>
      </c>
      <c r="BJ9" s="5">
        <f>0 + '1. Strategy Calcs'!V8 + '1. Strategy Calcs'!AC8 + '1. Strategy Calcs'!AJ8 + '1. Strategy Calcs'!AQ8 + '1. Strategy Calcs'!AX8 + '1. Strategy Calcs'!BE8 + BJ8</f>
        <v>9.3792760700000005E-2</v>
      </c>
      <c r="BK9" s="63">
        <f>0</f>
        <v>0</v>
      </c>
    </row>
    <row r="10" spans="2:63" x14ac:dyDescent="0.35">
      <c r="B10" s="14">
        <v>2</v>
      </c>
      <c r="D10" s="5">
        <f>'1. Strategy Calcs'!T10</f>
        <v>0.71392032773636582</v>
      </c>
      <c r="E10">
        <f>'1. Strategy Calcs'!AA10</f>
        <v>7.5885237633515804E-2</v>
      </c>
      <c r="F10">
        <f>'1. Strategy Calcs'!AH10</f>
        <v>1.8971309408378951E-2</v>
      </c>
      <c r="G10">
        <f>'1. Strategy Calcs'!AO10</f>
        <v>1.19818796263446E-2</v>
      </c>
      <c r="H10">
        <f>'1. Strategy Calcs'!AV10</f>
        <v>6.3903358007171215E-2</v>
      </c>
      <c r="I10">
        <f>'1. Strategy Calcs'!BC10</f>
        <v>2.0665081871221833E-2</v>
      </c>
      <c r="J10" s="6">
        <f>'1. Strategy Calcs'!BJ10</f>
        <v>9.4672805717001873E-2</v>
      </c>
      <c r="K10" s="50">
        <f>'1. Strategy Calcs'!Y10 + '1. Strategy Calcs'!AF10 + '1. Strategy Calcs'!AM10 + '1. Strategy Calcs'!AT10 + '1. Strategy Calcs'!BA10 + '1. Strategy Calcs'!BH10 + '1. Strategy Calcs'!BK10</f>
        <v>8.9174832879349921</v>
      </c>
      <c r="L10" s="51">
        <f>K10*'Time Discounting'!C7</f>
        <v>8.4055832669761443</v>
      </c>
      <c r="M10" s="52">
        <f t="shared" si="25"/>
        <v>135266.38675146856</v>
      </c>
      <c r="N10" s="5">
        <f>'1. Strategy Calcs'!Z10 + '1. Strategy Calcs'!AG10 + '1. Strategy Calcs'!AN10 + '1. Strategy Calcs'!AU10 + '1. Strategy Calcs'!BB10 + '1. Strategy Calcs'!BI10</f>
        <v>0.85764475120525363</v>
      </c>
      <c r="O10">
        <f>N10*'Time Discounting'!D7</f>
        <v>0.80841243397610862</v>
      </c>
      <c r="P10" s="6">
        <f t="shared" si="26"/>
        <v>2.0697328818440699</v>
      </c>
      <c r="R10" s="14">
        <f t="shared" si="0"/>
        <v>1</v>
      </c>
      <c r="T10" s="5">
        <f t="shared" si="27"/>
        <v>0.71392032773636582</v>
      </c>
      <c r="U10">
        <f t="shared" si="1"/>
        <v>0.71329157810372845</v>
      </c>
      <c r="V10">
        <f t="shared" si="2"/>
        <v>6.2874963263741745E-4</v>
      </c>
      <c r="W10" s="50">
        <f>0</f>
        <v>0</v>
      </c>
      <c r="X10" s="51">
        <f t="shared" si="3"/>
        <v>5.7681491298156677</v>
      </c>
      <c r="Y10" s="52">
        <f t="shared" si="4"/>
        <v>5.7681491298156677</v>
      </c>
      <c r="Z10" s="14">
        <f t="shared" si="28"/>
        <v>0.71392032773636582</v>
      </c>
      <c r="AA10" s="5">
        <f t="shared" si="29"/>
        <v>7.5885237633515804E-2</v>
      </c>
      <c r="AB10">
        <f t="shared" si="5"/>
        <v>7.581840550473197E-2</v>
      </c>
      <c r="AC10">
        <f t="shared" si="6"/>
        <v>6.6832128783837381E-5</v>
      </c>
      <c r="AD10" s="50">
        <f>0</f>
        <v>0</v>
      </c>
      <c r="AE10" s="51">
        <f t="shared" si="7"/>
        <v>0.61311794946292408</v>
      </c>
      <c r="AF10" s="52">
        <f t="shared" si="8"/>
        <v>0.61311794946292408</v>
      </c>
      <c r="AG10" s="14">
        <f t="shared" si="30"/>
        <v>7.5885237633515804E-2</v>
      </c>
      <c r="AH10" s="5">
        <f t="shared" si="31"/>
        <v>1.8971309408378951E-2</v>
      </c>
      <c r="AI10">
        <f t="shared" si="9"/>
        <v>1.8954601376182992E-2</v>
      </c>
      <c r="AJ10">
        <f t="shared" si="10"/>
        <v>1.6708032195959345E-5</v>
      </c>
      <c r="AK10" s="50">
        <f>0</f>
        <v>0</v>
      </c>
      <c r="AL10" s="51">
        <f t="shared" si="11"/>
        <v>0.15327948736573102</v>
      </c>
      <c r="AM10" s="52">
        <f t="shared" si="12"/>
        <v>0.15327948736573102</v>
      </c>
      <c r="AN10" s="14">
        <f t="shared" si="32"/>
        <v>1.3279916585865265E-2</v>
      </c>
      <c r="AO10" s="5">
        <f t="shared" si="33"/>
        <v>1.19818796263446E-2</v>
      </c>
      <c r="AP10">
        <f t="shared" si="13"/>
        <v>1.197132718495768E-2</v>
      </c>
      <c r="AQ10">
        <f t="shared" si="14"/>
        <v>1.055244138692169E-5</v>
      </c>
      <c r="AR10" s="50">
        <f>0</f>
        <v>0</v>
      </c>
      <c r="AS10" s="51">
        <f t="shared" si="15"/>
        <v>9.6808097283619582E-2</v>
      </c>
      <c r="AT10" s="52">
        <f t="shared" si="16"/>
        <v>9.6808097283619582E-2</v>
      </c>
      <c r="AU10" s="14">
        <f t="shared" si="34"/>
        <v>7.3089465720702056E-3</v>
      </c>
      <c r="AV10" s="5">
        <f t="shared" si="35"/>
        <v>6.3903358007171215E-2</v>
      </c>
      <c r="AW10">
        <f t="shared" si="17"/>
        <v>6.3847078319774306E-2</v>
      </c>
      <c r="AX10">
        <f t="shared" si="18"/>
        <v>5.6279687396915696E-5</v>
      </c>
      <c r="AY10" s="50">
        <f>0</f>
        <v>0</v>
      </c>
      <c r="AZ10" s="51">
        <f t="shared" si="19"/>
        <v>0.51630985217930458</v>
      </c>
      <c r="BA10" s="52">
        <f t="shared" si="20"/>
        <v>0.51630985217930458</v>
      </c>
      <c r="BB10" s="14">
        <f t="shared" si="36"/>
        <v>4.6010417765163271E-2</v>
      </c>
      <c r="BC10" s="5">
        <f t="shared" si="37"/>
        <v>2.0665081871221833E-2</v>
      </c>
      <c r="BD10">
        <f t="shared" si="21"/>
        <v>2.0472165065921227E-2</v>
      </c>
      <c r="BE10">
        <f t="shared" si="22"/>
        <v>1.9291680530060434E-4</v>
      </c>
      <c r="BF10" s="50">
        <f>0</f>
        <v>0</v>
      </c>
      <c r="BG10" s="51">
        <f t="shared" si="23"/>
        <v>1.7698187718277443</v>
      </c>
      <c r="BH10" s="52">
        <f t="shared" si="24"/>
        <v>1.7698187718277443</v>
      </c>
      <c r="BI10" s="14">
        <f t="shared" si="38"/>
        <v>1.2399049122733099E-3</v>
      </c>
      <c r="BJ10" s="5">
        <f>0 + '1. Strategy Calcs'!V9 + '1. Strategy Calcs'!AC9 + '1. Strategy Calcs'!AJ9 + '1. Strategy Calcs'!AQ9 + '1. Strategy Calcs'!AX9 + '1. Strategy Calcs'!BE9 + BJ9</f>
        <v>9.4672805717001873E-2</v>
      </c>
      <c r="BK10" s="63">
        <f>0</f>
        <v>0</v>
      </c>
    </row>
    <row r="11" spans="2:63" x14ac:dyDescent="0.35">
      <c r="B11" s="14">
        <v>3</v>
      </c>
      <c r="D11" s="5">
        <f>'1. Strategy Calcs'!T11</f>
        <v>0.71329157810372845</v>
      </c>
      <c r="E11">
        <f>'1. Strategy Calcs'!AA11</f>
        <v>7.581840550473197E-2</v>
      </c>
      <c r="F11">
        <f>'1. Strategy Calcs'!AH11</f>
        <v>1.8954601376182992E-2</v>
      </c>
      <c r="G11">
        <f>'1. Strategy Calcs'!AO11</f>
        <v>1.197132718495768E-2</v>
      </c>
      <c r="H11">
        <f>'1. Strategy Calcs'!AV11</f>
        <v>6.3847078319774306E-2</v>
      </c>
      <c r="I11">
        <f>'1. Strategy Calcs'!BC11</f>
        <v>2.0472165065921227E-2</v>
      </c>
      <c r="J11" s="6">
        <f>'1. Strategy Calcs'!BJ11</f>
        <v>9.5644844444703531E-2</v>
      </c>
      <c r="K11" s="50">
        <f>'1. Strategy Calcs'!Y11 + '1. Strategy Calcs'!AF11 + '1. Strategy Calcs'!AM11 + '1. Strategy Calcs'!AT11 + '1. Strategy Calcs'!BA11 + '1. Strategy Calcs'!BH11 + '1. Strategy Calcs'!BK11</f>
        <v>9.7208129896627771</v>
      </c>
      <c r="L11" s="51">
        <f>K11*'Time Discounting'!C8</f>
        <v>8.8959209296217416</v>
      </c>
      <c r="M11" s="52">
        <f t="shared" si="25"/>
        <v>135275.28267239817</v>
      </c>
      <c r="N11" s="5">
        <f>'1. Strategy Calcs'!Z11 + '1. Strategy Calcs'!AG11 + '1. Strategy Calcs'!AN11 + '1. Strategy Calcs'!AU11 + '1. Strategy Calcs'!BB11 + '1. Strategy Calcs'!BI11</f>
        <v>0.85687894044880553</v>
      </c>
      <c r="O11">
        <f>N11*'Time Discounting'!D8</f>
        <v>0.78416561542709717</v>
      </c>
      <c r="P11" s="6">
        <f t="shared" si="26"/>
        <v>2.853898497271167</v>
      </c>
      <c r="R11" s="14">
        <f t="shared" si="0"/>
        <v>1</v>
      </c>
      <c r="T11" s="5">
        <f t="shared" si="27"/>
        <v>0.71329157810372845</v>
      </c>
      <c r="U11">
        <f t="shared" si="1"/>
        <v>0.71260503495980365</v>
      </c>
      <c r="V11">
        <f t="shared" si="2"/>
        <v>6.865431439248387E-4</v>
      </c>
      <c r="W11" s="50">
        <f>0</f>
        <v>0</v>
      </c>
      <c r="X11" s="51">
        <f t="shared" si="3"/>
        <v>6.2983468023664706</v>
      </c>
      <c r="Y11" s="52">
        <f t="shared" si="4"/>
        <v>6.2983468023664706</v>
      </c>
      <c r="Z11" s="14">
        <f t="shared" si="28"/>
        <v>0.71329157810372845</v>
      </c>
      <c r="AA11" s="5">
        <f t="shared" si="29"/>
        <v>7.581840550473197E-2</v>
      </c>
      <c r="AB11">
        <f t="shared" si="5"/>
        <v>7.5745430289433674E-2</v>
      </c>
      <c r="AC11">
        <f t="shared" si="6"/>
        <v>7.2975215298304519E-5</v>
      </c>
      <c r="AD11" s="50">
        <f>0</f>
        <v>0</v>
      </c>
      <c r="AE11" s="51">
        <f t="shared" si="7"/>
        <v>0.66947462514664569</v>
      </c>
      <c r="AF11" s="52">
        <f t="shared" si="8"/>
        <v>0.66947462514664569</v>
      </c>
      <c r="AG11" s="14">
        <f t="shared" si="30"/>
        <v>7.581840550473197E-2</v>
      </c>
      <c r="AH11" s="5">
        <f t="shared" si="31"/>
        <v>1.8954601376182992E-2</v>
      </c>
      <c r="AI11">
        <f t="shared" si="9"/>
        <v>1.8936357572358418E-2</v>
      </c>
      <c r="AJ11">
        <f t="shared" si="10"/>
        <v>1.824380382457613E-5</v>
      </c>
      <c r="AK11" s="50">
        <f>0</f>
        <v>0</v>
      </c>
      <c r="AL11" s="51">
        <f t="shared" si="11"/>
        <v>0.16736865628666142</v>
      </c>
      <c r="AM11" s="52">
        <f t="shared" si="12"/>
        <v>0.16736865628666142</v>
      </c>
      <c r="AN11" s="14">
        <f t="shared" si="32"/>
        <v>1.3268220963328093E-2</v>
      </c>
      <c r="AO11" s="5">
        <f t="shared" si="33"/>
        <v>1.197132718495768E-2</v>
      </c>
      <c r="AP11">
        <f t="shared" si="13"/>
        <v>1.1959804782542159E-2</v>
      </c>
      <c r="AQ11">
        <f t="shared" si="14"/>
        <v>1.1522402415521767E-5</v>
      </c>
      <c r="AR11" s="50">
        <f>0</f>
        <v>0</v>
      </c>
      <c r="AS11" s="51">
        <f t="shared" si="15"/>
        <v>0.10570651975999669</v>
      </c>
      <c r="AT11" s="52">
        <f t="shared" si="16"/>
        <v>0.10570651975999669</v>
      </c>
      <c r="AU11" s="14">
        <f t="shared" si="34"/>
        <v>7.3025095828241843E-3</v>
      </c>
      <c r="AV11" s="5">
        <f t="shared" si="35"/>
        <v>6.3847078319774306E-2</v>
      </c>
      <c r="AW11">
        <f t="shared" si="17"/>
        <v>6.3785625506891527E-2</v>
      </c>
      <c r="AX11">
        <f t="shared" si="18"/>
        <v>6.1452812882782767E-5</v>
      </c>
      <c r="AY11" s="50">
        <f>0</f>
        <v>0</v>
      </c>
      <c r="AZ11" s="51">
        <f t="shared" si="19"/>
        <v>0.56376810538664912</v>
      </c>
      <c r="BA11" s="52">
        <f t="shared" si="20"/>
        <v>0.56376810538664912</v>
      </c>
      <c r="BB11" s="14">
        <f t="shared" si="36"/>
        <v>4.5969896390237498E-2</v>
      </c>
      <c r="BC11" s="5">
        <f t="shared" si="37"/>
        <v>2.0472165065921227E-2</v>
      </c>
      <c r="BD11">
        <f t="shared" si="21"/>
        <v>2.0263297801836166E-2</v>
      </c>
      <c r="BE11">
        <f t="shared" si="22"/>
        <v>2.0886726408506139E-4</v>
      </c>
      <c r="BF11" s="50">
        <f>0</f>
        <v>0</v>
      </c>
      <c r="BG11" s="51">
        <f t="shared" si="23"/>
        <v>1.9161482807163532</v>
      </c>
      <c r="BH11" s="52">
        <f t="shared" si="24"/>
        <v>1.9161482807163532</v>
      </c>
      <c r="BI11" s="14">
        <f t="shared" si="38"/>
        <v>1.2283299039552735E-3</v>
      </c>
      <c r="BJ11" s="5">
        <f>0 + '1. Strategy Calcs'!V10 + '1. Strategy Calcs'!AC10 + '1. Strategy Calcs'!AJ10 + '1. Strategy Calcs'!AQ10 + '1. Strategy Calcs'!AX10 + '1. Strategy Calcs'!BE10 + BJ10</f>
        <v>9.5644844444703531E-2</v>
      </c>
      <c r="BK11" s="63">
        <f>0</f>
        <v>0</v>
      </c>
    </row>
    <row r="12" spans="2:63" x14ac:dyDescent="0.35">
      <c r="B12" s="14">
        <v>4</v>
      </c>
      <c r="D12" s="5">
        <f>'1. Strategy Calcs'!T12</f>
        <v>0.71260503495980365</v>
      </c>
      <c r="E12">
        <f>'1. Strategy Calcs'!AA12</f>
        <v>7.5745430289433674E-2</v>
      </c>
      <c r="F12">
        <f>'1. Strategy Calcs'!AH12</f>
        <v>1.8936357572358418E-2</v>
      </c>
      <c r="G12">
        <f>'1. Strategy Calcs'!AO12</f>
        <v>1.1959804782542159E-2</v>
      </c>
      <c r="H12">
        <f>'1. Strategy Calcs'!AV12</f>
        <v>6.3785625506891527E-2</v>
      </c>
      <c r="I12">
        <f>'1. Strategy Calcs'!BC12</f>
        <v>2.0263297801836166E-2</v>
      </c>
      <c r="J12" s="6">
        <f>'1. Strategy Calcs'!BJ12</f>
        <v>9.6704449087134617E-2</v>
      </c>
      <c r="K12" s="50">
        <f>'1. Strategy Calcs'!Y12 + '1. Strategy Calcs'!AF12 + '1. Strategy Calcs'!AM12 + '1. Strategy Calcs'!AT12 + '1. Strategy Calcs'!BA12 + '1. Strategy Calcs'!BH12 + '1. Strategy Calcs'!BK12</f>
        <v>9.6469501747097368</v>
      </c>
      <c r="L12" s="51">
        <f>K12*'Time Discounting'!C9</f>
        <v>8.5711902821175947</v>
      </c>
      <c r="M12" s="52">
        <f t="shared" si="25"/>
        <v>135283.85386268029</v>
      </c>
      <c r="N12" s="5">
        <f>'1. Strategy Calcs'!Z12 + '1. Strategy Calcs'!AG12 + '1. Strategy Calcs'!AN12 + '1. Strategy Calcs'!AU12 + '1. Strategy Calcs'!BB12 + '1. Strategy Calcs'!BI12</f>
        <v>0.85604284470031111</v>
      </c>
      <c r="O12">
        <f>N12*'Time Discounting'!D9</f>
        <v>0.76058297997712798</v>
      </c>
      <c r="P12" s="6">
        <f t="shared" si="26"/>
        <v>3.6144814772482947</v>
      </c>
      <c r="R12" s="14">
        <f t="shared" si="0"/>
        <v>1.0000000000000002</v>
      </c>
      <c r="T12" s="5">
        <f t="shared" si="27"/>
        <v>0.71260503495980365</v>
      </c>
      <c r="U12">
        <f t="shared" si="1"/>
        <v>0.71188038689975308</v>
      </c>
      <c r="V12">
        <f t="shared" si="2"/>
        <v>7.2464806005062457E-4</v>
      </c>
      <c r="W12" s="50">
        <f>0</f>
        <v>0</v>
      </c>
      <c r="X12" s="51">
        <f t="shared" si="3"/>
        <v>6.6479213029044297</v>
      </c>
      <c r="Y12" s="52">
        <f t="shared" si="4"/>
        <v>6.6479213029044297</v>
      </c>
      <c r="Z12" s="14">
        <f t="shared" si="28"/>
        <v>0.71260503495980365</v>
      </c>
      <c r="AA12" s="5">
        <f t="shared" si="29"/>
        <v>7.5745430289433674E-2</v>
      </c>
      <c r="AB12">
        <f t="shared" si="5"/>
        <v>7.5668404761372349E-2</v>
      </c>
      <c r="AC12">
        <f t="shared" si="6"/>
        <v>7.7025528061325124E-5</v>
      </c>
      <c r="AD12" s="50">
        <f>0</f>
        <v>0</v>
      </c>
      <c r="AE12" s="51">
        <f t="shared" si="7"/>
        <v>0.70663219443459668</v>
      </c>
      <c r="AF12" s="52">
        <f t="shared" si="8"/>
        <v>0.70663219443459668</v>
      </c>
      <c r="AG12" s="14">
        <f t="shared" si="30"/>
        <v>7.5745430289433674E-2</v>
      </c>
      <c r="AH12" s="5">
        <f t="shared" si="31"/>
        <v>1.8936357572358418E-2</v>
      </c>
      <c r="AI12">
        <f t="shared" si="9"/>
        <v>1.8917101190343087E-2</v>
      </c>
      <c r="AJ12">
        <f t="shared" si="10"/>
        <v>1.9256382015331281E-5</v>
      </c>
      <c r="AK12" s="50">
        <f>0</f>
        <v>0</v>
      </c>
      <c r="AL12" s="51">
        <f t="shared" si="11"/>
        <v>0.17665804860864917</v>
      </c>
      <c r="AM12" s="52">
        <f t="shared" si="12"/>
        <v>0.17665804860864917</v>
      </c>
      <c r="AN12" s="14">
        <f t="shared" si="32"/>
        <v>1.3255450300650892E-2</v>
      </c>
      <c r="AO12" s="5">
        <f t="shared" si="33"/>
        <v>1.1959804782542159E-2</v>
      </c>
      <c r="AP12">
        <f t="shared" si="13"/>
        <v>1.1947642857058792E-2</v>
      </c>
      <c r="AQ12">
        <f t="shared" si="14"/>
        <v>1.2161925483367125E-5</v>
      </c>
      <c r="AR12" s="50">
        <f>0</f>
        <v>0</v>
      </c>
      <c r="AS12" s="51">
        <f t="shared" si="15"/>
        <v>0.11157350438441001</v>
      </c>
      <c r="AT12" s="52">
        <f t="shared" si="16"/>
        <v>0.11157350438441001</v>
      </c>
      <c r="AU12" s="14">
        <f t="shared" si="34"/>
        <v>7.2954809173507171E-3</v>
      </c>
      <c r="AV12" s="5">
        <f t="shared" si="35"/>
        <v>6.3785625506891527E-2</v>
      </c>
      <c r="AW12">
        <f t="shared" si="17"/>
        <v>6.3720761904313569E-2</v>
      </c>
      <c r="AX12">
        <f t="shared" si="18"/>
        <v>6.4863602577958009E-5</v>
      </c>
      <c r="AY12" s="50">
        <f>0</f>
        <v>0</v>
      </c>
      <c r="AZ12" s="51">
        <f t="shared" si="19"/>
        <v>0.59505869005018674</v>
      </c>
      <c r="BA12" s="52">
        <f t="shared" si="20"/>
        <v>0.59505869005018674</v>
      </c>
      <c r="BB12" s="14">
        <f t="shared" si="36"/>
        <v>4.5925650364961899E-2</v>
      </c>
      <c r="BC12" s="5">
        <f t="shared" si="37"/>
        <v>2.0263297801836166E-2</v>
      </c>
      <c r="BD12">
        <f t="shared" si="21"/>
        <v>2.0109699978168468E-2</v>
      </c>
      <c r="BE12">
        <f t="shared" si="22"/>
        <v>1.5359782366769834E-4</v>
      </c>
      <c r="BF12" s="50">
        <f>0</f>
        <v>0</v>
      </c>
      <c r="BG12" s="51">
        <f t="shared" si="23"/>
        <v>1.4091064343274646</v>
      </c>
      <c r="BH12" s="52">
        <f t="shared" si="24"/>
        <v>1.4091064343274646</v>
      </c>
      <c r="BI12" s="14">
        <f t="shared" si="38"/>
        <v>1.2157978681101699E-3</v>
      </c>
      <c r="BJ12" s="5">
        <f>0 + '1. Strategy Calcs'!V11 + '1. Strategy Calcs'!AC11 + '1. Strategy Calcs'!AJ11 + '1. Strategy Calcs'!AQ11 + '1. Strategy Calcs'!AX11 + '1. Strategy Calcs'!BE11 + BJ11</f>
        <v>9.6704449087134617E-2</v>
      </c>
      <c r="BK12" s="63">
        <f>0</f>
        <v>0</v>
      </c>
    </row>
    <row r="13" spans="2:63" x14ac:dyDescent="0.35">
      <c r="B13" s="14">
        <v>5</v>
      </c>
      <c r="D13" s="5">
        <f>'1. Strategy Calcs'!T13</f>
        <v>0.71188038689975308</v>
      </c>
      <c r="E13">
        <f>'1. Strategy Calcs'!AA13</f>
        <v>7.5668404761372349E-2</v>
      </c>
      <c r="F13">
        <f>'1. Strategy Calcs'!AH13</f>
        <v>1.8917101190343087E-2</v>
      </c>
      <c r="G13">
        <f>'1. Strategy Calcs'!AO13</f>
        <v>1.1947642857058792E-2</v>
      </c>
      <c r="H13">
        <f>'1. Strategy Calcs'!AV13</f>
        <v>6.3720761904313569E-2</v>
      </c>
      <c r="I13">
        <f>'1. Strategy Calcs'!BC13</f>
        <v>2.0109699978168468E-2</v>
      </c>
      <c r="J13" s="6">
        <f>'1. Strategy Calcs'!BJ13</f>
        <v>9.7756002408990919E-2</v>
      </c>
      <c r="K13" s="50">
        <f>'1. Strategy Calcs'!Y13 + '1. Strategy Calcs'!AF13 + '1. Strategy Calcs'!AM13 + '1. Strategy Calcs'!AT13 + '1. Strategy Calcs'!BA13 + '1. Strategy Calcs'!BH13 + '1. Strategy Calcs'!BK13</f>
        <v>9.7630400345005093</v>
      </c>
      <c r="L13" s="51">
        <f>K13*'Time Discounting'!C10</f>
        <v>8.4216840960544115</v>
      </c>
      <c r="M13" s="52">
        <f t="shared" si="25"/>
        <v>135292.27554677633</v>
      </c>
      <c r="N13" s="5">
        <f>'1. Strategy Calcs'!Z13 + '1. Strategy Calcs'!AG13 + '1. Strategy Calcs'!AN13 + '1. Strategy Calcs'!AU13 + '1. Strategy Calcs'!BB13 + '1. Strategy Calcs'!BI13</f>
        <v>0.85516435520696732</v>
      </c>
      <c r="O13">
        <f>N13*'Time Discounting'!D10</f>
        <v>0.73767228489374959</v>
      </c>
      <c r="P13" s="6">
        <f t="shared" si="26"/>
        <v>4.3521537621420441</v>
      </c>
      <c r="R13" s="14">
        <f t="shared" si="0"/>
        <v>1.0000000000000002</v>
      </c>
      <c r="T13" s="5">
        <f t="shared" si="27"/>
        <v>0.71188038689975308</v>
      </c>
      <c r="U13">
        <f t="shared" si="1"/>
        <v>0.71114458733185348</v>
      </c>
      <c r="V13">
        <f t="shared" si="2"/>
        <v>7.3579956789958487E-4</v>
      </c>
      <c r="W13" s="50">
        <f>0</f>
        <v>0</v>
      </c>
      <c r="X13" s="51">
        <f t="shared" si="3"/>
        <v>6.7502252359107917</v>
      </c>
      <c r="Y13" s="52">
        <f t="shared" si="4"/>
        <v>6.7502252359107917</v>
      </c>
      <c r="Z13" s="14">
        <f t="shared" si="28"/>
        <v>0.71188038689975308</v>
      </c>
      <c r="AA13" s="5">
        <f t="shared" si="29"/>
        <v>7.5668404761372349E-2</v>
      </c>
      <c r="AB13">
        <f t="shared" si="5"/>
        <v>7.5590193898210992E-2</v>
      </c>
      <c r="AC13">
        <f t="shared" si="6"/>
        <v>7.821086316135447E-5</v>
      </c>
      <c r="AD13" s="50">
        <f>0</f>
        <v>0</v>
      </c>
      <c r="AE13" s="51">
        <f t="shared" si="7"/>
        <v>0.71750645864226592</v>
      </c>
      <c r="AF13" s="52">
        <f t="shared" si="8"/>
        <v>0.71750645864226592</v>
      </c>
      <c r="AG13" s="14">
        <f t="shared" si="30"/>
        <v>7.5668404761372349E-2</v>
      </c>
      <c r="AH13" s="5">
        <f t="shared" si="31"/>
        <v>1.8917101190343087E-2</v>
      </c>
      <c r="AI13">
        <f t="shared" si="9"/>
        <v>1.8897548474552748E-2</v>
      </c>
      <c r="AJ13">
        <f t="shared" si="10"/>
        <v>1.9552715790338617E-5</v>
      </c>
      <c r="AK13" s="50">
        <f>0</f>
        <v>0</v>
      </c>
      <c r="AL13" s="51">
        <f t="shared" si="11"/>
        <v>0.17937661466056648</v>
      </c>
      <c r="AM13" s="52">
        <f t="shared" si="12"/>
        <v>0.17937661466056648</v>
      </c>
      <c r="AN13" s="14">
        <f t="shared" si="32"/>
        <v>1.324197083324016E-2</v>
      </c>
      <c r="AO13" s="5">
        <f t="shared" si="33"/>
        <v>1.1947642857058792E-2</v>
      </c>
      <c r="AP13">
        <f t="shared" si="13"/>
        <v>1.1935293773401736E-2</v>
      </c>
      <c r="AQ13">
        <f t="shared" si="14"/>
        <v>1.234908365705597E-5</v>
      </c>
      <c r="AR13" s="50">
        <f>0</f>
        <v>0</v>
      </c>
      <c r="AS13" s="51">
        <f t="shared" si="15"/>
        <v>0.11329049346983147</v>
      </c>
      <c r="AT13" s="52">
        <f t="shared" si="16"/>
        <v>0.11329049346983147</v>
      </c>
      <c r="AU13" s="14">
        <f t="shared" si="34"/>
        <v>7.2880621428058632E-3</v>
      </c>
      <c r="AV13" s="5">
        <f t="shared" si="35"/>
        <v>6.3720761904313569E-2</v>
      </c>
      <c r="AW13">
        <f t="shared" si="17"/>
        <v>6.3654900124809274E-2</v>
      </c>
      <c r="AX13">
        <f t="shared" si="18"/>
        <v>6.5861779504298524E-5</v>
      </c>
      <c r="AY13" s="50">
        <f>0</f>
        <v>0</v>
      </c>
      <c r="AZ13" s="51">
        <f t="shared" si="19"/>
        <v>0.6042159651724347</v>
      </c>
      <c r="BA13" s="52">
        <f t="shared" si="20"/>
        <v>0.6042159651724347</v>
      </c>
      <c r="BB13" s="14">
        <f t="shared" si="36"/>
        <v>4.587894857110577E-2</v>
      </c>
      <c r="BC13" s="5">
        <f t="shared" si="37"/>
        <v>2.0109699978168468E-2</v>
      </c>
      <c r="BD13">
        <f t="shared" si="21"/>
        <v>1.9957266441363954E-2</v>
      </c>
      <c r="BE13">
        <f t="shared" si="22"/>
        <v>1.5243353680451476E-4</v>
      </c>
      <c r="BF13" s="50">
        <f>0</f>
        <v>0</v>
      </c>
      <c r="BG13" s="51">
        <f t="shared" si="23"/>
        <v>1.3984252666446184</v>
      </c>
      <c r="BH13" s="52">
        <f t="shared" si="24"/>
        <v>1.3984252666446184</v>
      </c>
      <c r="BI13" s="14">
        <f t="shared" si="38"/>
        <v>1.206581998690108E-3</v>
      </c>
      <c r="BJ13" s="5">
        <f>0 + '1. Strategy Calcs'!V12 + '1. Strategy Calcs'!AC12 + '1. Strategy Calcs'!AJ12 + '1. Strategy Calcs'!AQ12 + '1. Strategy Calcs'!AX12 + '1. Strategy Calcs'!BE12 + BJ12</f>
        <v>9.7756002408990919E-2</v>
      </c>
      <c r="BK13" s="63">
        <f>0</f>
        <v>0</v>
      </c>
    </row>
    <row r="14" spans="2:63" x14ac:dyDescent="0.35">
      <c r="B14" s="14">
        <v>6</v>
      </c>
      <c r="D14" s="5">
        <f>'1. Strategy Calcs'!T14</f>
        <v>0.71114458733185348</v>
      </c>
      <c r="E14">
        <f>'1. Strategy Calcs'!AA14</f>
        <v>7.5590193898210992E-2</v>
      </c>
      <c r="F14">
        <f>'1. Strategy Calcs'!AH14</f>
        <v>1.8897548474552748E-2</v>
      </c>
      <c r="G14">
        <f>'1. Strategy Calcs'!AO14</f>
        <v>1.1935293773401736E-2</v>
      </c>
      <c r="H14">
        <f>'1. Strategy Calcs'!AV14</f>
        <v>6.3654900124809274E-2</v>
      </c>
      <c r="I14">
        <f>'1. Strategy Calcs'!BC14</f>
        <v>1.9957266441363954E-2</v>
      </c>
      <c r="J14" s="6">
        <f>'1. Strategy Calcs'!BJ14</f>
        <v>9.8820209955808064E-2</v>
      </c>
      <c r="K14" s="50">
        <f>'1. Strategy Calcs'!Y14 + '1. Strategy Calcs'!AF14 + '1. Strategy Calcs'!AM14 + '1. Strategy Calcs'!AT14 + '1. Strategy Calcs'!BA14 + '1. Strategy Calcs'!BH14 + '1. Strategy Calcs'!BK14</f>
        <v>9.8108940370661468</v>
      </c>
      <c r="L14" s="51">
        <f>K14*'Time Discounting'!C11</f>
        <v>8.21646930003444</v>
      </c>
      <c r="M14" s="52">
        <f t="shared" si="25"/>
        <v>135300.49201607637</v>
      </c>
      <c r="N14" s="5">
        <f>'1. Strategy Calcs'!Z14 + '1. Strategy Calcs'!AG14 + '1. Strategy Calcs'!AN14 + '1. Strategy Calcs'!AU14 + '1. Strategy Calcs'!BB14 + '1. Strategy Calcs'!BI14</f>
        <v>0.85427255844037087</v>
      </c>
      <c r="O14">
        <f>N14*'Time Discounting'!D11</f>
        <v>0.71543981861067774</v>
      </c>
      <c r="P14" s="6">
        <f t="shared" si="26"/>
        <v>5.0675935807527219</v>
      </c>
      <c r="R14" s="14">
        <f t="shared" si="0"/>
        <v>1.0000000000000002</v>
      </c>
      <c r="T14" s="5">
        <f t="shared" si="27"/>
        <v>0.71114458733185348</v>
      </c>
      <c r="U14">
        <f t="shared" si="1"/>
        <v>0.71041737087684798</v>
      </c>
      <c r="V14">
        <f t="shared" si="2"/>
        <v>7.2721645500555335E-4</v>
      </c>
      <c r="W14" s="50">
        <f>0</f>
        <v>0</v>
      </c>
      <c r="X14" s="51">
        <f t="shared" si="3"/>
        <v>6.6714837582209467</v>
      </c>
      <c r="Y14" s="52">
        <f t="shared" si="4"/>
        <v>6.6714837582209467</v>
      </c>
      <c r="Z14" s="14">
        <f t="shared" si="28"/>
        <v>0.71114458733185348</v>
      </c>
      <c r="AA14" s="5">
        <f t="shared" si="29"/>
        <v>7.5590193898210992E-2</v>
      </c>
      <c r="AB14">
        <f t="shared" si="5"/>
        <v>7.5512895365930685E-2</v>
      </c>
      <c r="AC14">
        <f t="shared" si="6"/>
        <v>7.7298532280310558E-5</v>
      </c>
      <c r="AD14" s="50">
        <f>0</f>
        <v>0</v>
      </c>
      <c r="AE14" s="51">
        <f t="shared" si="7"/>
        <v>0.7091367351395691</v>
      </c>
      <c r="AF14" s="52">
        <f t="shared" si="8"/>
        <v>0.7091367351395691</v>
      </c>
      <c r="AG14" s="14">
        <f t="shared" si="30"/>
        <v>7.5590193898210992E-2</v>
      </c>
      <c r="AH14" s="5">
        <f t="shared" si="31"/>
        <v>1.8897548474552748E-2</v>
      </c>
      <c r="AI14">
        <f t="shared" si="9"/>
        <v>1.8878223841482671E-2</v>
      </c>
      <c r="AJ14">
        <f t="shared" si="10"/>
        <v>1.9324633070077639E-5</v>
      </c>
      <c r="AK14" s="50">
        <f>0</f>
        <v>0</v>
      </c>
      <c r="AL14" s="51">
        <f t="shared" si="11"/>
        <v>0.17728418378489227</v>
      </c>
      <c r="AM14" s="52">
        <f t="shared" si="12"/>
        <v>0.17728418378489227</v>
      </c>
      <c r="AN14" s="14">
        <f t="shared" si="32"/>
        <v>1.3228283932186924E-2</v>
      </c>
      <c r="AO14" s="5">
        <f t="shared" si="33"/>
        <v>1.1935293773401736E-2</v>
      </c>
      <c r="AP14">
        <f t="shared" si="13"/>
        <v>1.1923088741989055E-2</v>
      </c>
      <c r="AQ14">
        <f t="shared" si="14"/>
        <v>1.2205031412680616E-5</v>
      </c>
      <c r="AR14" s="50">
        <f>0</f>
        <v>0</v>
      </c>
      <c r="AS14" s="51">
        <f t="shared" si="15"/>
        <v>0.11196895817993197</v>
      </c>
      <c r="AT14" s="52">
        <f t="shared" si="16"/>
        <v>0.11196895817993197</v>
      </c>
      <c r="AU14" s="14">
        <f t="shared" si="34"/>
        <v>7.2805292017750593E-3</v>
      </c>
      <c r="AV14" s="5">
        <f t="shared" si="35"/>
        <v>6.3654900124809274E-2</v>
      </c>
      <c r="AW14">
        <f t="shared" si="17"/>
        <v>6.3589806623941647E-2</v>
      </c>
      <c r="AX14">
        <f t="shared" si="18"/>
        <v>6.5093500867629972E-5</v>
      </c>
      <c r="AY14" s="50">
        <f>0</f>
        <v>0</v>
      </c>
      <c r="AZ14" s="51">
        <f t="shared" si="19"/>
        <v>0.59716777695963741</v>
      </c>
      <c r="BA14" s="52">
        <f t="shared" si="20"/>
        <v>0.59716777695963741</v>
      </c>
      <c r="BB14" s="14">
        <f t="shared" si="36"/>
        <v>4.5831528089862676E-2</v>
      </c>
      <c r="BC14" s="5">
        <f t="shared" si="37"/>
        <v>1.9957266441363954E-2</v>
      </c>
      <c r="BD14">
        <f t="shared" si="21"/>
        <v>1.9788980783550441E-2</v>
      </c>
      <c r="BE14">
        <f t="shared" si="22"/>
        <v>1.6828565781351325E-4</v>
      </c>
      <c r="BF14" s="50">
        <f>0</f>
        <v>0</v>
      </c>
      <c r="BG14" s="51">
        <f t="shared" si="23"/>
        <v>1.5438526247811706</v>
      </c>
      <c r="BH14" s="52">
        <f t="shared" si="24"/>
        <v>1.5438526247811706</v>
      </c>
      <c r="BI14" s="14">
        <f t="shared" si="38"/>
        <v>1.1974359864818371E-3</v>
      </c>
      <c r="BJ14" s="5">
        <f>0 + '1. Strategy Calcs'!V13 + '1. Strategy Calcs'!AC13 + '1. Strategy Calcs'!AJ13 + '1. Strategy Calcs'!AQ13 + '1. Strategy Calcs'!AX13 + '1. Strategy Calcs'!BE13 + BJ13</f>
        <v>9.8820209955808064E-2</v>
      </c>
      <c r="BK14" s="63">
        <f>0</f>
        <v>0</v>
      </c>
    </row>
    <row r="15" spans="2:63" x14ac:dyDescent="0.35">
      <c r="B15" s="14">
        <v>7</v>
      </c>
      <c r="D15" s="5">
        <f>'1. Strategy Calcs'!T15</f>
        <v>0.71041737087684798</v>
      </c>
      <c r="E15">
        <f>'1. Strategy Calcs'!AA15</f>
        <v>7.5512895365930685E-2</v>
      </c>
      <c r="F15">
        <f>'1. Strategy Calcs'!AH15</f>
        <v>1.8878223841482671E-2</v>
      </c>
      <c r="G15">
        <f>'1. Strategy Calcs'!AO15</f>
        <v>1.1923088741989055E-2</v>
      </c>
      <c r="H15">
        <f>'1. Strategy Calcs'!AV15</f>
        <v>6.3589806623941647E-2</v>
      </c>
      <c r="I15">
        <f>'1. Strategy Calcs'!BC15</f>
        <v>1.9788980783550441E-2</v>
      </c>
      <c r="J15" s="6">
        <f>'1. Strategy Calcs'!BJ15</f>
        <v>9.9889633766257827E-2</v>
      </c>
      <c r="K15" s="50">
        <f>'1. Strategy Calcs'!Y15 + '1. Strategy Calcs'!AF15 + '1. Strategy Calcs'!AM15 + '1. Strategy Calcs'!AT15 + '1. Strategy Calcs'!BA15 + '1. Strategy Calcs'!BH15 + '1. Strategy Calcs'!BK15</f>
        <v>9.7942758702221955</v>
      </c>
      <c r="L15" s="51">
        <f>K15*'Time Discounting'!C12</f>
        <v>7.9636425698327065</v>
      </c>
      <c r="M15" s="52">
        <f t="shared" si="25"/>
        <v>135308.45565864621</v>
      </c>
      <c r="N15" s="5">
        <f>'1. Strategy Calcs'!Z15 + '1. Strategy Calcs'!AG15 + '1. Strategy Calcs'!AN15 + '1. Strategy Calcs'!AU15 + '1. Strategy Calcs'!BB15 + '1. Strategy Calcs'!BI15</f>
        <v>0.85339010668068072</v>
      </c>
      <c r="O15">
        <f>N15*'Time Discounting'!D12</f>
        <v>0.69388425160646061</v>
      </c>
      <c r="P15" s="6">
        <f t="shared" si="26"/>
        <v>5.7614778323591826</v>
      </c>
      <c r="R15" s="14">
        <f t="shared" si="0"/>
        <v>1.0000000000000002</v>
      </c>
      <c r="T15" s="5">
        <f t="shared" si="27"/>
        <v>0.71041737087684798</v>
      </c>
      <c r="U15">
        <f t="shared" si="1"/>
        <v>0.70970489329559561</v>
      </c>
      <c r="V15">
        <f t="shared" si="2"/>
        <v>7.1247758125239083E-4</v>
      </c>
      <c r="W15" s="50">
        <f>0</f>
        <v>0</v>
      </c>
      <c r="X15" s="51">
        <f t="shared" si="3"/>
        <v>6.536269330409433</v>
      </c>
      <c r="Y15" s="52">
        <f t="shared" si="4"/>
        <v>6.536269330409433</v>
      </c>
      <c r="Z15" s="14">
        <f t="shared" si="28"/>
        <v>0.71041737087684798</v>
      </c>
      <c r="AA15" s="5">
        <f t="shared" si="29"/>
        <v>7.5512895365930685E-2</v>
      </c>
      <c r="AB15">
        <f t="shared" si="5"/>
        <v>7.5437163483168188E-2</v>
      </c>
      <c r="AC15">
        <f t="shared" si="6"/>
        <v>7.5731882762491873E-5</v>
      </c>
      <c r="AD15" s="50">
        <f>0</f>
        <v>0</v>
      </c>
      <c r="AE15" s="51">
        <f t="shared" si="7"/>
        <v>0.69476429246310045</v>
      </c>
      <c r="AF15" s="52">
        <f t="shared" si="8"/>
        <v>0.69476429246310045</v>
      </c>
      <c r="AG15" s="14">
        <f t="shared" si="30"/>
        <v>7.5512895365930685E-2</v>
      </c>
      <c r="AH15" s="5">
        <f t="shared" si="31"/>
        <v>1.8878223841482671E-2</v>
      </c>
      <c r="AI15">
        <f t="shared" si="9"/>
        <v>1.8859290870792047E-2</v>
      </c>
      <c r="AJ15">
        <f t="shared" si="10"/>
        <v>1.8932970690622968E-5</v>
      </c>
      <c r="AK15" s="50">
        <f>0</f>
        <v>0</v>
      </c>
      <c r="AL15" s="51">
        <f t="shared" si="11"/>
        <v>0.17369107311577511</v>
      </c>
      <c r="AM15" s="52">
        <f t="shared" si="12"/>
        <v>0.17369107311577511</v>
      </c>
      <c r="AN15" s="14">
        <f t="shared" si="32"/>
        <v>1.321475668903787E-2</v>
      </c>
      <c r="AO15" s="5">
        <f t="shared" si="33"/>
        <v>1.1923088741989055E-2</v>
      </c>
      <c r="AP15">
        <f t="shared" si="13"/>
        <v>1.1911131076289714E-2</v>
      </c>
      <c r="AQ15">
        <f t="shared" si="14"/>
        <v>1.1957665699340823E-5</v>
      </c>
      <c r="AR15" s="50">
        <f>0</f>
        <v>0</v>
      </c>
      <c r="AS15" s="51">
        <f t="shared" si="15"/>
        <v>0.10969962512575271</v>
      </c>
      <c r="AT15" s="52">
        <f t="shared" si="16"/>
        <v>0.10969962512575271</v>
      </c>
      <c r="AU15" s="14">
        <f t="shared" si="34"/>
        <v>7.2730841326133239E-3</v>
      </c>
      <c r="AV15" s="5">
        <f t="shared" si="35"/>
        <v>6.3589806623941647E-2</v>
      </c>
      <c r="AW15">
        <f t="shared" si="17"/>
        <v>6.3526032406878499E-2</v>
      </c>
      <c r="AX15">
        <f t="shared" si="18"/>
        <v>6.377421706315108E-5</v>
      </c>
      <c r="AY15" s="50">
        <f>0</f>
        <v>0</v>
      </c>
      <c r="AZ15" s="51">
        <f t="shared" si="19"/>
        <v>0.58506466733734797</v>
      </c>
      <c r="BA15" s="52">
        <f t="shared" si="20"/>
        <v>0.58506466733734797</v>
      </c>
      <c r="BB15" s="14">
        <f t="shared" si="36"/>
        <v>4.5784660769237984E-2</v>
      </c>
      <c r="BC15" s="5">
        <f t="shared" si="37"/>
        <v>1.9788980783550441E-2</v>
      </c>
      <c r="BD15">
        <f t="shared" si="21"/>
        <v>1.9604242732343683E-2</v>
      </c>
      <c r="BE15">
        <f t="shared" si="22"/>
        <v>1.8473805120675676E-4</v>
      </c>
      <c r="BF15" s="50">
        <f>0</f>
        <v>0</v>
      </c>
      <c r="BG15" s="51">
        <f t="shared" si="23"/>
        <v>1.6947868817707865</v>
      </c>
      <c r="BH15" s="52">
        <f t="shared" si="24"/>
        <v>1.6947868817707865</v>
      </c>
      <c r="BI15" s="14">
        <f t="shared" si="38"/>
        <v>1.1873388470130264E-3</v>
      </c>
      <c r="BJ15" s="5">
        <f>0 + '1. Strategy Calcs'!V14 + '1. Strategy Calcs'!AC14 + '1. Strategy Calcs'!AJ14 + '1. Strategy Calcs'!AQ14 + '1. Strategy Calcs'!AX14 + '1. Strategy Calcs'!BE14 + BJ14</f>
        <v>9.9889633766257827E-2</v>
      </c>
      <c r="BK15" s="63">
        <f>0</f>
        <v>0</v>
      </c>
    </row>
    <row r="16" spans="2:63" x14ac:dyDescent="0.35">
      <c r="B16" s="14">
        <v>8</v>
      </c>
      <c r="D16" s="5">
        <f>'1. Strategy Calcs'!T16</f>
        <v>0.70970489329559561</v>
      </c>
      <c r="E16">
        <f>'1. Strategy Calcs'!AA16</f>
        <v>7.5437163483168188E-2</v>
      </c>
      <c r="F16">
        <f>'1. Strategy Calcs'!AH16</f>
        <v>1.8859290870792047E-2</v>
      </c>
      <c r="G16">
        <f>'1. Strategy Calcs'!AO16</f>
        <v>1.1911131076289714E-2</v>
      </c>
      <c r="H16">
        <f>'1. Strategy Calcs'!AV16</f>
        <v>6.3526032406878499E-2</v>
      </c>
      <c r="I16">
        <f>'1. Strategy Calcs'!BC16</f>
        <v>1.9604242732343683E-2</v>
      </c>
      <c r="J16" s="6">
        <f>'1. Strategy Calcs'!BJ16</f>
        <v>0.10095724613493258</v>
      </c>
      <c r="K16" s="50">
        <f>'1. Strategy Calcs'!Y16 + '1. Strategy Calcs'!AF16 + '1. Strategy Calcs'!AM16 + '1. Strategy Calcs'!AT16 + '1. Strategy Calcs'!BA16 + '1. Strategy Calcs'!BH16 + '1. Strategy Calcs'!BK16</f>
        <v>9.8181679438073086</v>
      </c>
      <c r="L16" s="51">
        <f>K16*'Time Discounting'!C13</f>
        <v>7.7505524388865563</v>
      </c>
      <c r="M16" s="52">
        <f t="shared" si="25"/>
        <v>135316.20621108511</v>
      </c>
      <c r="N16" s="5">
        <f>'1. Strategy Calcs'!Z16 + '1. Strategy Calcs'!AG16 + '1. Strategy Calcs'!AN16 + '1. Strategy Calcs'!AU16 + '1. Strategy Calcs'!BB16 + '1. Strategy Calcs'!BI16</f>
        <v>0.85252434824174805</v>
      </c>
      <c r="O16">
        <f>N16*'Time Discounting'!D13</f>
        <v>0.67299059297950548</v>
      </c>
      <c r="P16" s="6">
        <f t="shared" si="26"/>
        <v>6.4344684253386877</v>
      </c>
      <c r="R16" s="14">
        <f t="shared" si="0"/>
        <v>1.0000000000000004</v>
      </c>
      <c r="T16" s="5">
        <f t="shared" si="27"/>
        <v>0.70970489329559561</v>
      </c>
      <c r="U16">
        <f t="shared" si="1"/>
        <v>0.70900264030367965</v>
      </c>
      <c r="V16">
        <f t="shared" si="2"/>
        <v>7.0225299191599183E-4</v>
      </c>
      <c r="W16" s="50">
        <f>0</f>
        <v>0</v>
      </c>
      <c r="X16" s="51">
        <f t="shared" si="3"/>
        <v>6.4424689478373089</v>
      </c>
      <c r="Y16" s="52">
        <f t="shared" si="4"/>
        <v>6.4424689478373089</v>
      </c>
      <c r="Z16" s="14">
        <f t="shared" si="28"/>
        <v>0.70970489329559561</v>
      </c>
      <c r="AA16" s="5">
        <f t="shared" si="29"/>
        <v>7.5437163483168188E-2</v>
      </c>
      <c r="AB16">
        <f t="shared" si="5"/>
        <v>7.5362518409901588E-2</v>
      </c>
      <c r="AC16">
        <f t="shared" si="6"/>
        <v>7.4645073266594913E-5</v>
      </c>
      <c r="AD16" s="50">
        <f>0</f>
        <v>0</v>
      </c>
      <c r="AE16" s="51">
        <f t="shared" si="7"/>
        <v>0.68479390214774172</v>
      </c>
      <c r="AF16" s="52">
        <f t="shared" si="8"/>
        <v>0.68479390214774172</v>
      </c>
      <c r="AG16" s="14">
        <f t="shared" si="30"/>
        <v>7.5437163483168188E-2</v>
      </c>
      <c r="AH16" s="5">
        <f t="shared" si="31"/>
        <v>1.8859290870792047E-2</v>
      </c>
      <c r="AI16">
        <f t="shared" si="9"/>
        <v>1.8840629602475397E-2</v>
      </c>
      <c r="AJ16">
        <f t="shared" si="10"/>
        <v>1.8661268316648728E-5</v>
      </c>
      <c r="AK16" s="50">
        <f>0</f>
        <v>0</v>
      </c>
      <c r="AL16" s="51">
        <f t="shared" si="11"/>
        <v>0.17119847553693543</v>
      </c>
      <c r="AM16" s="52">
        <f t="shared" si="12"/>
        <v>0.17119847553693543</v>
      </c>
      <c r="AN16" s="14">
        <f t="shared" si="32"/>
        <v>1.3201503609554433E-2</v>
      </c>
      <c r="AO16" s="5">
        <f t="shared" si="33"/>
        <v>1.1911131076289714E-2</v>
      </c>
      <c r="AP16">
        <f t="shared" si="13"/>
        <v>1.1899345012089725E-2</v>
      </c>
      <c r="AQ16">
        <f t="shared" si="14"/>
        <v>1.1786064199988672E-5</v>
      </c>
      <c r="AR16" s="50">
        <f>0</f>
        <v>0</v>
      </c>
      <c r="AS16" s="51">
        <f t="shared" si="15"/>
        <v>0.10812535297069607</v>
      </c>
      <c r="AT16" s="52">
        <f t="shared" si="16"/>
        <v>0.10812535297069607</v>
      </c>
      <c r="AU16" s="14">
        <f t="shared" si="34"/>
        <v>7.2657899565367256E-3</v>
      </c>
      <c r="AV16" s="5">
        <f t="shared" si="35"/>
        <v>6.3526032406878499E-2</v>
      </c>
      <c r="AW16">
        <f t="shared" si="17"/>
        <v>6.3463173397811892E-2</v>
      </c>
      <c r="AX16">
        <f t="shared" si="18"/>
        <v>6.2859009066606274E-5</v>
      </c>
      <c r="AY16" s="50">
        <f>0</f>
        <v>0</v>
      </c>
      <c r="AZ16" s="51">
        <f t="shared" si="19"/>
        <v>0.57666854917704591</v>
      </c>
      <c r="BA16" s="52">
        <f t="shared" si="20"/>
        <v>0.57666854917704591</v>
      </c>
      <c r="BB16" s="14">
        <f t="shared" si="36"/>
        <v>4.5738743332952518E-2</v>
      </c>
      <c r="BC16" s="5">
        <f t="shared" si="37"/>
        <v>1.9604242732343683E-2</v>
      </c>
      <c r="BD16">
        <f t="shared" si="21"/>
        <v>1.9404230445866946E-2</v>
      </c>
      <c r="BE16">
        <f t="shared" si="22"/>
        <v>2.0001228647673649E-4</v>
      </c>
      <c r="BF16" s="50">
        <f>0</f>
        <v>0</v>
      </c>
      <c r="BG16" s="51">
        <f t="shared" si="23"/>
        <v>1.8349127161375807</v>
      </c>
      <c r="BH16" s="52">
        <f t="shared" si="24"/>
        <v>1.8349127161375807</v>
      </c>
      <c r="BI16" s="14">
        <f t="shared" si="38"/>
        <v>1.176254563940621E-3</v>
      </c>
      <c r="BJ16" s="5">
        <f>0 + '1. Strategy Calcs'!V15 + '1. Strategy Calcs'!AC15 + '1. Strategy Calcs'!AJ15 + '1. Strategy Calcs'!AQ15 + '1. Strategy Calcs'!AX15 + '1. Strategy Calcs'!BE15 + BJ15</f>
        <v>0.10095724613493258</v>
      </c>
      <c r="BK16" s="63">
        <f>0</f>
        <v>0</v>
      </c>
    </row>
    <row r="17" spans="2:63" x14ac:dyDescent="0.35">
      <c r="B17" s="14">
        <v>9</v>
      </c>
      <c r="D17" s="5">
        <f>'1. Strategy Calcs'!T17</f>
        <v>0.70900264030367965</v>
      </c>
      <c r="E17">
        <f>'1. Strategy Calcs'!AA17</f>
        <v>7.5362518409901588E-2</v>
      </c>
      <c r="F17">
        <f>'1. Strategy Calcs'!AH17</f>
        <v>1.8840629602475397E-2</v>
      </c>
      <c r="G17">
        <f>'1. Strategy Calcs'!AO17</f>
        <v>1.1899345012089725E-2</v>
      </c>
      <c r="H17">
        <f>'1. Strategy Calcs'!AV17</f>
        <v>6.3463173397811892E-2</v>
      </c>
      <c r="I17">
        <f>'1. Strategy Calcs'!BC17</f>
        <v>1.9404230445866946E-2</v>
      </c>
      <c r="J17" s="6">
        <f>'1. Strategy Calcs'!BJ17</f>
        <v>0.10202746282817515</v>
      </c>
      <c r="K17" s="50">
        <f>'1. Strategy Calcs'!Y17 + '1. Strategy Calcs'!AF17 + '1. Strategy Calcs'!AM17 + '1. Strategy Calcs'!AT17 + '1. Strategy Calcs'!BA17 + '1. Strategy Calcs'!BH17 + '1. Strategy Calcs'!BK17</f>
        <v>9.2683029271783397</v>
      </c>
      <c r="L17" s="51">
        <f>K17*'Time Discounting'!C14</f>
        <v>7.1033824438188962</v>
      </c>
      <c r="M17" s="52">
        <f t="shared" si="25"/>
        <v>135323.30959352892</v>
      </c>
      <c r="N17" s="5">
        <f>'1. Strategy Calcs'!Z17 + '1. Strategy Calcs'!AG17 + '1. Strategy Calcs'!AN17 + '1. Strategy Calcs'!AU17 + '1. Strategy Calcs'!BB17 + '1. Strategy Calcs'!BI17</f>
        <v>0.85166993856586526</v>
      </c>
      <c r="O17">
        <f>N17*'Time Discounting'!D14</f>
        <v>0.65273409135094795</v>
      </c>
      <c r="P17" s="6">
        <f t="shared" si="26"/>
        <v>7.0872025166896355</v>
      </c>
      <c r="R17" s="14">
        <f t="shared" si="0"/>
        <v>1.0000000000000004</v>
      </c>
      <c r="T17" s="5">
        <f t="shared" si="27"/>
        <v>0.70900264030367965</v>
      </c>
      <c r="U17">
        <f t="shared" si="1"/>
        <v>0.70830604520958129</v>
      </c>
      <c r="V17">
        <f t="shared" si="2"/>
        <v>6.9659509409836532E-4</v>
      </c>
      <c r="W17" s="50">
        <f>0</f>
        <v>0</v>
      </c>
      <c r="X17" s="51">
        <f t="shared" si="3"/>
        <v>6.3905633932584038</v>
      </c>
      <c r="Y17" s="52">
        <f t="shared" si="4"/>
        <v>6.3905633932584038</v>
      </c>
      <c r="Z17" s="14">
        <f t="shared" si="28"/>
        <v>0.70900264030367965</v>
      </c>
      <c r="AA17" s="5">
        <f t="shared" si="29"/>
        <v>7.5362518409901588E-2</v>
      </c>
      <c r="AB17">
        <f t="shared" si="5"/>
        <v>7.5288474735563854E-2</v>
      </c>
      <c r="AC17">
        <f t="shared" si="6"/>
        <v>7.4043674337728312E-5</v>
      </c>
      <c r="AD17" s="50">
        <f>0</f>
        <v>0</v>
      </c>
      <c r="AE17" s="51">
        <f t="shared" si="7"/>
        <v>0.67927666837431955</v>
      </c>
      <c r="AF17" s="52">
        <f t="shared" si="8"/>
        <v>0.67927666837431955</v>
      </c>
      <c r="AG17" s="14">
        <f t="shared" si="30"/>
        <v>7.5362518409901588E-2</v>
      </c>
      <c r="AH17" s="5">
        <f t="shared" si="31"/>
        <v>1.8840629602475397E-2</v>
      </c>
      <c r="AI17">
        <f t="shared" si="9"/>
        <v>1.8822118683890963E-2</v>
      </c>
      <c r="AJ17">
        <f t="shared" si="10"/>
        <v>1.8510918584432078E-5</v>
      </c>
      <c r="AK17" s="50">
        <f>0</f>
        <v>0</v>
      </c>
      <c r="AL17" s="51">
        <f t="shared" si="11"/>
        <v>0.16981916709357989</v>
      </c>
      <c r="AM17" s="52">
        <f t="shared" si="12"/>
        <v>0.16981916709357989</v>
      </c>
      <c r="AN17" s="14">
        <f t="shared" si="32"/>
        <v>1.3188440721732777E-2</v>
      </c>
      <c r="AO17" s="5">
        <f t="shared" si="33"/>
        <v>1.1899345012089725E-2</v>
      </c>
      <c r="AP17">
        <f t="shared" si="13"/>
        <v>1.1887653905615348E-2</v>
      </c>
      <c r="AQ17">
        <f t="shared" si="14"/>
        <v>1.1691106474378156E-5</v>
      </c>
      <c r="AR17" s="50">
        <f>0</f>
        <v>0</v>
      </c>
      <c r="AS17" s="51">
        <f t="shared" si="15"/>
        <v>0.1072542107959452</v>
      </c>
      <c r="AT17" s="52">
        <f t="shared" si="16"/>
        <v>0.1072542107959452</v>
      </c>
      <c r="AU17" s="14">
        <f t="shared" si="34"/>
        <v>7.2586004573747323E-3</v>
      </c>
      <c r="AV17" s="5">
        <f t="shared" si="35"/>
        <v>6.3463173397811892E-2</v>
      </c>
      <c r="AW17">
        <f t="shared" si="17"/>
        <v>6.3400820829948537E-2</v>
      </c>
      <c r="AX17">
        <f t="shared" si="18"/>
        <v>6.235256786335019E-5</v>
      </c>
      <c r="AY17" s="50">
        <f>0</f>
        <v>0</v>
      </c>
      <c r="AZ17" s="51">
        <f t="shared" si="19"/>
        <v>0.57202245757837467</v>
      </c>
      <c r="BA17" s="52">
        <f t="shared" si="20"/>
        <v>0.57202245757837467</v>
      </c>
      <c r="BB17" s="14">
        <f t="shared" si="36"/>
        <v>4.5693484846424562E-2</v>
      </c>
      <c r="BC17" s="5">
        <f t="shared" si="37"/>
        <v>1.9404230445866946E-2</v>
      </c>
      <c r="BD17">
        <f t="shared" si="21"/>
        <v>1.925714443866423E-2</v>
      </c>
      <c r="BE17">
        <f t="shared" si="22"/>
        <v>1.4708600720271604E-4</v>
      </c>
      <c r="BF17" s="50">
        <f>0</f>
        <v>0</v>
      </c>
      <c r="BG17" s="51">
        <f t="shared" si="23"/>
        <v>1.349367030077717</v>
      </c>
      <c r="BH17" s="52">
        <f t="shared" si="24"/>
        <v>1.349367030077717</v>
      </c>
      <c r="BI17" s="14">
        <f t="shared" si="38"/>
        <v>1.1642538267520167E-3</v>
      </c>
      <c r="BJ17" s="5">
        <f>0 + '1. Strategy Calcs'!V16 + '1. Strategy Calcs'!AC16 + '1. Strategy Calcs'!AJ16 + '1. Strategy Calcs'!AQ16 + '1. Strategy Calcs'!AX16 + '1. Strategy Calcs'!BE16 + BJ16</f>
        <v>0.10202746282817515</v>
      </c>
      <c r="BK17" s="63">
        <f>0</f>
        <v>0</v>
      </c>
    </row>
    <row r="18" spans="2:63" x14ac:dyDescent="0.35">
      <c r="B18" s="14">
        <v>10</v>
      </c>
      <c r="D18" s="5">
        <f>'1. Strategy Calcs'!T18</f>
        <v>0.70830604520958129</v>
      </c>
      <c r="E18">
        <f>'1. Strategy Calcs'!AA18</f>
        <v>7.5288474735563854E-2</v>
      </c>
      <c r="F18">
        <f>'1. Strategy Calcs'!AH18</f>
        <v>1.8822118683890963E-2</v>
      </c>
      <c r="G18">
        <f>'1. Strategy Calcs'!AO18</f>
        <v>1.1887653905615348E-2</v>
      </c>
      <c r="H18">
        <f>'1. Strategy Calcs'!AV18</f>
        <v>6.3400820829948537E-2</v>
      </c>
      <c r="I18">
        <f>'1. Strategy Calcs'!BC18</f>
        <v>1.925714443866423E-2</v>
      </c>
      <c r="J18" s="6">
        <f>'1. Strategy Calcs'!BJ18</f>
        <v>0.10303774219673613</v>
      </c>
      <c r="K18" s="50">
        <f>'1. Strategy Calcs'!Y18 + '1. Strategy Calcs'!AF18 + '1. Strategy Calcs'!AM18 + '1. Strategy Calcs'!AT18 + '1. Strategy Calcs'!BA18 + '1. Strategy Calcs'!BH18 + '1. Strategy Calcs'!BK18</f>
        <v>9.294580602539785</v>
      </c>
      <c r="L18" s="51">
        <f>K18*'Time Discounting'!C15</f>
        <v>6.9160408678669913</v>
      </c>
      <c r="M18" s="52">
        <f t="shared" si="25"/>
        <v>135330.22563439677</v>
      </c>
      <c r="N18" s="5">
        <f>'1. Strategy Calcs'!Z18 + '1. Strategy Calcs'!AG18 + '1. Strategy Calcs'!AN18 + '1. Strategy Calcs'!AU18 + '1. Strategy Calcs'!BB18 + '1. Strategy Calcs'!BI18</f>
        <v>0.85082549157017695</v>
      </c>
      <c r="O18">
        <f>N18*'Time Discounting'!D15</f>
        <v>0.63309407091638359</v>
      </c>
      <c r="P18" s="6">
        <f t="shared" si="26"/>
        <v>7.7202965876060192</v>
      </c>
      <c r="R18" s="14">
        <f t="shared" si="0"/>
        <v>1.0000000000000004</v>
      </c>
      <c r="T18" s="5">
        <f t="shared" si="27"/>
        <v>0.70830604520958129</v>
      </c>
      <c r="U18">
        <f t="shared" si="1"/>
        <v>0.7076062388369142</v>
      </c>
      <c r="V18">
        <f t="shared" si="2"/>
        <v>6.9980637266706645E-4</v>
      </c>
      <c r="W18" s="50">
        <f>0</f>
        <v>0</v>
      </c>
      <c r="X18" s="51">
        <f t="shared" si="3"/>
        <v>6.4200236628476679</v>
      </c>
      <c r="Y18" s="52">
        <f t="shared" si="4"/>
        <v>6.4200236628476679</v>
      </c>
      <c r="Z18" s="14">
        <f t="shared" si="28"/>
        <v>0.70830604520958129</v>
      </c>
      <c r="AA18" s="5">
        <f t="shared" si="29"/>
        <v>7.5288474735563854E-2</v>
      </c>
      <c r="AB18">
        <f t="shared" si="5"/>
        <v>7.5214089722525121E-2</v>
      </c>
      <c r="AC18">
        <f t="shared" si="6"/>
        <v>7.4385013038737096E-5</v>
      </c>
      <c r="AD18" s="50">
        <f>0</f>
        <v>0</v>
      </c>
      <c r="AE18" s="51">
        <f t="shared" si="7"/>
        <v>0.68240810961737408</v>
      </c>
      <c r="AF18" s="52">
        <f t="shared" si="8"/>
        <v>0.68240810961737408</v>
      </c>
      <c r="AG18" s="14">
        <f t="shared" si="30"/>
        <v>7.5288474735563854E-2</v>
      </c>
      <c r="AH18" s="5">
        <f t="shared" si="31"/>
        <v>1.8822118683890963E-2</v>
      </c>
      <c r="AI18">
        <f t="shared" si="9"/>
        <v>1.880352243063128E-2</v>
      </c>
      <c r="AJ18">
        <f t="shared" si="10"/>
        <v>1.8596253259684274E-5</v>
      </c>
      <c r="AK18" s="50">
        <f>0</f>
        <v>0</v>
      </c>
      <c r="AL18" s="51">
        <f t="shared" si="11"/>
        <v>0.17060202740434352</v>
      </c>
      <c r="AM18" s="52">
        <f t="shared" si="12"/>
        <v>0.17060202740434352</v>
      </c>
      <c r="AN18" s="14">
        <f t="shared" si="32"/>
        <v>1.3175483078723673E-2</v>
      </c>
      <c r="AO18" s="5">
        <f t="shared" si="33"/>
        <v>1.1887653905615348E-2</v>
      </c>
      <c r="AP18">
        <f t="shared" si="13"/>
        <v>1.18759089035566E-2</v>
      </c>
      <c r="AQ18">
        <f t="shared" si="14"/>
        <v>1.1745002058747966E-5</v>
      </c>
      <c r="AR18" s="50">
        <f>0</f>
        <v>0</v>
      </c>
      <c r="AS18" s="51">
        <f t="shared" si="15"/>
        <v>0.10774864888695385</v>
      </c>
      <c r="AT18" s="52">
        <f t="shared" si="16"/>
        <v>0.10774864888695385</v>
      </c>
      <c r="AU18" s="14">
        <f t="shared" si="34"/>
        <v>7.2514688824253624E-3</v>
      </c>
      <c r="AV18" s="5">
        <f t="shared" si="35"/>
        <v>6.3400820829948537E-2</v>
      </c>
      <c r="AW18">
        <f t="shared" si="17"/>
        <v>6.3338180818968554E-2</v>
      </c>
      <c r="AX18">
        <f t="shared" si="18"/>
        <v>6.2640010979989158E-5</v>
      </c>
      <c r="AY18" s="50">
        <f>0</f>
        <v>0</v>
      </c>
      <c r="AZ18" s="51">
        <f t="shared" si="19"/>
        <v>0.57465946073042051</v>
      </c>
      <c r="BA18" s="52">
        <f t="shared" si="20"/>
        <v>0.57465946073042051</v>
      </c>
      <c r="BB18" s="14">
        <f t="shared" si="36"/>
        <v>4.5648590997562945E-2</v>
      </c>
      <c r="BC18" s="5">
        <f t="shared" si="37"/>
        <v>1.925714443866423E-2</v>
      </c>
      <c r="BD18">
        <f t="shared" si="21"/>
        <v>1.9111173358104711E-2</v>
      </c>
      <c r="BE18">
        <f t="shared" si="22"/>
        <v>1.4597108055951877E-4</v>
      </c>
      <c r="BF18" s="50">
        <f>0</f>
        <v>0</v>
      </c>
      <c r="BG18" s="51">
        <f t="shared" si="23"/>
        <v>1.3391386930530251</v>
      </c>
      <c r="BH18" s="52">
        <f t="shared" si="24"/>
        <v>1.3391386930530251</v>
      </c>
      <c r="BI18" s="14">
        <f t="shared" si="38"/>
        <v>1.1554286663198537E-3</v>
      </c>
      <c r="BJ18" s="5">
        <f>0 + '1. Strategy Calcs'!V17 + '1. Strategy Calcs'!AC17 + '1. Strategy Calcs'!AJ17 + '1. Strategy Calcs'!AQ17 + '1. Strategy Calcs'!AX17 + '1. Strategy Calcs'!BE17 + BJ17</f>
        <v>0.10303774219673613</v>
      </c>
      <c r="BK18" s="63">
        <f>0</f>
        <v>0</v>
      </c>
    </row>
    <row r="19" spans="2:63" x14ac:dyDescent="0.35">
      <c r="B19" s="14">
        <v>11</v>
      </c>
      <c r="D19" s="5">
        <f>'1. Strategy Calcs'!T19</f>
        <v>0.7076062388369142</v>
      </c>
      <c r="E19">
        <f>'1. Strategy Calcs'!AA19</f>
        <v>7.5214089722525121E-2</v>
      </c>
      <c r="F19">
        <f>'1. Strategy Calcs'!AH19</f>
        <v>1.880352243063128E-2</v>
      </c>
      <c r="G19">
        <f>'1. Strategy Calcs'!AO19</f>
        <v>1.18759089035566E-2</v>
      </c>
      <c r="H19">
        <f>'1. Strategy Calcs'!AV19</f>
        <v>6.3338180818968554E-2</v>
      </c>
      <c r="I19">
        <f>'1. Strategy Calcs'!BC19</f>
        <v>1.9111173358104711E-2</v>
      </c>
      <c r="J19" s="6">
        <f>'1. Strategy Calcs'!BJ19</f>
        <v>0.10405088592929987</v>
      </c>
      <c r="K19" s="50">
        <f>'1. Strategy Calcs'!Y19 + '1. Strategy Calcs'!AF19 + '1. Strategy Calcs'!AM19 + '1. Strategy Calcs'!AT19 + '1. Strategy Calcs'!BA19 + '1. Strategy Calcs'!BH19 + '1. Strategy Calcs'!BK19</f>
        <v>9.5659500925097092</v>
      </c>
      <c r="L19" s="51">
        <f>K19*'Time Discounting'!C16</f>
        <v>6.9106458777109125</v>
      </c>
      <c r="M19" s="52">
        <f t="shared" si="25"/>
        <v>135337.13628027448</v>
      </c>
      <c r="N19" s="5">
        <f>'1. Strategy Calcs'!Z19 + '1. Strategy Calcs'!AG19 + '1. Strategy Calcs'!AN19 + '1. Strategy Calcs'!AU19 + '1. Strategy Calcs'!BB19 + '1. Strategy Calcs'!BI19</f>
        <v>0.84997725928319434</v>
      </c>
      <c r="O19">
        <f>N19*'Time Discounting'!D16</f>
        <v>0.61404165673128241</v>
      </c>
      <c r="P19" s="6">
        <f t="shared" si="26"/>
        <v>8.3343382443373013</v>
      </c>
      <c r="R19" s="14">
        <f t="shared" si="0"/>
        <v>1.0000000000000004</v>
      </c>
      <c r="T19" s="5">
        <f t="shared" si="27"/>
        <v>0.7076062388369142</v>
      </c>
      <c r="U19">
        <f t="shared" si="1"/>
        <v>0.70689481152438749</v>
      </c>
      <c r="V19">
        <f t="shared" si="2"/>
        <v>7.1142731252663352E-4</v>
      </c>
      <c r="W19" s="50">
        <f>0</f>
        <v>0</v>
      </c>
      <c r="X19" s="51">
        <f t="shared" si="3"/>
        <v>6.5266341651193356</v>
      </c>
      <c r="Y19" s="52">
        <f t="shared" si="4"/>
        <v>6.5266341651193356</v>
      </c>
      <c r="Z19" s="14">
        <f t="shared" si="28"/>
        <v>0.7076062388369142</v>
      </c>
      <c r="AA19" s="5">
        <f t="shared" si="29"/>
        <v>7.5214089722525121E-2</v>
      </c>
      <c r="AB19">
        <f t="shared" si="5"/>
        <v>7.5138469476718095E-2</v>
      </c>
      <c r="AC19">
        <f t="shared" si="6"/>
        <v>7.5620245807026762E-5</v>
      </c>
      <c r="AD19" s="50">
        <f>0</f>
        <v>0</v>
      </c>
      <c r="AE19" s="51">
        <f t="shared" si="7"/>
        <v>0.6937401350336635</v>
      </c>
      <c r="AF19" s="52">
        <f t="shared" si="8"/>
        <v>0.6937401350336635</v>
      </c>
      <c r="AG19" s="14">
        <f t="shared" si="30"/>
        <v>7.5214089722525121E-2</v>
      </c>
      <c r="AH19" s="5">
        <f t="shared" si="31"/>
        <v>1.880352243063128E-2</v>
      </c>
      <c r="AI19">
        <f t="shared" si="9"/>
        <v>1.8784617369179524E-2</v>
      </c>
      <c r="AJ19">
        <f t="shared" si="10"/>
        <v>1.8905061451756691E-5</v>
      </c>
      <c r="AK19" s="50">
        <f>0</f>
        <v>0</v>
      </c>
      <c r="AL19" s="51">
        <f t="shared" si="11"/>
        <v>0.17343503375841587</v>
      </c>
      <c r="AM19" s="52">
        <f t="shared" si="12"/>
        <v>0.17343503375841587</v>
      </c>
      <c r="AN19" s="14">
        <f t="shared" si="32"/>
        <v>1.3162465701441896E-2</v>
      </c>
      <c r="AO19" s="5">
        <f t="shared" si="33"/>
        <v>1.18759089035566E-2</v>
      </c>
      <c r="AP19">
        <f t="shared" si="13"/>
        <v>1.1863968864744964E-2</v>
      </c>
      <c r="AQ19">
        <f t="shared" si="14"/>
        <v>1.1940038811635806E-5</v>
      </c>
      <c r="AR19" s="50">
        <f>0</f>
        <v>0</v>
      </c>
      <c r="AS19" s="51">
        <f t="shared" si="15"/>
        <v>0.10953791605794688</v>
      </c>
      <c r="AT19" s="52">
        <f t="shared" si="16"/>
        <v>0.10953791605794688</v>
      </c>
      <c r="AU19" s="14">
        <f t="shared" si="34"/>
        <v>7.2443044311695263E-3</v>
      </c>
      <c r="AV19" s="5">
        <f t="shared" si="35"/>
        <v>6.3338180818968554E-2</v>
      </c>
      <c r="AW19">
        <f t="shared" si="17"/>
        <v>6.3274500611973164E-2</v>
      </c>
      <c r="AX19">
        <f t="shared" si="18"/>
        <v>6.3680206995390989E-5</v>
      </c>
      <c r="AY19" s="50">
        <f>0</f>
        <v>0</v>
      </c>
      <c r="AZ19" s="51">
        <f t="shared" si="19"/>
        <v>0.58420221897571689</v>
      </c>
      <c r="BA19" s="52">
        <f t="shared" si="20"/>
        <v>0.58420221897571689</v>
      </c>
      <c r="BB19" s="14">
        <f t="shared" si="36"/>
        <v>4.5603490189657356E-2</v>
      </c>
      <c r="BC19" s="5">
        <f t="shared" si="37"/>
        <v>1.9111173358104711E-2</v>
      </c>
      <c r="BD19">
        <f t="shared" si="21"/>
        <v>1.8950022210997165E-2</v>
      </c>
      <c r="BE19">
        <f t="shared" si="22"/>
        <v>1.6115114710754636E-4</v>
      </c>
      <c r="BF19" s="50">
        <f>0</f>
        <v>0</v>
      </c>
      <c r="BG19" s="51">
        <f t="shared" si="23"/>
        <v>1.4784006235646303</v>
      </c>
      <c r="BH19" s="52">
        <f t="shared" si="24"/>
        <v>1.4784006235646303</v>
      </c>
      <c r="BI19" s="14">
        <f t="shared" si="38"/>
        <v>1.1466704014862826E-3</v>
      </c>
      <c r="BJ19" s="5">
        <f>0 + '1. Strategy Calcs'!V18 + '1. Strategy Calcs'!AC18 + '1. Strategy Calcs'!AJ18 + '1. Strategy Calcs'!AQ18 + '1. Strategy Calcs'!AX18 + '1. Strategy Calcs'!BE18 + BJ18</f>
        <v>0.10405088592929987</v>
      </c>
      <c r="BK19" s="63">
        <f>0</f>
        <v>0</v>
      </c>
    </row>
    <row r="20" spans="2:63" x14ac:dyDescent="0.35">
      <c r="B20" s="14">
        <v>12</v>
      </c>
      <c r="D20" s="5">
        <f>'1. Strategy Calcs'!T20</f>
        <v>0.70689481152438749</v>
      </c>
      <c r="E20">
        <f>'1. Strategy Calcs'!AA20</f>
        <v>7.5138469476718095E-2</v>
      </c>
      <c r="F20">
        <f>'1. Strategy Calcs'!AH20</f>
        <v>1.8784617369179524E-2</v>
      </c>
      <c r="G20">
        <f>'1. Strategy Calcs'!AO20</f>
        <v>1.1863968864744964E-2</v>
      </c>
      <c r="H20">
        <f>'1. Strategy Calcs'!AV20</f>
        <v>6.3274500611973164E-2</v>
      </c>
      <c r="I20">
        <f>'1. Strategy Calcs'!BC20</f>
        <v>1.8950022210997165E-2</v>
      </c>
      <c r="J20" s="6">
        <f>'1. Strategy Calcs'!BJ20</f>
        <v>0.10509360994199986</v>
      </c>
      <c r="K20" s="50">
        <f>'1. Strategy Calcs'!Y20 + '1. Strategy Calcs'!AF20 + '1. Strategy Calcs'!AM20 + '1. Strategy Calcs'!AT20 + '1. Strategy Calcs'!BA20 + '1. Strategy Calcs'!BH20 + '1. Strategy Calcs'!BK20</f>
        <v>9.9008440191946541</v>
      </c>
      <c r="L20" s="51">
        <f>K20*'Time Discounting'!C17</f>
        <v>6.9442527919920627</v>
      </c>
      <c r="M20" s="52">
        <f t="shared" si="25"/>
        <v>135344.08053306647</v>
      </c>
      <c r="N20" s="5">
        <f>'1. Strategy Calcs'!Z20 + '1. Strategy Calcs'!AG20 + '1. Strategy Calcs'!AN20 + '1. Strategy Calcs'!AU20 + '1. Strategy Calcs'!BB20 + '1. Strategy Calcs'!BI20</f>
        <v>0.84911417594030625</v>
      </c>
      <c r="O20">
        <f>N20*'Time Discounting'!D17</f>
        <v>0.59555159899116716</v>
      </c>
      <c r="P20" s="6">
        <f t="shared" si="26"/>
        <v>8.9298898433284677</v>
      </c>
      <c r="R20" s="14">
        <f t="shared" si="0"/>
        <v>1.0000000000000002</v>
      </c>
      <c r="T20" s="5">
        <f t="shared" si="27"/>
        <v>0.70689481152438749</v>
      </c>
      <c r="U20">
        <f t="shared" si="1"/>
        <v>0.70616663917903622</v>
      </c>
      <c r="V20">
        <f t="shared" si="2"/>
        <v>7.2817234535127147E-4</v>
      </c>
      <c r="W20" s="50">
        <f>0</f>
        <v>0</v>
      </c>
      <c r="X20" s="51">
        <f t="shared" si="3"/>
        <v>6.6802530962525646</v>
      </c>
      <c r="Y20" s="52">
        <f t="shared" si="4"/>
        <v>6.6802530962525646</v>
      </c>
      <c r="Z20" s="14">
        <f t="shared" si="28"/>
        <v>0.70689481152438749</v>
      </c>
      <c r="AA20" s="5">
        <f t="shared" si="29"/>
        <v>7.5138469476718095E-2</v>
      </c>
      <c r="AB20">
        <f t="shared" si="5"/>
        <v>7.506106933931013E-2</v>
      </c>
      <c r="AC20">
        <f t="shared" si="6"/>
        <v>7.7400137407967299E-5</v>
      </c>
      <c r="AD20" s="50">
        <f>0</f>
        <v>0</v>
      </c>
      <c r="AE20" s="51">
        <f t="shared" si="7"/>
        <v>0.71006886058069196</v>
      </c>
      <c r="AF20" s="52">
        <f t="shared" si="8"/>
        <v>0.71006886058069196</v>
      </c>
      <c r="AG20" s="14">
        <f t="shared" si="30"/>
        <v>7.5138469476718095E-2</v>
      </c>
      <c r="AH20" s="5">
        <f t="shared" si="31"/>
        <v>1.8784617369179524E-2</v>
      </c>
      <c r="AI20">
        <f t="shared" si="9"/>
        <v>1.8765267334827532E-2</v>
      </c>
      <c r="AJ20">
        <f t="shared" si="10"/>
        <v>1.9350034351991825E-5</v>
      </c>
      <c r="AK20" s="50">
        <f>0</f>
        <v>0</v>
      </c>
      <c r="AL20" s="51">
        <f t="shared" si="11"/>
        <v>0.17751721514517299</v>
      </c>
      <c r="AM20" s="52">
        <f t="shared" si="12"/>
        <v>0.17751721514517299</v>
      </c>
      <c r="AN20" s="14">
        <f t="shared" si="32"/>
        <v>1.3149232158425665E-2</v>
      </c>
      <c r="AO20" s="5">
        <f t="shared" si="33"/>
        <v>1.1863968864744964E-2</v>
      </c>
      <c r="AP20">
        <f t="shared" si="13"/>
        <v>1.1851747790417391E-2</v>
      </c>
      <c r="AQ20">
        <f t="shared" si="14"/>
        <v>1.2221074327573786E-5</v>
      </c>
      <c r="AR20" s="50">
        <f>0</f>
        <v>0</v>
      </c>
      <c r="AS20" s="51">
        <f t="shared" si="15"/>
        <v>0.11211613588116191</v>
      </c>
      <c r="AT20" s="52">
        <f t="shared" si="16"/>
        <v>0.11211613588116191</v>
      </c>
      <c r="AU20" s="14">
        <f t="shared" si="34"/>
        <v>7.2370210074944276E-3</v>
      </c>
      <c r="AV20" s="5">
        <f t="shared" si="35"/>
        <v>6.3274500611973164E-2</v>
      </c>
      <c r="AW20">
        <f t="shared" si="17"/>
        <v>6.3209321548892763E-2</v>
      </c>
      <c r="AX20">
        <f t="shared" si="18"/>
        <v>6.517906308039355E-5</v>
      </c>
      <c r="AY20" s="50">
        <f>0</f>
        <v>0</v>
      </c>
      <c r="AZ20" s="51">
        <f t="shared" si="19"/>
        <v>0.59795272469953042</v>
      </c>
      <c r="BA20" s="52">
        <f t="shared" si="20"/>
        <v>0.59795272469953042</v>
      </c>
      <c r="BB20" s="14">
        <f t="shared" si="36"/>
        <v>4.5557640440620675E-2</v>
      </c>
      <c r="BC20" s="5">
        <f t="shared" si="37"/>
        <v>1.8950022210997165E-2</v>
      </c>
      <c r="BD20">
        <f t="shared" si="21"/>
        <v>1.8773116173648623E-2</v>
      </c>
      <c r="BE20">
        <f t="shared" si="22"/>
        <v>1.7690603734854294E-4</v>
      </c>
      <c r="BF20" s="50">
        <f>0</f>
        <v>0</v>
      </c>
      <c r="BG20" s="51">
        <f t="shared" si="23"/>
        <v>1.6229359866355328</v>
      </c>
      <c r="BH20" s="52">
        <f t="shared" si="24"/>
        <v>1.6229359866355328</v>
      </c>
      <c r="BI20" s="14">
        <f t="shared" si="38"/>
        <v>1.1370013326598299E-3</v>
      </c>
      <c r="BJ20" s="5">
        <f>0 + '1. Strategy Calcs'!V19 + '1. Strategy Calcs'!AC19 + '1. Strategy Calcs'!AJ19 + '1. Strategy Calcs'!AQ19 + '1. Strategy Calcs'!AX19 + '1. Strategy Calcs'!BE19 + BJ19</f>
        <v>0.10509360994199986</v>
      </c>
      <c r="BK20" s="63">
        <f>0</f>
        <v>0</v>
      </c>
    </row>
    <row r="21" spans="2:63" x14ac:dyDescent="0.35">
      <c r="B21" s="14">
        <v>13</v>
      </c>
      <c r="D21" s="5">
        <f>'1. Strategy Calcs'!T21</f>
        <v>0.70616663917903622</v>
      </c>
      <c r="E21">
        <f>'1. Strategy Calcs'!AA21</f>
        <v>7.506106933931013E-2</v>
      </c>
      <c r="F21">
        <f>'1. Strategy Calcs'!AH21</f>
        <v>1.8765267334827532E-2</v>
      </c>
      <c r="G21">
        <f>'1. Strategy Calcs'!AO21</f>
        <v>1.1851747790417391E-2</v>
      </c>
      <c r="H21">
        <f>'1. Strategy Calcs'!AV21</f>
        <v>6.3209321548892763E-2</v>
      </c>
      <c r="I21">
        <f>'1. Strategy Calcs'!BC21</f>
        <v>1.8773116173648623E-2</v>
      </c>
      <c r="J21" s="6">
        <f>'1. Strategy Calcs'!BJ21</f>
        <v>0.1061728386338676</v>
      </c>
      <c r="K21" s="50">
        <f>'1. Strategy Calcs'!Y21 + '1. Strategy Calcs'!AF21 + '1. Strategy Calcs'!AM21 + '1. Strategy Calcs'!AT21 + '1. Strategy Calcs'!BA21 + '1. Strategy Calcs'!BH21 + '1. Strategy Calcs'!BK21</f>
        <v>10.266531711976977</v>
      </c>
      <c r="L21" s="51">
        <f>K21*'Time Discounting'!C18</f>
        <v>6.9910085263531778</v>
      </c>
      <c r="M21" s="52">
        <f t="shared" si="25"/>
        <v>135351.07154159283</v>
      </c>
      <c r="N21" s="5">
        <f>'1. Strategy Calcs'!Z21 + '1. Strategy Calcs'!AG21 + '1. Strategy Calcs'!AN21 + '1. Strategy Calcs'!AU21 + '1. Strategy Calcs'!BB21 + '1. Strategy Calcs'!BI21</f>
        <v>0.84823006029050196</v>
      </c>
      <c r="O21">
        <f>N21*'Time Discounting'!D18</f>
        <v>0.57760339617731138</v>
      </c>
      <c r="P21" s="6">
        <f t="shared" si="26"/>
        <v>9.507493239505779</v>
      </c>
      <c r="R21" s="14">
        <f t="shared" si="0"/>
        <v>1.0000000000000002</v>
      </c>
      <c r="T21" s="5">
        <f t="shared" si="27"/>
        <v>0.70616663917903622</v>
      </c>
      <c r="U21">
        <f t="shared" si="1"/>
        <v>0.7054181025415065</v>
      </c>
      <c r="V21">
        <f t="shared" si="2"/>
        <v>7.4853663752977838E-4</v>
      </c>
      <c r="W21" s="50">
        <f>0</f>
        <v>0</v>
      </c>
      <c r="X21" s="51">
        <f t="shared" si="3"/>
        <v>6.8670751126981866</v>
      </c>
      <c r="Y21" s="52">
        <f t="shared" si="4"/>
        <v>6.8670751126981866</v>
      </c>
      <c r="Z21" s="14">
        <f t="shared" si="28"/>
        <v>0.70616663917903622</v>
      </c>
      <c r="AA21" s="5">
        <f t="shared" si="29"/>
        <v>7.506106933931013E-2</v>
      </c>
      <c r="AB21">
        <f t="shared" si="5"/>
        <v>7.4981504605810462E-2</v>
      </c>
      <c r="AC21">
        <f t="shared" si="6"/>
        <v>7.9564733499668731E-5</v>
      </c>
      <c r="AD21" s="50">
        <f>0</f>
        <v>0</v>
      </c>
      <c r="AE21" s="51">
        <f t="shared" si="7"/>
        <v>0.72992686512596094</v>
      </c>
      <c r="AF21" s="52">
        <f t="shared" si="8"/>
        <v>0.72992686512596094</v>
      </c>
      <c r="AG21" s="14">
        <f t="shared" si="30"/>
        <v>7.506106933931013E-2</v>
      </c>
      <c r="AH21" s="5">
        <f t="shared" si="31"/>
        <v>1.8765267334827532E-2</v>
      </c>
      <c r="AI21">
        <f t="shared" si="9"/>
        <v>1.8745376151452615E-2</v>
      </c>
      <c r="AJ21">
        <f t="shared" si="10"/>
        <v>1.9891183374917183E-5</v>
      </c>
      <c r="AK21" s="50">
        <f>0</f>
        <v>0</v>
      </c>
      <c r="AL21" s="51">
        <f t="shared" si="11"/>
        <v>0.18248171628149024</v>
      </c>
      <c r="AM21" s="52">
        <f t="shared" si="12"/>
        <v>0.18248171628149024</v>
      </c>
      <c r="AN21" s="14">
        <f t="shared" si="32"/>
        <v>1.3135687134379272E-2</v>
      </c>
      <c r="AO21" s="5">
        <f t="shared" si="33"/>
        <v>1.1851747790417391E-2</v>
      </c>
      <c r="AP21">
        <f t="shared" si="13"/>
        <v>1.1839184937759548E-2</v>
      </c>
      <c r="AQ21">
        <f t="shared" si="14"/>
        <v>1.2562852657842433E-5</v>
      </c>
      <c r="AR21" s="50">
        <f>0</f>
        <v>0</v>
      </c>
      <c r="AS21" s="51">
        <f t="shared" si="15"/>
        <v>0.11525161028304648</v>
      </c>
      <c r="AT21" s="52">
        <f t="shared" si="16"/>
        <v>0.11525161028304648</v>
      </c>
      <c r="AU21" s="14">
        <f t="shared" si="34"/>
        <v>7.2295661521546081E-3</v>
      </c>
      <c r="AV21" s="5">
        <f t="shared" si="35"/>
        <v>6.3209321548892763E-2</v>
      </c>
      <c r="AW21">
        <f t="shared" si="17"/>
        <v>6.3142319668050936E-2</v>
      </c>
      <c r="AX21">
        <f t="shared" si="18"/>
        <v>6.7001880841826322E-5</v>
      </c>
      <c r="AY21" s="50">
        <f>0</f>
        <v>0</v>
      </c>
      <c r="AZ21" s="51">
        <f t="shared" si="19"/>
        <v>0.61467525484291463</v>
      </c>
      <c r="BA21" s="52">
        <f t="shared" si="20"/>
        <v>0.61467525484291463</v>
      </c>
      <c r="BB21" s="14">
        <f t="shared" si="36"/>
        <v>4.5510711515202786E-2</v>
      </c>
      <c r="BC21" s="5">
        <f t="shared" si="37"/>
        <v>1.8773116173648623E-2</v>
      </c>
      <c r="BD21">
        <f t="shared" si="21"/>
        <v>1.8581583455886973E-2</v>
      </c>
      <c r="BE21">
        <f t="shared" si="22"/>
        <v>1.9153271776165015E-4</v>
      </c>
      <c r="BF21" s="50">
        <f>0</f>
        <v>0</v>
      </c>
      <c r="BG21" s="51">
        <f t="shared" si="23"/>
        <v>1.7571211527453785</v>
      </c>
      <c r="BH21" s="52">
        <f t="shared" si="24"/>
        <v>1.7571211527453785</v>
      </c>
      <c r="BI21" s="14">
        <f t="shared" si="38"/>
        <v>1.1263869704189174E-3</v>
      </c>
      <c r="BJ21" s="5">
        <f>0 + '1. Strategy Calcs'!V20 + '1. Strategy Calcs'!AC20 + '1. Strategy Calcs'!AJ20 + '1. Strategy Calcs'!AQ20 + '1. Strategy Calcs'!AX20 + '1. Strategy Calcs'!BE20 + BJ20</f>
        <v>0.1061728386338676</v>
      </c>
      <c r="BK21" s="63">
        <f>0</f>
        <v>0</v>
      </c>
    </row>
    <row r="22" spans="2:63" x14ac:dyDescent="0.35">
      <c r="B22" s="14">
        <v>14</v>
      </c>
      <c r="D22" s="5">
        <f>'1. Strategy Calcs'!T22</f>
        <v>0.7054181025415065</v>
      </c>
      <c r="E22">
        <f>'1. Strategy Calcs'!AA22</f>
        <v>7.4981504605810462E-2</v>
      </c>
      <c r="F22">
        <f>'1. Strategy Calcs'!AH22</f>
        <v>1.8745376151452615E-2</v>
      </c>
      <c r="G22">
        <f>'1. Strategy Calcs'!AO22</f>
        <v>1.1839184937759548E-2</v>
      </c>
      <c r="H22">
        <f>'1. Strategy Calcs'!AV22</f>
        <v>6.3142319668050936E-2</v>
      </c>
      <c r="I22">
        <f>'1. Strategy Calcs'!BC22</f>
        <v>1.8581583455886973E-2</v>
      </c>
      <c r="J22" s="6">
        <f>'1. Strategy Calcs'!BJ22</f>
        <v>0.10729192863953328</v>
      </c>
      <c r="K22" s="50">
        <f>'1. Strategy Calcs'!Y22 + '1. Strategy Calcs'!AF22 + '1. Strategy Calcs'!AM22 + '1. Strategy Calcs'!AT22 + '1. Strategy Calcs'!BA22 + '1. Strategy Calcs'!BH22 + '1. Strategy Calcs'!BK22</f>
        <v>10.104499172157151</v>
      </c>
      <c r="L22" s="51">
        <f>K22*'Time Discounting'!C19</f>
        <v>6.6802643215925901</v>
      </c>
      <c r="M22" s="52">
        <f t="shared" si="25"/>
        <v>135357.75180591442</v>
      </c>
      <c r="N22" s="5">
        <f>'1. Strategy Calcs'!Z22 + '1. Strategy Calcs'!AG22 + '1. Strategy Calcs'!AN22 + '1. Strategy Calcs'!AU22 + '1. Strategy Calcs'!BB22 + '1. Strategy Calcs'!BI22</f>
        <v>0.84732063843371686</v>
      </c>
      <c r="O22">
        <f>N22*'Time Discounting'!D19</f>
        <v>0.56017876130613053</v>
      </c>
      <c r="P22" s="6">
        <f t="shared" si="26"/>
        <v>10.067672000811909</v>
      </c>
      <c r="R22" s="14">
        <f t="shared" si="0"/>
        <v>1.0000000000000004</v>
      </c>
      <c r="T22" s="5">
        <f t="shared" si="27"/>
        <v>0.7054181025415065</v>
      </c>
      <c r="U22">
        <f t="shared" si="1"/>
        <v>0.7046429185886236</v>
      </c>
      <c r="V22">
        <f t="shared" si="2"/>
        <v>7.7518395288286152E-4</v>
      </c>
      <c r="W22" s="50">
        <f>0</f>
        <v>0</v>
      </c>
      <c r="X22" s="51">
        <f t="shared" si="3"/>
        <v>7.1115375837473715</v>
      </c>
      <c r="Y22" s="52">
        <f t="shared" si="4"/>
        <v>7.1115375837473715</v>
      </c>
      <c r="Z22" s="14">
        <f t="shared" si="28"/>
        <v>0.7054181025415065</v>
      </c>
      <c r="AA22" s="5">
        <f t="shared" si="29"/>
        <v>7.4981504605810462E-2</v>
      </c>
      <c r="AB22">
        <f t="shared" si="5"/>
        <v>7.4899107430399139E-2</v>
      </c>
      <c r="AC22">
        <f t="shared" si="6"/>
        <v>8.2397175411325118E-5</v>
      </c>
      <c r="AD22" s="50">
        <f>0</f>
        <v>0</v>
      </c>
      <c r="AE22" s="51">
        <f t="shared" si="7"/>
        <v>0.75591168722349666</v>
      </c>
      <c r="AF22" s="52">
        <f t="shared" si="8"/>
        <v>0.75591168722349666</v>
      </c>
      <c r="AG22" s="14">
        <f t="shared" si="30"/>
        <v>7.4981504605810462E-2</v>
      </c>
      <c r="AH22" s="5">
        <f t="shared" si="31"/>
        <v>1.8745376151452615E-2</v>
      </c>
      <c r="AI22">
        <f t="shared" si="9"/>
        <v>1.8724776857599785E-2</v>
      </c>
      <c r="AJ22">
        <f t="shared" si="10"/>
        <v>2.0599293852831279E-5</v>
      </c>
      <c r="AK22" s="50">
        <f>0</f>
        <v>0</v>
      </c>
      <c r="AL22" s="51">
        <f t="shared" si="11"/>
        <v>0.18897792180587417</v>
      </c>
      <c r="AM22" s="52">
        <f t="shared" si="12"/>
        <v>0.18897792180587417</v>
      </c>
      <c r="AN22" s="14">
        <f t="shared" si="32"/>
        <v>1.312176330601683E-2</v>
      </c>
      <c r="AO22" s="5">
        <f t="shared" si="33"/>
        <v>1.1839184937759548E-2</v>
      </c>
      <c r="AP22">
        <f t="shared" si="13"/>
        <v>1.1826174857431444E-2</v>
      </c>
      <c r="AQ22">
        <f t="shared" si="14"/>
        <v>1.3010080328103968E-5</v>
      </c>
      <c r="AR22" s="50">
        <f>0</f>
        <v>0</v>
      </c>
      <c r="AS22" s="51">
        <f t="shared" si="15"/>
        <v>0.11935447693002581</v>
      </c>
      <c r="AT22" s="52">
        <f t="shared" si="16"/>
        <v>0.11935447693002581</v>
      </c>
      <c r="AU22" s="14">
        <f t="shared" si="34"/>
        <v>7.2219028120333239E-3</v>
      </c>
      <c r="AV22" s="5">
        <f t="shared" si="35"/>
        <v>6.3142319668050936E-2</v>
      </c>
      <c r="AW22">
        <f t="shared" si="17"/>
        <v>6.3072932572967713E-2</v>
      </c>
      <c r="AX22">
        <f t="shared" si="18"/>
        <v>6.9387095083221182E-5</v>
      </c>
      <c r="AY22" s="50">
        <f>0</f>
        <v>0</v>
      </c>
      <c r="AZ22" s="51">
        <f t="shared" si="19"/>
        <v>0.63655721029347112</v>
      </c>
      <c r="BA22" s="52">
        <f t="shared" si="20"/>
        <v>0.63655721029347112</v>
      </c>
      <c r="BB22" s="14">
        <f t="shared" si="36"/>
        <v>4.5462470160996672E-2</v>
      </c>
      <c r="BC22" s="5">
        <f t="shared" si="37"/>
        <v>1.8581583455886973E-2</v>
      </c>
      <c r="BD22">
        <f t="shared" si="21"/>
        <v>1.8440733195133004E-2</v>
      </c>
      <c r="BE22">
        <f t="shared" si="22"/>
        <v>1.4085026075396885E-4</v>
      </c>
      <c r="BF22" s="50">
        <f>0</f>
        <v>0</v>
      </c>
      <c r="BG22" s="51">
        <f t="shared" si="23"/>
        <v>1.2921602921569102</v>
      </c>
      <c r="BH22" s="52">
        <f t="shared" si="24"/>
        <v>1.2921602921569102</v>
      </c>
      <c r="BI22" s="14">
        <f t="shared" si="38"/>
        <v>1.1148950073532184E-3</v>
      </c>
      <c r="BJ22" s="5">
        <f>0 + '1. Strategy Calcs'!V21 + '1. Strategy Calcs'!AC21 + '1. Strategy Calcs'!AJ21 + '1. Strategy Calcs'!AQ21 + '1. Strategy Calcs'!AX21 + '1. Strategy Calcs'!BE21 + BJ21</f>
        <v>0.10729192863953328</v>
      </c>
      <c r="BK22" s="63">
        <f>0</f>
        <v>0</v>
      </c>
    </row>
    <row r="23" spans="2:63" x14ac:dyDescent="0.35">
      <c r="B23" s="14">
        <v>15</v>
      </c>
      <c r="D23" s="5">
        <f>'1. Strategy Calcs'!T23</f>
        <v>0.7046429185886236</v>
      </c>
      <c r="E23">
        <f>'1. Strategy Calcs'!AA23</f>
        <v>7.4899107430399139E-2</v>
      </c>
      <c r="F23">
        <f>'1. Strategy Calcs'!AH23</f>
        <v>1.8724776857599785E-2</v>
      </c>
      <c r="G23">
        <f>'1. Strategy Calcs'!AO23</f>
        <v>1.1826174857431444E-2</v>
      </c>
      <c r="H23">
        <f>'1. Strategy Calcs'!AV23</f>
        <v>6.3072932572967713E-2</v>
      </c>
      <c r="I23">
        <f>'1. Strategy Calcs'!BC23</f>
        <v>1.8440733195133004E-2</v>
      </c>
      <c r="J23" s="6">
        <f>'1. Strategy Calcs'!BJ23</f>
        <v>0.10839335649784559</v>
      </c>
      <c r="K23" s="50">
        <f>'1. Strategy Calcs'!Y23 + '1. Strategy Calcs'!AF23 + '1. Strategy Calcs'!AM23 + '1. Strategy Calcs'!AT23 + '1. Strategy Calcs'!BA23 + '1. Strategy Calcs'!BH23 + '1. Strategy Calcs'!BK23</f>
        <v>10.463112604417931</v>
      </c>
      <c r="L23" s="51">
        <f>K23*'Time Discounting'!C20</f>
        <v>6.7158738321028357</v>
      </c>
      <c r="M23" s="52">
        <f t="shared" si="25"/>
        <v>135364.46767974654</v>
      </c>
      <c r="N23" s="5">
        <f>'1. Strategy Calcs'!Z23 + '1. Strategy Calcs'!AG23 + '1. Strategy Calcs'!AN23 + '1. Strategy Calcs'!AU23 + '1. Strategy Calcs'!BB23 + '1. Strategy Calcs'!BI23</f>
        <v>0.84638229192662062</v>
      </c>
      <c r="O23">
        <f>N23*'Time Discounting'!D20</f>
        <v>0.5432605861381179</v>
      </c>
      <c r="P23" s="6">
        <f t="shared" si="26"/>
        <v>10.610932586950026</v>
      </c>
      <c r="R23" s="14">
        <f t="shared" si="0"/>
        <v>1.0000000000000002</v>
      </c>
      <c r="T23" s="5">
        <f t="shared" si="27"/>
        <v>0.7046429185886236</v>
      </c>
      <c r="U23">
        <f t="shared" si="1"/>
        <v>0.70383532733962917</v>
      </c>
      <c r="V23">
        <f t="shared" si="2"/>
        <v>8.0759124899442152E-4</v>
      </c>
      <c r="W23" s="50">
        <f>0</f>
        <v>0</v>
      </c>
      <c r="X23" s="51">
        <f t="shared" si="3"/>
        <v>7.4088421182748228</v>
      </c>
      <c r="Y23" s="52">
        <f t="shared" si="4"/>
        <v>7.4088421182748228</v>
      </c>
      <c r="Z23" s="14">
        <f t="shared" si="28"/>
        <v>0.7046429185886236</v>
      </c>
      <c r="AA23" s="5">
        <f t="shared" si="29"/>
        <v>7.4899107430399139E-2</v>
      </c>
      <c r="AB23">
        <f t="shared" si="5"/>
        <v>7.4813265563373157E-2</v>
      </c>
      <c r="AC23">
        <f t="shared" si="6"/>
        <v>8.5841867025980451E-5</v>
      </c>
      <c r="AD23" s="50">
        <f>0</f>
        <v>0</v>
      </c>
      <c r="AE23" s="51">
        <f t="shared" si="7"/>
        <v>0.78751328809634469</v>
      </c>
      <c r="AF23" s="52">
        <f t="shared" si="8"/>
        <v>0.78751328809634469</v>
      </c>
      <c r="AG23" s="14">
        <f t="shared" si="30"/>
        <v>7.4899107430399139E-2</v>
      </c>
      <c r="AH23" s="5">
        <f t="shared" si="31"/>
        <v>1.8724776857599785E-2</v>
      </c>
      <c r="AI23">
        <f t="shared" si="9"/>
        <v>1.8703316390843289E-2</v>
      </c>
      <c r="AJ23">
        <f t="shared" si="10"/>
        <v>2.1460466756495113E-5</v>
      </c>
      <c r="AK23" s="50">
        <f>0</f>
        <v>0</v>
      </c>
      <c r="AL23" s="51">
        <f t="shared" si="11"/>
        <v>0.19687832202408617</v>
      </c>
      <c r="AM23" s="52">
        <f t="shared" si="12"/>
        <v>0.19687832202408617</v>
      </c>
      <c r="AN23" s="14">
        <f t="shared" si="32"/>
        <v>1.3107343800319849E-2</v>
      </c>
      <c r="AO23" s="5">
        <f t="shared" si="33"/>
        <v>1.1826174857431444E-2</v>
      </c>
      <c r="AP23">
        <f t="shared" si="13"/>
        <v>1.1812620878427341E-2</v>
      </c>
      <c r="AQ23">
        <f t="shared" si="14"/>
        <v>1.3553979004102177E-5</v>
      </c>
      <c r="AR23" s="50">
        <f>0</f>
        <v>0</v>
      </c>
      <c r="AS23" s="51">
        <f t="shared" si="15"/>
        <v>0.12434420338363338</v>
      </c>
      <c r="AT23" s="52">
        <f t="shared" si="16"/>
        <v>0.12434420338363338</v>
      </c>
      <c r="AU23" s="14">
        <f t="shared" si="34"/>
        <v>7.2139666630331801E-3</v>
      </c>
      <c r="AV23" s="5">
        <f t="shared" si="35"/>
        <v>6.3072932572967713E-2</v>
      </c>
      <c r="AW23">
        <f t="shared" si="17"/>
        <v>6.3000644684945831E-2</v>
      </c>
      <c r="AX23">
        <f t="shared" si="18"/>
        <v>7.2287888021878288E-5</v>
      </c>
      <c r="AY23" s="50">
        <f>0</f>
        <v>0</v>
      </c>
      <c r="AZ23" s="51">
        <f t="shared" si="19"/>
        <v>0.66316908471271141</v>
      </c>
      <c r="BA23" s="52">
        <f t="shared" si="20"/>
        <v>0.66316908471271141</v>
      </c>
      <c r="BB23" s="14">
        <f t="shared" si="36"/>
        <v>4.5412511452536754E-2</v>
      </c>
      <c r="BC23" s="5">
        <f t="shared" si="37"/>
        <v>1.8440733195133004E-2</v>
      </c>
      <c r="BD23">
        <f t="shared" si="21"/>
        <v>1.8300950593440578E-2</v>
      </c>
      <c r="BE23">
        <f t="shared" si="22"/>
        <v>1.3978260169242768E-4</v>
      </c>
      <c r="BF23" s="50">
        <f>0</f>
        <v>0</v>
      </c>
      <c r="BG23" s="51">
        <f t="shared" si="23"/>
        <v>1.2823655879263316</v>
      </c>
      <c r="BH23" s="52">
        <f t="shared" si="24"/>
        <v>1.2823655879263316</v>
      </c>
      <c r="BI23" s="14">
        <f t="shared" si="38"/>
        <v>1.1064439917079802E-3</v>
      </c>
      <c r="BJ23" s="5">
        <f>0 + '1. Strategy Calcs'!V22 + '1. Strategy Calcs'!AC22 + '1. Strategy Calcs'!AJ22 + '1. Strategy Calcs'!AQ22 + '1. Strategy Calcs'!AX22 + '1. Strategy Calcs'!BE22 + BJ22</f>
        <v>0.10839335649784559</v>
      </c>
      <c r="BK23" s="63">
        <f>0</f>
        <v>0</v>
      </c>
    </row>
    <row r="24" spans="2:63" x14ac:dyDescent="0.35">
      <c r="B24" s="14">
        <v>16</v>
      </c>
      <c r="D24" s="5">
        <f>'1. Strategy Calcs'!T24</f>
        <v>0.70383532733962917</v>
      </c>
      <c r="E24">
        <f>'1. Strategy Calcs'!AA24</f>
        <v>7.4813265563373157E-2</v>
      </c>
      <c r="F24">
        <f>'1. Strategy Calcs'!AH24</f>
        <v>1.8703316390843289E-2</v>
      </c>
      <c r="G24">
        <f>'1. Strategy Calcs'!AO24</f>
        <v>1.1812620878427341E-2</v>
      </c>
      <c r="H24">
        <f>'1. Strategy Calcs'!AV24</f>
        <v>6.3000644684945831E-2</v>
      </c>
      <c r="I24">
        <f>'1. Strategy Calcs'!BC24</f>
        <v>1.8300950593440578E-2</v>
      </c>
      <c r="J24" s="6">
        <f>'1. Strategy Calcs'!BJ24</f>
        <v>0.1095338745493409</v>
      </c>
      <c r="K24" s="50">
        <f>'1. Strategy Calcs'!Y24 + '1. Strategy Calcs'!AF24 + '1. Strategy Calcs'!AM24 + '1. Strategy Calcs'!AT24 + '1. Strategy Calcs'!BA24 + '1. Strategy Calcs'!BH24 + '1. Strategy Calcs'!BK24</f>
        <v>10.882938473146996</v>
      </c>
      <c r="L24" s="51">
        <f>K24*'Time Discounting'!C21</f>
        <v>6.7818874580318385</v>
      </c>
      <c r="M24" s="52">
        <f t="shared" si="25"/>
        <v>135371.24956720456</v>
      </c>
      <c r="N24" s="5">
        <f>'1. Strategy Calcs'!Z24 + '1. Strategy Calcs'!AG24 + '1. Strategy Calcs'!AN24 + '1. Strategy Calcs'!AU24 + '1. Strategy Calcs'!BB24 + '1. Strategy Calcs'!BI24</f>
        <v>0.84540513432120068</v>
      </c>
      <c r="O24">
        <f>N24*'Time Discounting'!D21</f>
        <v>0.52682852995591223</v>
      </c>
      <c r="P24" s="6">
        <f t="shared" si="26"/>
        <v>11.137761116905939</v>
      </c>
      <c r="R24" s="14">
        <f t="shared" si="0"/>
        <v>1.0000000000000004</v>
      </c>
      <c r="T24" s="5">
        <f t="shared" si="27"/>
        <v>0.70383532733962917</v>
      </c>
      <c r="U24">
        <f t="shared" si="1"/>
        <v>0.70298995072796155</v>
      </c>
      <c r="V24">
        <f t="shared" si="2"/>
        <v>8.4537661166762866E-4</v>
      </c>
      <c r="W24" s="50">
        <f>0</f>
        <v>0</v>
      </c>
      <c r="X24" s="51">
        <f t="shared" si="3"/>
        <v>7.7554850354388254</v>
      </c>
      <c r="Y24" s="52">
        <f t="shared" si="4"/>
        <v>7.7554850354388254</v>
      </c>
      <c r="Z24" s="14">
        <f t="shared" si="28"/>
        <v>0.70383532733962917</v>
      </c>
      <c r="AA24" s="5">
        <f t="shared" si="29"/>
        <v>7.4813265563373157E-2</v>
      </c>
      <c r="AB24">
        <f t="shared" si="5"/>
        <v>7.4723407350104992E-2</v>
      </c>
      <c r="AC24">
        <f t="shared" si="6"/>
        <v>8.9858213268167509E-5</v>
      </c>
      <c r="AD24" s="50">
        <f>0</f>
        <v>0</v>
      </c>
      <c r="AE24" s="51">
        <f t="shared" si="7"/>
        <v>0.82435924852216869</v>
      </c>
      <c r="AF24" s="52">
        <f t="shared" si="8"/>
        <v>0.82435924852216869</v>
      </c>
      <c r="AG24" s="14">
        <f t="shared" si="30"/>
        <v>7.4813265563373157E-2</v>
      </c>
      <c r="AH24" s="5">
        <f t="shared" si="31"/>
        <v>1.8703316390843289E-2</v>
      </c>
      <c r="AI24">
        <f t="shared" si="9"/>
        <v>1.8680851837526248E-2</v>
      </c>
      <c r="AJ24">
        <f t="shared" si="10"/>
        <v>2.2464553317041877E-5</v>
      </c>
      <c r="AK24" s="50">
        <f>0</f>
        <v>0</v>
      </c>
      <c r="AL24" s="51">
        <f t="shared" si="11"/>
        <v>0.20608981213054217</v>
      </c>
      <c r="AM24" s="52">
        <f t="shared" si="12"/>
        <v>0.20608981213054217</v>
      </c>
      <c r="AN24" s="14">
        <f t="shared" si="32"/>
        <v>1.3092321473590301E-2</v>
      </c>
      <c r="AO24" s="5">
        <f t="shared" si="33"/>
        <v>1.1812620878427341E-2</v>
      </c>
      <c r="AP24">
        <f t="shared" si="13"/>
        <v>1.1798432739490262E-2</v>
      </c>
      <c r="AQ24">
        <f t="shared" si="14"/>
        <v>1.418813893707908E-5</v>
      </c>
      <c r="AR24" s="50">
        <f>0</f>
        <v>0</v>
      </c>
      <c r="AS24" s="51">
        <f t="shared" si="15"/>
        <v>0.13016198660876346</v>
      </c>
      <c r="AT24" s="52">
        <f t="shared" si="16"/>
        <v>0.13016198660876346</v>
      </c>
      <c r="AU24" s="14">
        <f t="shared" si="34"/>
        <v>7.2056987358406774E-3</v>
      </c>
      <c r="AV24" s="5">
        <f t="shared" si="35"/>
        <v>6.3000644684945831E-2</v>
      </c>
      <c r="AW24">
        <f t="shared" si="17"/>
        <v>6.2924974610614748E-2</v>
      </c>
      <c r="AX24">
        <f t="shared" si="18"/>
        <v>7.5670074331088443E-5</v>
      </c>
      <c r="AY24" s="50">
        <f>0</f>
        <v>0</v>
      </c>
      <c r="AZ24" s="51">
        <f t="shared" si="19"/>
        <v>0.69419726191340536</v>
      </c>
      <c r="BA24" s="52">
        <f t="shared" si="20"/>
        <v>0.69419726191340536</v>
      </c>
      <c r="BB24" s="14">
        <f t="shared" si="36"/>
        <v>4.5360464173160996E-2</v>
      </c>
      <c r="BC24" s="5">
        <f t="shared" si="37"/>
        <v>1.8300950593440578E-2</v>
      </c>
      <c r="BD24">
        <f t="shared" si="21"/>
        <v>1.816222755784724E-2</v>
      </c>
      <c r="BE24">
        <f t="shared" si="22"/>
        <v>1.3872303559333879E-4</v>
      </c>
      <c r="BF24" s="50">
        <f>0</f>
        <v>0</v>
      </c>
      <c r="BG24" s="51">
        <f t="shared" si="23"/>
        <v>1.27264512853329</v>
      </c>
      <c r="BH24" s="52">
        <f t="shared" si="24"/>
        <v>1.27264512853329</v>
      </c>
      <c r="BI24" s="14">
        <f t="shared" si="38"/>
        <v>1.0980570356064346E-3</v>
      </c>
      <c r="BJ24" s="5">
        <f>0 + '1. Strategy Calcs'!V23 + '1. Strategy Calcs'!AC23 + '1. Strategy Calcs'!AJ23 + '1. Strategy Calcs'!AQ23 + '1. Strategy Calcs'!AX23 + '1. Strategy Calcs'!BE23 + BJ23</f>
        <v>0.1095338745493409</v>
      </c>
      <c r="BK24" s="63">
        <f>0</f>
        <v>0</v>
      </c>
    </row>
    <row r="25" spans="2:63" x14ac:dyDescent="0.35">
      <c r="B25" s="14">
        <v>17</v>
      </c>
      <c r="D25" s="5">
        <f>'1. Strategy Calcs'!T25</f>
        <v>0.70298995072796155</v>
      </c>
      <c r="E25">
        <f>'1. Strategy Calcs'!AA25</f>
        <v>7.4723407350104992E-2</v>
      </c>
      <c r="F25">
        <f>'1. Strategy Calcs'!AH25</f>
        <v>1.8680851837526248E-2</v>
      </c>
      <c r="G25">
        <f>'1. Strategy Calcs'!AO25</f>
        <v>1.1798432739490262E-2</v>
      </c>
      <c r="H25">
        <f>'1. Strategy Calcs'!AV25</f>
        <v>6.2924974610614748E-2</v>
      </c>
      <c r="I25">
        <f>'1. Strategy Calcs'!BC25</f>
        <v>1.816222755784724E-2</v>
      </c>
      <c r="J25" s="6">
        <f>'1. Strategy Calcs'!BJ25</f>
        <v>0.11072015517645524</v>
      </c>
      <c r="K25" s="50">
        <f>'1. Strategy Calcs'!Y25 + '1. Strategy Calcs'!AF25 + '1. Strategy Calcs'!AM25 + '1. Strategy Calcs'!AT25 + '1. Strategy Calcs'!BA25 + '1. Strategy Calcs'!BH25 + '1. Strategy Calcs'!BK25</f>
        <v>10.840249308337118</v>
      </c>
      <c r="L25" s="51">
        <f>K25*'Time Discounting'!C22</f>
        <v>6.5585291086013626</v>
      </c>
      <c r="M25" s="52">
        <f t="shared" si="25"/>
        <v>135377.80809631315</v>
      </c>
      <c r="N25" s="5">
        <f>'1. Strategy Calcs'!Z25 + '1. Strategy Calcs'!AG25 + '1. Strategy Calcs'!AN25 + '1. Strategy Calcs'!AU25 + '1. Strategy Calcs'!BB25 + '1. Strategy Calcs'!BI25</f>
        <v>0.84438271370853746</v>
      </c>
      <c r="O25">
        <f>N25*'Time Discounting'!D22</f>
        <v>0.51086542838070226</v>
      </c>
      <c r="P25" s="6">
        <f t="shared" si="26"/>
        <v>11.648626545286641</v>
      </c>
      <c r="R25" s="14">
        <f t="shared" si="0"/>
        <v>1.0000000000000002</v>
      </c>
      <c r="T25" s="5">
        <f t="shared" si="27"/>
        <v>0.70298995072796155</v>
      </c>
      <c r="U25">
        <f t="shared" si="1"/>
        <v>0.70210109023426104</v>
      </c>
      <c r="V25">
        <f t="shared" si="2"/>
        <v>8.8886049370043437E-4</v>
      </c>
      <c r="W25" s="50">
        <f>0</f>
        <v>0</v>
      </c>
      <c r="X25" s="51">
        <f t="shared" si="3"/>
        <v>8.1544061692077854</v>
      </c>
      <c r="Y25" s="52">
        <f t="shared" si="4"/>
        <v>8.1544061692077854</v>
      </c>
      <c r="Z25" s="14">
        <f t="shared" si="28"/>
        <v>0.70298995072796155</v>
      </c>
      <c r="AA25" s="5">
        <f t="shared" si="29"/>
        <v>7.4723407350104992E-2</v>
      </c>
      <c r="AB25">
        <f t="shared" si="5"/>
        <v>7.462892707385152E-2</v>
      </c>
      <c r="AC25">
        <f t="shared" si="6"/>
        <v>9.4480276253472738E-5</v>
      </c>
      <c r="AD25" s="50">
        <f>0</f>
        <v>0</v>
      </c>
      <c r="AE25" s="51">
        <f t="shared" si="7"/>
        <v>0.86676205434935893</v>
      </c>
      <c r="AF25" s="52">
        <f t="shared" si="8"/>
        <v>0.86676205434935893</v>
      </c>
      <c r="AG25" s="14">
        <f t="shared" si="30"/>
        <v>7.4723407350104992E-2</v>
      </c>
      <c r="AH25" s="5">
        <f t="shared" si="31"/>
        <v>1.8680851837526248E-2</v>
      </c>
      <c r="AI25">
        <f t="shared" si="9"/>
        <v>1.865723176846288E-2</v>
      </c>
      <c r="AJ25">
        <f t="shared" si="10"/>
        <v>2.3620069063368184E-5</v>
      </c>
      <c r="AK25" s="50">
        <f>0</f>
        <v>0</v>
      </c>
      <c r="AL25" s="51">
        <f t="shared" si="11"/>
        <v>0.21669051358733973</v>
      </c>
      <c r="AM25" s="52">
        <f t="shared" si="12"/>
        <v>0.21669051358733973</v>
      </c>
      <c r="AN25" s="14">
        <f t="shared" si="32"/>
        <v>1.3076596286268373E-2</v>
      </c>
      <c r="AO25" s="5">
        <f t="shared" si="33"/>
        <v>1.1798432739490262E-2</v>
      </c>
      <c r="AP25">
        <f t="shared" si="13"/>
        <v>1.1783514801134449E-2</v>
      </c>
      <c r="AQ25">
        <f t="shared" si="14"/>
        <v>1.4917938355811484E-5</v>
      </c>
      <c r="AR25" s="50">
        <f>0</f>
        <v>0</v>
      </c>
      <c r="AS25" s="51">
        <f t="shared" si="15"/>
        <v>0.13685716647621454</v>
      </c>
      <c r="AT25" s="52">
        <f t="shared" si="16"/>
        <v>0.13685716647621454</v>
      </c>
      <c r="AU25" s="14">
        <f t="shared" si="34"/>
        <v>7.1970439710890592E-3</v>
      </c>
      <c r="AV25" s="5">
        <f t="shared" si="35"/>
        <v>6.2924974610614748E-2</v>
      </c>
      <c r="AW25">
        <f t="shared" si="17"/>
        <v>6.2845412272717088E-2</v>
      </c>
      <c r="AX25">
        <f t="shared" si="18"/>
        <v>7.9562337897661276E-5</v>
      </c>
      <c r="AY25" s="50">
        <f>0</f>
        <v>0</v>
      </c>
      <c r="AZ25" s="51">
        <f t="shared" si="19"/>
        <v>0.72990488787314456</v>
      </c>
      <c r="BA25" s="52">
        <f t="shared" si="20"/>
        <v>0.72990488787314456</v>
      </c>
      <c r="BB25" s="14">
        <f t="shared" si="36"/>
        <v>4.5305981719642618E-2</v>
      </c>
      <c r="BC25" s="5">
        <f t="shared" si="37"/>
        <v>1.816222755784724E-2</v>
      </c>
      <c r="BD25">
        <f t="shared" si="21"/>
        <v>1.8082041323179344E-2</v>
      </c>
      <c r="BE25">
        <f t="shared" si="22"/>
        <v>8.018623466789557E-5</v>
      </c>
      <c r="BF25" s="50">
        <f>0</f>
        <v>0</v>
      </c>
      <c r="BG25" s="51">
        <f t="shared" si="23"/>
        <v>0.73562851684327391</v>
      </c>
      <c r="BH25" s="52">
        <f t="shared" si="24"/>
        <v>0.73562851684327391</v>
      </c>
      <c r="BI25" s="14">
        <f t="shared" si="38"/>
        <v>1.0897336534708344E-3</v>
      </c>
      <c r="BJ25" s="5">
        <f>0 + '1. Strategy Calcs'!V24 + '1. Strategy Calcs'!AC24 + '1. Strategy Calcs'!AJ24 + '1. Strategy Calcs'!AQ24 + '1. Strategy Calcs'!AX24 + '1. Strategy Calcs'!BE24 + BJ24</f>
        <v>0.11072015517645524</v>
      </c>
      <c r="BK25" s="63">
        <f>0</f>
        <v>0</v>
      </c>
    </row>
    <row r="26" spans="2:63" x14ac:dyDescent="0.35">
      <c r="B26" s="14">
        <v>18</v>
      </c>
      <c r="D26" s="5">
        <f>'1. Strategy Calcs'!T26</f>
        <v>0.70210109023426104</v>
      </c>
      <c r="E26">
        <f>'1. Strategy Calcs'!AA26</f>
        <v>7.462892707385152E-2</v>
      </c>
      <c r="F26">
        <f>'1. Strategy Calcs'!AH26</f>
        <v>1.865723176846288E-2</v>
      </c>
      <c r="G26">
        <f>'1. Strategy Calcs'!AO26</f>
        <v>1.1783514801134449E-2</v>
      </c>
      <c r="H26">
        <f>'1. Strategy Calcs'!AV26</f>
        <v>6.2845412272717088E-2</v>
      </c>
      <c r="I26">
        <f>'1. Strategy Calcs'!BC26</f>
        <v>1.8082041323179344E-2</v>
      </c>
      <c r="J26" s="6">
        <f>'1. Strategy Calcs'!BJ26</f>
        <v>0.11190178252639388</v>
      </c>
      <c r="K26" s="50">
        <f>'1. Strategy Calcs'!Y26 + '1. Strategy Calcs'!AF26 + '1. Strategy Calcs'!AM26 + '1. Strategy Calcs'!AT26 + '1. Strategy Calcs'!BA26 + '1. Strategy Calcs'!BH26 + '1. Strategy Calcs'!BK26</f>
        <v>11.50926823391984</v>
      </c>
      <c r="L26" s="51">
        <f>K26*'Time Discounting'!C23</f>
        <v>6.7604820982138918</v>
      </c>
      <c r="M26" s="52">
        <f t="shared" si="25"/>
        <v>135384.56857841136</v>
      </c>
      <c r="N26" s="5">
        <f>'1. Strategy Calcs'!Z26 + '1. Strategy Calcs'!AG26 + '1. Strategy Calcs'!AN26 + '1. Strategy Calcs'!AU26 + '1. Strategy Calcs'!BB26 + '1. Strategy Calcs'!BI26</f>
        <v>0.84331164289047567</v>
      </c>
      <c r="O26">
        <f>N26*'Time Discounting'!D23</f>
        <v>0.49535671157389366</v>
      </c>
      <c r="P26" s="6">
        <f t="shared" si="26"/>
        <v>12.143983256860535</v>
      </c>
      <c r="R26" s="14">
        <f t="shared" si="0"/>
        <v>1.0000000000000002</v>
      </c>
      <c r="T26" s="5">
        <f t="shared" si="27"/>
        <v>0.70210109023426104</v>
      </c>
      <c r="U26">
        <f t="shared" si="1"/>
        <v>0.70115999393291106</v>
      </c>
      <c r="V26">
        <f t="shared" si="2"/>
        <v>9.4109630135000343E-4</v>
      </c>
      <c r="W26" s="50">
        <f>0</f>
        <v>0</v>
      </c>
      <c r="X26" s="51">
        <f t="shared" si="3"/>
        <v>8.6336174685849318</v>
      </c>
      <c r="Y26" s="52">
        <f t="shared" si="4"/>
        <v>8.6336174685849318</v>
      </c>
      <c r="Z26" s="14">
        <f t="shared" si="28"/>
        <v>0.70210109023426104</v>
      </c>
      <c r="AA26" s="5">
        <f t="shared" si="29"/>
        <v>7.462892707385152E-2</v>
      </c>
      <c r="AB26">
        <f t="shared" si="5"/>
        <v>7.4528894460001729E-2</v>
      </c>
      <c r="AC26">
        <f t="shared" si="6"/>
        <v>1.0003261384979056E-4</v>
      </c>
      <c r="AD26" s="50">
        <f>0</f>
        <v>0</v>
      </c>
      <c r="AE26" s="51">
        <f t="shared" si="7"/>
        <v>0.91769919945797862</v>
      </c>
      <c r="AF26" s="52">
        <f t="shared" si="8"/>
        <v>0.91769919945797862</v>
      </c>
      <c r="AG26" s="14">
        <f t="shared" si="30"/>
        <v>7.462892707385152E-2</v>
      </c>
      <c r="AH26" s="5">
        <f t="shared" si="31"/>
        <v>1.865723176846288E-2</v>
      </c>
      <c r="AI26">
        <f t="shared" si="9"/>
        <v>1.8632223615000432E-2</v>
      </c>
      <c r="AJ26">
        <f t="shared" si="10"/>
        <v>2.500815346244764E-5</v>
      </c>
      <c r="AK26" s="50">
        <f>0</f>
        <v>0</v>
      </c>
      <c r="AL26" s="51">
        <f t="shared" si="11"/>
        <v>0.22942479986449466</v>
      </c>
      <c r="AM26" s="52">
        <f t="shared" si="12"/>
        <v>0.22942479986449466</v>
      </c>
      <c r="AN26" s="14">
        <f t="shared" si="32"/>
        <v>1.3060062237924015E-2</v>
      </c>
      <c r="AO26" s="5">
        <f t="shared" si="33"/>
        <v>1.1783514801134449E-2</v>
      </c>
      <c r="AP26">
        <f t="shared" si="13"/>
        <v>1.1767720177895008E-2</v>
      </c>
      <c r="AQ26">
        <f t="shared" si="14"/>
        <v>1.5794623239440614E-5</v>
      </c>
      <c r="AR26" s="50">
        <f>0</f>
        <v>0</v>
      </c>
      <c r="AS26" s="51">
        <f t="shared" si="15"/>
        <v>0.14489987359862819</v>
      </c>
      <c r="AT26" s="52">
        <f t="shared" si="16"/>
        <v>0.14489987359862819</v>
      </c>
      <c r="AU26" s="14">
        <f t="shared" si="34"/>
        <v>7.187944028692014E-3</v>
      </c>
      <c r="AV26" s="5">
        <f t="shared" si="35"/>
        <v>6.2845412272717088E-2</v>
      </c>
      <c r="AW26">
        <f t="shared" si="17"/>
        <v>6.2761174282106744E-2</v>
      </c>
      <c r="AX26">
        <f t="shared" si="18"/>
        <v>8.4237990610349975E-5</v>
      </c>
      <c r="AY26" s="50">
        <f>0</f>
        <v>0</v>
      </c>
      <c r="AZ26" s="51">
        <f t="shared" si="19"/>
        <v>0.77279932585935063</v>
      </c>
      <c r="BA26" s="52">
        <f t="shared" si="20"/>
        <v>0.77279932585935063</v>
      </c>
      <c r="BB26" s="14">
        <f t="shared" si="36"/>
        <v>4.5248696836356302E-2</v>
      </c>
      <c r="BC26" s="5">
        <f t="shared" si="37"/>
        <v>1.8082041323179344E-2</v>
      </c>
      <c r="BD26">
        <f t="shared" si="21"/>
        <v>1.7993658113395778E-2</v>
      </c>
      <c r="BE26">
        <f t="shared" si="22"/>
        <v>8.8383209783568295E-5</v>
      </c>
      <c r="BF26" s="50">
        <f>0</f>
        <v>0</v>
      </c>
      <c r="BG26" s="51">
        <f t="shared" si="23"/>
        <v>0.81082756655445554</v>
      </c>
      <c r="BH26" s="52">
        <f t="shared" si="24"/>
        <v>0.81082756655445554</v>
      </c>
      <c r="BI26" s="14">
        <f t="shared" si="38"/>
        <v>1.0849224793907607E-3</v>
      </c>
      <c r="BJ26" s="5">
        <f>0 + '1. Strategy Calcs'!V25 + '1. Strategy Calcs'!AC25 + '1. Strategy Calcs'!AJ25 + '1. Strategy Calcs'!AQ25 + '1. Strategy Calcs'!AX25 + '1. Strategy Calcs'!BE25 + BJ25</f>
        <v>0.11190178252639388</v>
      </c>
      <c r="BK26" s="63">
        <f>0</f>
        <v>0</v>
      </c>
    </row>
    <row r="27" spans="2:63" x14ac:dyDescent="0.35">
      <c r="B27" s="14">
        <v>19</v>
      </c>
      <c r="D27" s="5">
        <f>'1. Strategy Calcs'!T27</f>
        <v>0.70115999393291106</v>
      </c>
      <c r="E27">
        <f>'1. Strategy Calcs'!AA27</f>
        <v>7.4528894460001729E-2</v>
      </c>
      <c r="F27">
        <f>'1. Strategy Calcs'!AH27</f>
        <v>1.8632223615000432E-2</v>
      </c>
      <c r="G27">
        <f>'1. Strategy Calcs'!AO27</f>
        <v>1.1767720177895008E-2</v>
      </c>
      <c r="H27">
        <f>'1. Strategy Calcs'!AV27</f>
        <v>6.2761174282106744E-2</v>
      </c>
      <c r="I27">
        <f>'1. Strategy Calcs'!BC27</f>
        <v>1.7993658113395778E-2</v>
      </c>
      <c r="J27" s="6">
        <f>'1. Strategy Calcs'!BJ27</f>
        <v>0.11315633541868948</v>
      </c>
      <c r="K27" s="50">
        <f>'1. Strategy Calcs'!Y27 + '1. Strategy Calcs'!AF27 + '1. Strategy Calcs'!AM27 + '1. Strategy Calcs'!AT27 + '1. Strategy Calcs'!BA27 + '1. Strategy Calcs'!BH27 + '1. Strategy Calcs'!BK27</f>
        <v>12.307992583268639</v>
      </c>
      <c r="L27" s="51">
        <f>K27*'Time Discounting'!C24</f>
        <v>7.0190761883429129</v>
      </c>
      <c r="M27" s="52">
        <f t="shared" si="25"/>
        <v>135391.58765459972</v>
      </c>
      <c r="N27" s="5">
        <f>'1. Strategy Calcs'!Z27 + '1. Strategy Calcs'!AG27 + '1. Strategy Calcs'!AN27 + '1. Strategy Calcs'!AU27 + '1. Strategy Calcs'!BB27 + '1. Strategy Calcs'!BI27</f>
        <v>0.84217741920184974</v>
      </c>
      <c r="O27">
        <f>N27*'Time Discounting'!D24</f>
        <v>0.48028201426734385</v>
      </c>
      <c r="P27" s="6">
        <f t="shared" si="26"/>
        <v>12.624265271127879</v>
      </c>
      <c r="R27" s="14">
        <f t="shared" si="0"/>
        <v>1.0000000000000002</v>
      </c>
      <c r="T27" s="5">
        <f t="shared" si="27"/>
        <v>0.70115999393291106</v>
      </c>
      <c r="U27">
        <f t="shared" si="1"/>
        <v>0.70015488108160828</v>
      </c>
      <c r="V27">
        <f t="shared" si="2"/>
        <v>1.0051128513028276E-3</v>
      </c>
      <c r="W27" s="50">
        <f>0</f>
        <v>0</v>
      </c>
      <c r="X27" s="51">
        <f t="shared" si="3"/>
        <v>9.2209052978521395</v>
      </c>
      <c r="Y27" s="52">
        <f t="shared" si="4"/>
        <v>9.2209052978521395</v>
      </c>
      <c r="Z27" s="14">
        <f t="shared" si="28"/>
        <v>0.70115999393291106</v>
      </c>
      <c r="AA27" s="5">
        <f t="shared" si="29"/>
        <v>7.4528894460001729E-2</v>
      </c>
      <c r="AB27">
        <f t="shared" si="5"/>
        <v>7.4422057289793314E-2</v>
      </c>
      <c r="AC27">
        <f t="shared" si="6"/>
        <v>1.0683717020841244E-4</v>
      </c>
      <c r="AD27" s="50">
        <f>0</f>
        <v>0</v>
      </c>
      <c r="AE27" s="51">
        <f t="shared" si="7"/>
        <v>0.98012419949197571</v>
      </c>
      <c r="AF27" s="52">
        <f t="shared" si="8"/>
        <v>0.98012419949197571</v>
      </c>
      <c r="AG27" s="14">
        <f t="shared" si="30"/>
        <v>7.4528894460001729E-2</v>
      </c>
      <c r="AH27" s="5">
        <f t="shared" si="31"/>
        <v>1.8632223615000432E-2</v>
      </c>
      <c r="AI27">
        <f t="shared" si="9"/>
        <v>1.8605514322448329E-2</v>
      </c>
      <c r="AJ27">
        <f t="shared" si="10"/>
        <v>2.6709292552103109E-5</v>
      </c>
      <c r="AK27" s="50">
        <f>0</f>
        <v>0</v>
      </c>
      <c r="AL27" s="51">
        <f t="shared" si="11"/>
        <v>0.24503104987299393</v>
      </c>
      <c r="AM27" s="52">
        <f t="shared" si="12"/>
        <v>0.24503104987299393</v>
      </c>
      <c r="AN27" s="14">
        <f t="shared" si="32"/>
        <v>1.3042556530500302E-2</v>
      </c>
      <c r="AO27" s="5">
        <f t="shared" si="33"/>
        <v>1.1767720177895008E-2</v>
      </c>
      <c r="AP27">
        <f t="shared" si="13"/>
        <v>1.1750851151019997E-2</v>
      </c>
      <c r="AQ27">
        <f t="shared" si="14"/>
        <v>1.6869026875012487E-5</v>
      </c>
      <c r="AR27" s="50">
        <f>0</f>
        <v>0</v>
      </c>
      <c r="AS27" s="51">
        <f t="shared" si="15"/>
        <v>0.15475645255136455</v>
      </c>
      <c r="AT27" s="52">
        <f t="shared" si="16"/>
        <v>0.15475645255136455</v>
      </c>
      <c r="AU27" s="14">
        <f t="shared" si="34"/>
        <v>7.1783093085159549E-3</v>
      </c>
      <c r="AV27" s="5">
        <f t="shared" si="35"/>
        <v>6.2761174282106744E-2</v>
      </c>
      <c r="AW27">
        <f t="shared" si="17"/>
        <v>6.2671206138773347E-2</v>
      </c>
      <c r="AX27">
        <f t="shared" si="18"/>
        <v>8.9968143333399989E-5</v>
      </c>
      <c r="AY27" s="50">
        <f>0</f>
        <v>0</v>
      </c>
      <c r="AZ27" s="51">
        <f t="shared" si="19"/>
        <v>0.82536774694061155</v>
      </c>
      <c r="BA27" s="52">
        <f t="shared" si="20"/>
        <v>0.82536774694061155</v>
      </c>
      <c r="BB27" s="14">
        <f t="shared" si="36"/>
        <v>4.5188045483116855E-2</v>
      </c>
      <c r="BC27" s="5">
        <f t="shared" si="37"/>
        <v>1.7993658113395778E-2</v>
      </c>
      <c r="BD27">
        <f t="shared" si="21"/>
        <v>1.7897537791119827E-2</v>
      </c>
      <c r="BE27">
        <f t="shared" si="22"/>
        <v>9.6120322275948977E-5</v>
      </c>
      <c r="BF27" s="50">
        <f>0</f>
        <v>0</v>
      </c>
      <c r="BG27" s="51">
        <f t="shared" si="23"/>
        <v>0.88180783655955597</v>
      </c>
      <c r="BH27" s="52">
        <f t="shared" si="24"/>
        <v>0.88180783655955597</v>
      </c>
      <c r="BI27" s="14">
        <f t="shared" si="38"/>
        <v>1.0796194868037466E-3</v>
      </c>
      <c r="BJ27" s="5">
        <f>0 + '1. Strategy Calcs'!V26 + '1. Strategy Calcs'!AC26 + '1. Strategy Calcs'!AJ26 + '1. Strategy Calcs'!AQ26 + '1. Strategy Calcs'!AX26 + '1. Strategy Calcs'!BE26 + BJ26</f>
        <v>0.11315633541868948</v>
      </c>
      <c r="BK27" s="63">
        <f>0</f>
        <v>0</v>
      </c>
    </row>
    <row r="28" spans="2:63" x14ac:dyDescent="0.35">
      <c r="B28" s="14">
        <v>20</v>
      </c>
      <c r="D28" s="5">
        <f>'1. Strategy Calcs'!T28</f>
        <v>0.70015488108160828</v>
      </c>
      <c r="E28">
        <f>'1. Strategy Calcs'!AA28</f>
        <v>7.4422057289793314E-2</v>
      </c>
      <c r="F28">
        <f>'1. Strategy Calcs'!AH28</f>
        <v>1.8605514322448329E-2</v>
      </c>
      <c r="G28">
        <f>'1. Strategy Calcs'!AO28</f>
        <v>1.1750851151019997E-2</v>
      </c>
      <c r="H28">
        <f>'1. Strategy Calcs'!AV28</f>
        <v>6.2671206138773347E-2</v>
      </c>
      <c r="I28">
        <f>'1. Strategy Calcs'!BC28</f>
        <v>1.7897537791119827E-2</v>
      </c>
      <c r="J28" s="6">
        <f>'1. Strategy Calcs'!BJ28</f>
        <v>0.11449795222523719</v>
      </c>
      <c r="K28" s="50">
        <f>'1. Strategy Calcs'!Y28 + '1. Strategy Calcs'!AF28 + '1. Strategy Calcs'!AM28 + '1. Strategy Calcs'!AT28 + '1. Strategy Calcs'!BA28 + '1. Strategy Calcs'!BH28 + '1. Strategy Calcs'!BK28</f>
        <v>12.975986060593096</v>
      </c>
      <c r="L28" s="51">
        <f>K28*'Time Discounting'!C25</f>
        <v>7.1844888684102521</v>
      </c>
      <c r="M28" s="52">
        <f t="shared" si="25"/>
        <v>135398.77214346812</v>
      </c>
      <c r="N28" s="5">
        <f>'1. Strategy Calcs'!Z28 + '1. Strategy Calcs'!AG28 + '1. Strategy Calcs'!AN28 + '1. Strategy Calcs'!AU28 + '1. Strategy Calcs'!BB28 + '1. Strategy Calcs'!BI28</f>
        <v>0.84096593828662158</v>
      </c>
      <c r="O28">
        <f>N28*'Time Discounting'!D25</f>
        <v>0.46562245012586401</v>
      </c>
      <c r="P28" s="6">
        <f t="shared" si="26"/>
        <v>13.089887721253742</v>
      </c>
      <c r="R28" s="14">
        <f t="shared" si="0"/>
        <v>1.0000000000000002</v>
      </c>
      <c r="T28" s="5">
        <f t="shared" si="27"/>
        <v>0.70015488108160828</v>
      </c>
      <c r="U28">
        <f t="shared" si="1"/>
        <v>0.69907076126374157</v>
      </c>
      <c r="V28">
        <f t="shared" si="2"/>
        <v>1.0841198178667623E-3</v>
      </c>
      <c r="W28" s="50">
        <f>0</f>
        <v>0</v>
      </c>
      <c r="X28" s="51">
        <f t="shared" si="3"/>
        <v>9.945715209109677</v>
      </c>
      <c r="Y28" s="52">
        <f t="shared" si="4"/>
        <v>9.945715209109677</v>
      </c>
      <c r="Z28" s="14">
        <f t="shared" si="28"/>
        <v>0.70015488108160828</v>
      </c>
      <c r="AA28" s="5">
        <f t="shared" si="29"/>
        <v>7.4422057289793314E-2</v>
      </c>
      <c r="AB28">
        <f t="shared" si="5"/>
        <v>7.43068221762858E-2</v>
      </c>
      <c r="AC28">
        <f t="shared" si="6"/>
        <v>1.1523511350751597E-4</v>
      </c>
      <c r="AD28" s="50">
        <f>0</f>
        <v>0</v>
      </c>
      <c r="AE28" s="51">
        <f t="shared" si="7"/>
        <v>1.0571669313179515</v>
      </c>
      <c r="AF28" s="52">
        <f t="shared" si="8"/>
        <v>1.0571669313179515</v>
      </c>
      <c r="AG28" s="14">
        <f t="shared" si="30"/>
        <v>7.4422057289793314E-2</v>
      </c>
      <c r="AH28" s="5">
        <f t="shared" si="31"/>
        <v>1.8605514322448329E-2</v>
      </c>
      <c r="AI28">
        <f t="shared" si="9"/>
        <v>1.857670554407145E-2</v>
      </c>
      <c r="AJ28">
        <f t="shared" si="10"/>
        <v>2.8808778376878993E-5</v>
      </c>
      <c r="AK28" s="50">
        <f>0</f>
        <v>0</v>
      </c>
      <c r="AL28" s="51">
        <f t="shared" si="11"/>
        <v>0.26429173282948787</v>
      </c>
      <c r="AM28" s="52">
        <f t="shared" si="12"/>
        <v>0.26429173282948787</v>
      </c>
      <c r="AN28" s="14">
        <f t="shared" si="32"/>
        <v>1.3023860025713829E-2</v>
      </c>
      <c r="AO28" s="5">
        <f t="shared" si="33"/>
        <v>1.1750851151019997E-2</v>
      </c>
      <c r="AP28">
        <f t="shared" si="13"/>
        <v>1.1732656133097758E-2</v>
      </c>
      <c r="AQ28">
        <f t="shared" si="14"/>
        <v>1.8195017922239364E-5</v>
      </c>
      <c r="AR28" s="50">
        <f>0</f>
        <v>0</v>
      </c>
      <c r="AS28" s="51">
        <f t="shared" si="15"/>
        <v>0.16692109441862393</v>
      </c>
      <c r="AT28" s="52">
        <f t="shared" si="16"/>
        <v>0.16692109441862393</v>
      </c>
      <c r="AU28" s="14">
        <f t="shared" si="34"/>
        <v>7.1680192021221978E-3</v>
      </c>
      <c r="AV28" s="5">
        <f t="shared" si="35"/>
        <v>6.2671206138773347E-2</v>
      </c>
      <c r="AW28">
        <f t="shared" si="17"/>
        <v>6.2574166043188065E-2</v>
      </c>
      <c r="AX28">
        <f t="shared" si="18"/>
        <v>9.7040095585276652E-5</v>
      </c>
      <c r="AY28" s="50">
        <f>0</f>
        <v>0</v>
      </c>
      <c r="AZ28" s="51">
        <f t="shared" si="19"/>
        <v>0.89024583689932801</v>
      </c>
      <c r="BA28" s="52">
        <f t="shared" si="20"/>
        <v>0.89024583689932801</v>
      </c>
      <c r="BB28" s="14">
        <f t="shared" si="36"/>
        <v>4.5123268419916811E-2</v>
      </c>
      <c r="BC28" s="5">
        <f t="shared" si="37"/>
        <v>1.7897537791119827E-2</v>
      </c>
      <c r="BD28">
        <f t="shared" si="21"/>
        <v>1.7826506043134432E-2</v>
      </c>
      <c r="BE28">
        <f t="shared" si="22"/>
        <v>7.1031747985396363E-5</v>
      </c>
      <c r="BF28" s="50">
        <f>0</f>
        <v>0</v>
      </c>
      <c r="BG28" s="51">
        <f t="shared" si="23"/>
        <v>0.65164525601802625</v>
      </c>
      <c r="BH28" s="52">
        <f t="shared" si="24"/>
        <v>0.65164525601802625</v>
      </c>
      <c r="BI28" s="14">
        <f t="shared" si="38"/>
        <v>1.0738522674671896E-3</v>
      </c>
      <c r="BJ28" s="5">
        <f>0 + '1. Strategy Calcs'!V27 + '1. Strategy Calcs'!AC27 + '1. Strategy Calcs'!AJ27 + '1. Strategy Calcs'!AQ27 + '1. Strategy Calcs'!AX27 + '1. Strategy Calcs'!BE27 + BJ27</f>
        <v>0.11449795222523719</v>
      </c>
      <c r="BK28" s="63">
        <f>0</f>
        <v>0</v>
      </c>
    </row>
    <row r="29" spans="2:63" x14ac:dyDescent="0.35">
      <c r="B29" s="14">
        <v>21</v>
      </c>
      <c r="D29" s="5">
        <f>'1. Strategy Calcs'!T29</f>
        <v>0.69907076126374157</v>
      </c>
      <c r="E29">
        <f>'1. Strategy Calcs'!AA29</f>
        <v>7.43068221762858E-2</v>
      </c>
      <c r="F29">
        <f>'1. Strategy Calcs'!AH29</f>
        <v>1.857670554407145E-2</v>
      </c>
      <c r="G29">
        <f>'1. Strategy Calcs'!AO29</f>
        <v>1.1732656133097758E-2</v>
      </c>
      <c r="H29">
        <f>'1. Strategy Calcs'!AV29</f>
        <v>6.2574166043188065E-2</v>
      </c>
      <c r="I29">
        <f>'1. Strategy Calcs'!BC29</f>
        <v>1.7826506043134432E-2</v>
      </c>
      <c r="J29" s="6">
        <f>'1. Strategy Calcs'!BJ29</f>
        <v>0.11591238279648126</v>
      </c>
      <c r="K29" s="50">
        <f>'1. Strategy Calcs'!Y29 + '1. Strategy Calcs'!AF29 + '1. Strategy Calcs'!AM29 + '1. Strategy Calcs'!AT29 + '1. Strategy Calcs'!BA29 + '1. Strategy Calcs'!BH29 + '1. Strategy Calcs'!BK29</f>
        <v>14.116038395533204</v>
      </c>
      <c r="L29" s="51">
        <f>K29*'Time Discounting'!C26</f>
        <v>7.5880662182234069</v>
      </c>
      <c r="M29" s="52">
        <f t="shared" si="25"/>
        <v>135406.36020968633</v>
      </c>
      <c r="N29" s="5">
        <f>'1. Strategy Calcs'!Z29 + '1. Strategy Calcs'!AG29 + '1. Strategy Calcs'!AN29 + '1. Strategy Calcs'!AU29 + '1. Strategy Calcs'!BB29 + '1. Strategy Calcs'!BI29</f>
        <v>0.83966118747575047</v>
      </c>
      <c r="O29">
        <f>N29*'Time Discounting'!D26</f>
        <v>0.45135926333653376</v>
      </c>
      <c r="P29" s="6">
        <f t="shared" si="26"/>
        <v>13.541246984590275</v>
      </c>
      <c r="R29" s="14">
        <f t="shared" si="0"/>
        <v>1.0000000000000002</v>
      </c>
      <c r="T29" s="5">
        <f t="shared" si="27"/>
        <v>0.69907076126374157</v>
      </c>
      <c r="U29">
        <f t="shared" si="1"/>
        <v>0.69789254740270767</v>
      </c>
      <c r="V29">
        <f t="shared" si="2"/>
        <v>1.1782138610339102E-3</v>
      </c>
      <c r="W29" s="50">
        <f>0</f>
        <v>0</v>
      </c>
      <c r="X29" s="51">
        <f t="shared" si="3"/>
        <v>10.808933961125092</v>
      </c>
      <c r="Y29" s="52">
        <f t="shared" si="4"/>
        <v>10.808933961125092</v>
      </c>
      <c r="Z29" s="14">
        <f t="shared" si="28"/>
        <v>0.69907076126374157</v>
      </c>
      <c r="AA29" s="5">
        <f t="shared" si="29"/>
        <v>7.43068221762858E-2</v>
      </c>
      <c r="AB29">
        <f t="shared" si="5"/>
        <v>7.4181585458189897E-2</v>
      </c>
      <c r="AC29">
        <f t="shared" si="6"/>
        <v>1.2523671809591208E-4</v>
      </c>
      <c r="AD29" s="50">
        <f>0</f>
        <v>0</v>
      </c>
      <c r="AE29" s="51">
        <f t="shared" si="7"/>
        <v>1.1489216518118974</v>
      </c>
      <c r="AF29" s="52">
        <f t="shared" si="8"/>
        <v>1.1489216518118974</v>
      </c>
      <c r="AG29" s="14">
        <f t="shared" si="30"/>
        <v>7.43068221762858E-2</v>
      </c>
      <c r="AH29" s="5">
        <f t="shared" si="31"/>
        <v>1.857670554407145E-2</v>
      </c>
      <c r="AI29">
        <f t="shared" si="9"/>
        <v>1.8545396364547474E-2</v>
      </c>
      <c r="AJ29">
        <f t="shared" si="10"/>
        <v>3.1309179523978021E-5</v>
      </c>
      <c r="AK29" s="50">
        <f>0</f>
        <v>0</v>
      </c>
      <c r="AL29" s="51">
        <f t="shared" si="11"/>
        <v>0.28723041295297436</v>
      </c>
      <c r="AM29" s="52">
        <f t="shared" si="12"/>
        <v>0.28723041295297436</v>
      </c>
      <c r="AN29" s="14">
        <f t="shared" si="32"/>
        <v>1.3003693880850015E-2</v>
      </c>
      <c r="AO29" s="5">
        <f t="shared" si="33"/>
        <v>1.1732656133097758E-2</v>
      </c>
      <c r="AP29">
        <f t="shared" si="13"/>
        <v>1.1712881914451035E-2</v>
      </c>
      <c r="AQ29">
        <f t="shared" si="14"/>
        <v>1.9774218646722961E-5</v>
      </c>
      <c r="AR29" s="50">
        <f>0</f>
        <v>0</v>
      </c>
      <c r="AS29" s="51">
        <f t="shared" si="15"/>
        <v>0.18140868186503645</v>
      </c>
      <c r="AT29" s="52">
        <f t="shared" si="16"/>
        <v>0.18140868186503645</v>
      </c>
      <c r="AU29" s="14">
        <f t="shared" si="34"/>
        <v>7.1569202411896323E-3</v>
      </c>
      <c r="AV29" s="5">
        <f t="shared" si="35"/>
        <v>6.2574166043188065E-2</v>
      </c>
      <c r="AW29">
        <f t="shared" si="17"/>
        <v>6.2468703543738881E-2</v>
      </c>
      <c r="AX29">
        <f t="shared" si="18"/>
        <v>1.0546249944918917E-4</v>
      </c>
      <c r="AY29" s="50">
        <f>0</f>
        <v>0</v>
      </c>
      <c r="AZ29" s="51">
        <f t="shared" si="19"/>
        <v>0.96751296994686153</v>
      </c>
      <c r="BA29" s="52">
        <f t="shared" si="20"/>
        <v>0.96751296994686153</v>
      </c>
      <c r="BB29" s="14">
        <f t="shared" si="36"/>
        <v>4.5053399551095406E-2</v>
      </c>
      <c r="BC29" s="5">
        <f t="shared" si="37"/>
        <v>1.7826506043134432E-2</v>
      </c>
      <c r="BD29">
        <f t="shared" si="21"/>
        <v>1.7747802018953995E-2</v>
      </c>
      <c r="BE29">
        <f t="shared" si="22"/>
        <v>7.8704024180438533E-5</v>
      </c>
      <c r="BF29" s="50">
        <f>0</f>
        <v>0</v>
      </c>
      <c r="BG29" s="51">
        <f t="shared" si="23"/>
        <v>0.72203071783134309</v>
      </c>
      <c r="BH29" s="52">
        <f t="shared" si="24"/>
        <v>0.72203071783134309</v>
      </c>
      <c r="BI29" s="14">
        <f t="shared" si="38"/>
        <v>1.0695903625880659E-3</v>
      </c>
      <c r="BJ29" s="5">
        <f>0 + '1. Strategy Calcs'!V28 + '1. Strategy Calcs'!AC28 + '1. Strategy Calcs'!AJ28 + '1. Strategy Calcs'!AQ28 + '1. Strategy Calcs'!AX28 + '1. Strategy Calcs'!BE28 + BJ28</f>
        <v>0.11591238279648126</v>
      </c>
      <c r="BK29" s="63">
        <f>0</f>
        <v>0</v>
      </c>
    </row>
    <row r="30" spans="2:63" x14ac:dyDescent="0.35">
      <c r="B30" s="14">
        <v>22</v>
      </c>
      <c r="D30" s="5">
        <f>'1. Strategy Calcs'!T30</f>
        <v>0.69789254740270767</v>
      </c>
      <c r="E30">
        <f>'1. Strategy Calcs'!AA30</f>
        <v>7.4181585458189897E-2</v>
      </c>
      <c r="F30">
        <f>'1. Strategy Calcs'!AH30</f>
        <v>1.8545396364547474E-2</v>
      </c>
      <c r="G30">
        <f>'1. Strategy Calcs'!AO30</f>
        <v>1.1712881914451035E-2</v>
      </c>
      <c r="H30">
        <f>'1. Strategy Calcs'!AV30</f>
        <v>6.2468703543738881E-2</v>
      </c>
      <c r="I30">
        <f>'1. Strategy Calcs'!BC30</f>
        <v>1.7747802018953995E-2</v>
      </c>
      <c r="J30" s="6">
        <f>'1. Strategy Calcs'!BJ30</f>
        <v>0.11745108329741141</v>
      </c>
      <c r="K30" s="50">
        <f>'1. Strategy Calcs'!Y30 + '1. Strategy Calcs'!AF30 + '1. Strategy Calcs'!AM30 + '1. Strategy Calcs'!AT30 + '1. Strategy Calcs'!BA30 + '1. Strategy Calcs'!BH30 + '1. Strategy Calcs'!BK30</f>
        <v>15.358912711338228</v>
      </c>
      <c r="L30" s="51">
        <f>K30*'Time Discounting'!C27</f>
        <v>8.015701365757641</v>
      </c>
      <c r="M30" s="52">
        <f t="shared" si="25"/>
        <v>135414.37591105208</v>
      </c>
      <c r="N30" s="5">
        <f>'1. Strategy Calcs'!Z30 + '1. Strategy Calcs'!AG30 + '1. Strategy Calcs'!AN30 + '1. Strategy Calcs'!AU30 + '1. Strategy Calcs'!BB30 + '1. Strategy Calcs'!BI30</f>
        <v>0.83824310295652527</v>
      </c>
      <c r="O30">
        <f>N30*'Time Discounting'!D27</f>
        <v>0.43747278934955963</v>
      </c>
      <c r="P30" s="6">
        <f t="shared" si="26"/>
        <v>13.978719773939835</v>
      </c>
      <c r="R30" s="14">
        <f t="shared" si="0"/>
        <v>1.0000000000000004</v>
      </c>
      <c r="T30" s="5">
        <f t="shared" si="27"/>
        <v>0.69789254740270767</v>
      </c>
      <c r="U30">
        <f t="shared" si="1"/>
        <v>0.69661149584269522</v>
      </c>
      <c r="V30">
        <f t="shared" si="2"/>
        <v>1.28105156001241E-3</v>
      </c>
      <c r="W30" s="50">
        <f>0</f>
        <v>0</v>
      </c>
      <c r="X30" s="51">
        <f t="shared" si="3"/>
        <v>11.752367011553849</v>
      </c>
      <c r="Y30" s="52">
        <f t="shared" si="4"/>
        <v>11.752367011553849</v>
      </c>
      <c r="Z30" s="14">
        <f t="shared" si="28"/>
        <v>0.69789254740270767</v>
      </c>
      <c r="AA30" s="5">
        <f t="shared" si="29"/>
        <v>7.4181585458189897E-2</v>
      </c>
      <c r="AB30">
        <f t="shared" si="5"/>
        <v>7.4045417739922834E-2</v>
      </c>
      <c r="AC30">
        <f t="shared" si="6"/>
        <v>1.3616771826705336E-4</v>
      </c>
      <c r="AD30" s="50">
        <f>0</f>
        <v>0</v>
      </c>
      <c r="AE30" s="51">
        <f t="shared" si="7"/>
        <v>1.2492026473819475</v>
      </c>
      <c r="AF30" s="52">
        <f t="shared" si="8"/>
        <v>1.2492026473819475</v>
      </c>
      <c r="AG30" s="14">
        <f t="shared" si="30"/>
        <v>7.4181585458189897E-2</v>
      </c>
      <c r="AH30" s="5">
        <f t="shared" si="31"/>
        <v>1.8545396364547474E-2</v>
      </c>
      <c r="AI30">
        <f t="shared" si="9"/>
        <v>1.8511354434980708E-2</v>
      </c>
      <c r="AJ30">
        <f t="shared" si="10"/>
        <v>3.4041929566763341E-5</v>
      </c>
      <c r="AK30" s="50">
        <f>0</f>
        <v>0</v>
      </c>
      <c r="AL30" s="51">
        <f t="shared" si="11"/>
        <v>0.31230066184548688</v>
      </c>
      <c r="AM30" s="52">
        <f t="shared" si="12"/>
        <v>0.31230066184548688</v>
      </c>
      <c r="AN30" s="14">
        <f t="shared" si="32"/>
        <v>1.2981777455183231E-2</v>
      </c>
      <c r="AO30" s="5">
        <f t="shared" si="33"/>
        <v>1.1712881914451035E-2</v>
      </c>
      <c r="AP30">
        <f t="shared" si="13"/>
        <v>1.1691381748408869E-2</v>
      </c>
      <c r="AQ30">
        <f t="shared" si="14"/>
        <v>2.1500166042166318E-5</v>
      </c>
      <c r="AR30" s="50">
        <f>0</f>
        <v>0</v>
      </c>
      <c r="AS30" s="51">
        <f t="shared" si="15"/>
        <v>0.1972425232708338</v>
      </c>
      <c r="AT30" s="52">
        <f t="shared" si="16"/>
        <v>0.1972425232708338</v>
      </c>
      <c r="AU30" s="14">
        <f t="shared" si="34"/>
        <v>7.1448579678151311E-3</v>
      </c>
      <c r="AV30" s="5">
        <f t="shared" si="35"/>
        <v>6.2468703543738881E-2</v>
      </c>
      <c r="AW30">
        <f t="shared" si="17"/>
        <v>6.2354035991513991E-2</v>
      </c>
      <c r="AX30">
        <f t="shared" si="18"/>
        <v>1.1466755222488707E-4</v>
      </c>
      <c r="AY30" s="50">
        <f>0</f>
        <v>0</v>
      </c>
      <c r="AZ30" s="51">
        <f t="shared" si="19"/>
        <v>1.0519601241111138</v>
      </c>
      <c r="BA30" s="52">
        <f t="shared" si="20"/>
        <v>1.0519601241111138</v>
      </c>
      <c r="BB30" s="14">
        <f t="shared" si="36"/>
        <v>4.4977466551491992E-2</v>
      </c>
      <c r="BC30" s="5">
        <f t="shared" si="37"/>
        <v>1.7747802018953995E-2</v>
      </c>
      <c r="BD30">
        <f t="shared" si="21"/>
        <v>1.7661052537465551E-2</v>
      </c>
      <c r="BE30">
        <f t="shared" si="22"/>
        <v>8.6749481488445216E-5</v>
      </c>
      <c r="BF30" s="50">
        <f>0</f>
        <v>0</v>
      </c>
      <c r="BG30" s="51">
        <f t="shared" si="23"/>
        <v>0.79583974317499639</v>
      </c>
      <c r="BH30" s="52">
        <f t="shared" si="24"/>
        <v>0.79583974317499639</v>
      </c>
      <c r="BI30" s="14">
        <f t="shared" si="38"/>
        <v>1.0648681211372396E-3</v>
      </c>
      <c r="BJ30" s="5">
        <f>0 + '1. Strategy Calcs'!V29 + '1. Strategy Calcs'!AC29 + '1. Strategy Calcs'!AJ29 + '1. Strategy Calcs'!AQ29 + '1. Strategy Calcs'!AX29 + '1. Strategy Calcs'!BE29 + BJ29</f>
        <v>0.11745108329741141</v>
      </c>
      <c r="BK30" s="63">
        <f>0</f>
        <v>0</v>
      </c>
    </row>
    <row r="31" spans="2:63" x14ac:dyDescent="0.35">
      <c r="B31" s="14">
        <v>23</v>
      </c>
      <c r="D31" s="5">
        <f>'1. Strategy Calcs'!T31</f>
        <v>0.69661149584269522</v>
      </c>
      <c r="E31">
        <f>'1. Strategy Calcs'!AA31</f>
        <v>7.4045417739922834E-2</v>
      </c>
      <c r="F31">
        <f>'1. Strategy Calcs'!AH31</f>
        <v>1.8511354434980708E-2</v>
      </c>
      <c r="G31">
        <f>'1. Strategy Calcs'!AO31</f>
        <v>1.1691381748408869E-2</v>
      </c>
      <c r="H31">
        <f>'1. Strategy Calcs'!AV31</f>
        <v>6.2354035991513991E-2</v>
      </c>
      <c r="I31">
        <f>'1. Strategy Calcs'!BC31</f>
        <v>1.7661052537465551E-2</v>
      </c>
      <c r="J31" s="6">
        <f>'1. Strategy Calcs'!BJ31</f>
        <v>0.11912526170501314</v>
      </c>
      <c r="K31" s="50">
        <f>'1. Strategy Calcs'!Y31 + '1. Strategy Calcs'!AF31 + '1. Strategy Calcs'!AM31 + '1. Strategy Calcs'!AT31 + '1. Strategy Calcs'!BA31 + '1. Strategy Calcs'!BH31 + '1. Strategy Calcs'!BK31</f>
        <v>16.700585028606415</v>
      </c>
      <c r="L31" s="51">
        <f>K31*'Time Discounting'!C28</f>
        <v>8.462048627943366</v>
      </c>
      <c r="M31" s="52">
        <f t="shared" si="25"/>
        <v>135422.83795968001</v>
      </c>
      <c r="N31" s="5">
        <f>'1. Strategy Calcs'!Z31 + '1. Strategy Calcs'!AG31 + '1. Strategy Calcs'!AN31 + '1. Strategy Calcs'!AU31 + '1. Strategy Calcs'!BB31 + '1. Strategy Calcs'!BI31</f>
        <v>0.83670117361977192</v>
      </c>
      <c r="O31">
        <f>N31*'Time Discounting'!D28</f>
        <v>0.42394958057457977</v>
      </c>
      <c r="P31" s="6">
        <f t="shared" si="26"/>
        <v>14.402669354514414</v>
      </c>
      <c r="R31" s="14">
        <f t="shared" si="0"/>
        <v>1.0000000000000004</v>
      </c>
      <c r="T31" s="5">
        <f t="shared" si="27"/>
        <v>0.69661149584269522</v>
      </c>
      <c r="U31">
        <f t="shared" si="1"/>
        <v>0.69521855149560818</v>
      </c>
      <c r="V31">
        <f t="shared" si="2"/>
        <v>1.3929443470870532E-3</v>
      </c>
      <c r="W31" s="50">
        <f>0</f>
        <v>0</v>
      </c>
      <c r="X31" s="51">
        <f t="shared" si="3"/>
        <v>12.778871440176626</v>
      </c>
      <c r="Y31" s="52">
        <f t="shared" si="4"/>
        <v>12.778871440176626</v>
      </c>
      <c r="Z31" s="14">
        <f t="shared" si="28"/>
        <v>0.69661149584269522</v>
      </c>
      <c r="AA31" s="5">
        <f t="shared" si="29"/>
        <v>7.4045417739922834E-2</v>
      </c>
      <c r="AB31">
        <f t="shared" si="5"/>
        <v>7.3897356522610091E-2</v>
      </c>
      <c r="AC31">
        <f t="shared" si="6"/>
        <v>1.480612173127497E-4</v>
      </c>
      <c r="AD31" s="50">
        <f>0</f>
        <v>0</v>
      </c>
      <c r="AE31" s="51">
        <f t="shared" si="7"/>
        <v>1.3583136076271658</v>
      </c>
      <c r="AF31" s="52">
        <f t="shared" si="8"/>
        <v>1.3583136076271658</v>
      </c>
      <c r="AG31" s="14">
        <f t="shared" si="30"/>
        <v>7.4045417739922834E-2</v>
      </c>
      <c r="AH31" s="5">
        <f t="shared" si="31"/>
        <v>1.8511354434980708E-2</v>
      </c>
      <c r="AI31">
        <f t="shared" si="9"/>
        <v>1.8474339130652523E-2</v>
      </c>
      <c r="AJ31">
        <f t="shared" si="10"/>
        <v>3.7015304328187424E-5</v>
      </c>
      <c r="AK31" s="50">
        <f>0</f>
        <v>0</v>
      </c>
      <c r="AL31" s="51">
        <f t="shared" si="11"/>
        <v>0.33957840190679145</v>
      </c>
      <c r="AM31" s="52">
        <f t="shared" si="12"/>
        <v>0.33957840190679145</v>
      </c>
      <c r="AN31" s="14">
        <f t="shared" si="32"/>
        <v>1.2957948104486494E-2</v>
      </c>
      <c r="AO31" s="5">
        <f t="shared" si="33"/>
        <v>1.1691381748408869E-2</v>
      </c>
      <c r="AP31">
        <f t="shared" si="13"/>
        <v>1.1668003661464751E-2</v>
      </c>
      <c r="AQ31">
        <f t="shared" si="14"/>
        <v>2.337808694411837E-5</v>
      </c>
      <c r="AR31" s="50">
        <f>0</f>
        <v>0</v>
      </c>
      <c r="AS31" s="51">
        <f t="shared" si="15"/>
        <v>0.21447056962534192</v>
      </c>
      <c r="AT31" s="52">
        <f t="shared" si="16"/>
        <v>0.21447056962534192</v>
      </c>
      <c r="AU31" s="14">
        <f t="shared" si="34"/>
        <v>7.1317428665294098E-3</v>
      </c>
      <c r="AV31" s="5">
        <f t="shared" si="35"/>
        <v>6.2354035991513991E-2</v>
      </c>
      <c r="AW31">
        <f t="shared" si="17"/>
        <v>6.2229352861145358E-2</v>
      </c>
      <c r="AX31">
        <f t="shared" si="18"/>
        <v>1.2468313036863136E-4</v>
      </c>
      <c r="AY31" s="50">
        <f>0</f>
        <v>0</v>
      </c>
      <c r="AZ31" s="51">
        <f t="shared" si="19"/>
        <v>1.1438430380018241</v>
      </c>
      <c r="BA31" s="52">
        <f t="shared" si="20"/>
        <v>1.1438430380018241</v>
      </c>
      <c r="BB31" s="14">
        <f t="shared" si="36"/>
        <v>4.4894905913890074E-2</v>
      </c>
      <c r="BC31" s="5">
        <f t="shared" si="37"/>
        <v>1.7661052537465551E-2</v>
      </c>
      <c r="BD31">
        <f t="shared" si="21"/>
        <v>1.7566708960915663E-2</v>
      </c>
      <c r="BE31">
        <f t="shared" si="22"/>
        <v>9.4343576549887288E-5</v>
      </c>
      <c r="BF31" s="50">
        <f>0</f>
        <v>0</v>
      </c>
      <c r="BG31" s="51">
        <f t="shared" si="23"/>
        <v>0.86550797126866597</v>
      </c>
      <c r="BH31" s="52">
        <f t="shared" si="24"/>
        <v>0.86550797126866597</v>
      </c>
      <c r="BI31" s="14">
        <f t="shared" si="38"/>
        <v>1.059663152247933E-3</v>
      </c>
      <c r="BJ31" s="5">
        <f>0 + '1. Strategy Calcs'!V30 + '1. Strategy Calcs'!AC30 + '1. Strategy Calcs'!AJ30 + '1. Strategy Calcs'!AQ30 + '1. Strategy Calcs'!AX30 + '1. Strategy Calcs'!BE30 + BJ30</f>
        <v>0.11912526170501314</v>
      </c>
      <c r="BK31" s="63">
        <f>0</f>
        <v>0</v>
      </c>
    </row>
    <row r="32" spans="2:63" x14ac:dyDescent="0.35">
      <c r="B32" s="14">
        <v>24</v>
      </c>
      <c r="D32" s="5">
        <f>'1. Strategy Calcs'!T32</f>
        <v>0.69521855149560818</v>
      </c>
      <c r="E32">
        <f>'1. Strategy Calcs'!AA32</f>
        <v>7.3897356522610091E-2</v>
      </c>
      <c r="F32">
        <f>'1. Strategy Calcs'!AH32</f>
        <v>1.8474339130652523E-2</v>
      </c>
      <c r="G32">
        <f>'1. Strategy Calcs'!AO32</f>
        <v>1.1668003661464751E-2</v>
      </c>
      <c r="H32">
        <f>'1. Strategy Calcs'!AV32</f>
        <v>6.2229352861145358E-2</v>
      </c>
      <c r="I32">
        <f>'1. Strategy Calcs'!BC32</f>
        <v>1.7566708960915663E-2</v>
      </c>
      <c r="J32" s="6">
        <f>'1. Strategy Calcs'!BJ32</f>
        <v>0.12094568736760376</v>
      </c>
      <c r="K32" s="50">
        <f>'1. Strategy Calcs'!Y32 + '1. Strategy Calcs'!AF32 + '1. Strategy Calcs'!AM32 + '1. Strategy Calcs'!AT32 + '1. Strategy Calcs'!BA32 + '1. Strategy Calcs'!BH32 + '1. Strategy Calcs'!BK32</f>
        <v>17.930411756616486</v>
      </c>
      <c r="L32" s="51">
        <f>K32*'Time Discounting'!C29</f>
        <v>8.8205744495382152</v>
      </c>
      <c r="M32" s="52">
        <f t="shared" si="25"/>
        <v>135431.65853412956</v>
      </c>
      <c r="N32" s="5">
        <f>'1. Strategy Calcs'!Z32 + '1. Strategy Calcs'!AG32 + '1. Strategy Calcs'!AN32 + '1. Strategy Calcs'!AU32 + '1. Strategy Calcs'!BB32 + '1. Strategy Calcs'!BI32</f>
        <v>0.83502456424084814</v>
      </c>
      <c r="O32">
        <f>N32*'Time Discounting'!D29</f>
        <v>0.41077675382227113</v>
      </c>
      <c r="P32" s="6">
        <f t="shared" si="26"/>
        <v>14.813446108336684</v>
      </c>
      <c r="R32" s="14">
        <f t="shared" si="0"/>
        <v>1.0000000000000002</v>
      </c>
      <c r="T32" s="5">
        <f t="shared" si="27"/>
        <v>0.69521855149560818</v>
      </c>
      <c r="U32">
        <f t="shared" si="1"/>
        <v>0.69369755234864616</v>
      </c>
      <c r="V32">
        <f t="shared" si="2"/>
        <v>1.520999146962091E-3</v>
      </c>
      <c r="W32" s="50">
        <f>0</f>
        <v>0</v>
      </c>
      <c r="X32" s="51">
        <f t="shared" si="3"/>
        <v>13.953646174230222</v>
      </c>
      <c r="Y32" s="52">
        <f t="shared" si="4"/>
        <v>13.953646174230222</v>
      </c>
      <c r="Z32" s="14">
        <f t="shared" si="28"/>
        <v>0.69521855149560818</v>
      </c>
      <c r="AA32" s="5">
        <f t="shared" si="29"/>
        <v>7.3897356522610091E-2</v>
      </c>
      <c r="AB32">
        <f t="shared" si="5"/>
        <v>7.3735683886009928E-2</v>
      </c>
      <c r="AC32">
        <f t="shared" si="6"/>
        <v>1.6167263660016632E-4</v>
      </c>
      <c r="AD32" s="50">
        <f>0</f>
        <v>0</v>
      </c>
      <c r="AE32" s="51">
        <f t="shared" si="7"/>
        <v>1.4831847681699257</v>
      </c>
      <c r="AF32" s="52">
        <f t="shared" si="8"/>
        <v>1.4831847681699257</v>
      </c>
      <c r="AG32" s="14">
        <f t="shared" si="30"/>
        <v>7.3897356522610091E-2</v>
      </c>
      <c r="AH32" s="5">
        <f t="shared" si="31"/>
        <v>1.8474339130652523E-2</v>
      </c>
      <c r="AI32">
        <f t="shared" si="9"/>
        <v>1.8433920971502482E-2</v>
      </c>
      <c r="AJ32">
        <f t="shared" si="10"/>
        <v>4.041815915004158E-5</v>
      </c>
      <c r="AK32" s="50">
        <f>0</f>
        <v>0</v>
      </c>
      <c r="AL32" s="51">
        <f t="shared" si="11"/>
        <v>0.37079619204248143</v>
      </c>
      <c r="AM32" s="52">
        <f t="shared" si="12"/>
        <v>0.37079619204248143</v>
      </c>
      <c r="AN32" s="14">
        <f t="shared" si="32"/>
        <v>1.2932037391456765E-2</v>
      </c>
      <c r="AO32" s="5">
        <f t="shared" si="33"/>
        <v>1.1668003661464751E-2</v>
      </c>
      <c r="AP32">
        <f t="shared" si="13"/>
        <v>1.1642476403054198E-2</v>
      </c>
      <c r="AQ32">
        <f t="shared" si="14"/>
        <v>2.5527258410552574E-5</v>
      </c>
      <c r="AR32" s="50">
        <f>0</f>
        <v>0</v>
      </c>
      <c r="AS32" s="51">
        <f t="shared" si="15"/>
        <v>0.23418706865840933</v>
      </c>
      <c r="AT32" s="52">
        <f t="shared" si="16"/>
        <v>0.23418706865840933</v>
      </c>
      <c r="AU32" s="14">
        <f t="shared" si="34"/>
        <v>7.1174822334934976E-3</v>
      </c>
      <c r="AV32" s="5">
        <f t="shared" si="35"/>
        <v>6.2229352861145358E-2</v>
      </c>
      <c r="AW32">
        <f t="shared" si="17"/>
        <v>6.2093207482955749E-2</v>
      </c>
      <c r="AX32">
        <f t="shared" si="18"/>
        <v>1.3614537818961377E-4</v>
      </c>
      <c r="AY32" s="50">
        <f>0</f>
        <v>0</v>
      </c>
      <c r="AZ32" s="51">
        <f t="shared" si="19"/>
        <v>1.2489976995115168</v>
      </c>
      <c r="BA32" s="52">
        <f t="shared" si="20"/>
        <v>1.2489976995115168</v>
      </c>
      <c r="BB32" s="14">
        <f t="shared" si="36"/>
        <v>4.4805134060024655E-2</v>
      </c>
      <c r="BC32" s="5">
        <f t="shared" si="37"/>
        <v>1.7566708960915663E-2</v>
      </c>
      <c r="BD32">
        <f t="shared" si="21"/>
        <v>1.7496990206391581E-2</v>
      </c>
      <c r="BE32">
        <f t="shared" si="22"/>
        <v>6.9718754524082142E-5</v>
      </c>
      <c r="BF32" s="50">
        <f>0</f>
        <v>0</v>
      </c>
      <c r="BG32" s="51">
        <f t="shared" si="23"/>
        <v>0.6395998540039296</v>
      </c>
      <c r="BH32" s="52">
        <f t="shared" si="24"/>
        <v>0.6395998540039296</v>
      </c>
      <c r="BI32" s="14">
        <f t="shared" si="38"/>
        <v>1.0540025376549397E-3</v>
      </c>
      <c r="BJ32" s="5">
        <f>0 + '1. Strategy Calcs'!V31 + '1. Strategy Calcs'!AC31 + '1. Strategy Calcs'!AJ31 + '1. Strategy Calcs'!AQ31 + '1. Strategy Calcs'!AX31 + '1. Strategy Calcs'!BE31 + BJ31</f>
        <v>0.12094568736760376</v>
      </c>
      <c r="BK32" s="63">
        <f>0</f>
        <v>0</v>
      </c>
    </row>
    <row r="33" spans="2:63" x14ac:dyDescent="0.35">
      <c r="B33" s="14">
        <v>25</v>
      </c>
      <c r="D33" s="5">
        <f>'1. Strategy Calcs'!T33</f>
        <v>0.69369755234864616</v>
      </c>
      <c r="E33">
        <f>'1. Strategy Calcs'!AA33</f>
        <v>7.3735683886009928E-2</v>
      </c>
      <c r="F33">
        <f>'1. Strategy Calcs'!AH33</f>
        <v>1.8433920971502482E-2</v>
      </c>
      <c r="G33">
        <f>'1. Strategy Calcs'!AO33</f>
        <v>1.1642476403054198E-2</v>
      </c>
      <c r="H33">
        <f>'1. Strategy Calcs'!AV33</f>
        <v>6.2093207482955749E-2</v>
      </c>
      <c r="I33">
        <f>'1. Strategy Calcs'!BC33</f>
        <v>1.7496990206391581E-2</v>
      </c>
      <c r="J33" s="6">
        <f>'1. Strategy Calcs'!BJ33</f>
        <v>0.12290016870144031</v>
      </c>
      <c r="K33" s="50">
        <f>'1. Strategy Calcs'!Y33 + '1. Strategy Calcs'!AF33 + '1. Strategy Calcs'!AM33 + '1. Strategy Calcs'!AT33 + '1. Strategy Calcs'!BA33 + '1. Strategy Calcs'!BH33 + '1. Strategy Calcs'!BK33</f>
        <v>19.632709983789088</v>
      </c>
      <c r="L33" s="51">
        <f>K33*'Time Discounting'!C30</f>
        <v>9.3766916279566566</v>
      </c>
      <c r="M33" s="52">
        <f t="shared" si="25"/>
        <v>135441.03522575751</v>
      </c>
      <c r="N33" s="5">
        <f>'1. Strategy Calcs'!Z33 + '1. Strategy Calcs'!AG33 + '1. Strategy Calcs'!AN33 + '1. Strategy Calcs'!AU33 + '1. Strategy Calcs'!BB33 + '1. Strategy Calcs'!BI33</f>
        <v>0.83319582032068251</v>
      </c>
      <c r="O33">
        <f>N33*'Time Discounting'!D30</f>
        <v>0.39793896407069507</v>
      </c>
      <c r="P33" s="6">
        <f t="shared" si="26"/>
        <v>15.21138507240738</v>
      </c>
      <c r="R33" s="14">
        <f t="shared" si="0"/>
        <v>1.0000000000000004</v>
      </c>
      <c r="T33" s="5">
        <f t="shared" si="27"/>
        <v>0.69369755234864616</v>
      </c>
      <c r="U33">
        <f t="shared" si="1"/>
        <v>0.69203288633227511</v>
      </c>
      <c r="V33">
        <f t="shared" si="2"/>
        <v>1.6646660163710458E-3</v>
      </c>
      <c r="W33" s="50">
        <f>0</f>
        <v>0</v>
      </c>
      <c r="X33" s="51">
        <f t="shared" si="3"/>
        <v>15.271646034187974</v>
      </c>
      <c r="Y33" s="52">
        <f t="shared" si="4"/>
        <v>15.271646034187974</v>
      </c>
      <c r="Z33" s="14">
        <f t="shared" si="28"/>
        <v>0.69369755234864616</v>
      </c>
      <c r="AA33" s="5">
        <f t="shared" si="29"/>
        <v>7.3735683886009928E-2</v>
      </c>
      <c r="AB33">
        <f t="shared" si="5"/>
        <v>7.3558740365388675E-2</v>
      </c>
      <c r="AC33">
        <f t="shared" si="6"/>
        <v>1.7694352062125798E-4</v>
      </c>
      <c r="AD33" s="50">
        <f>0</f>
        <v>0</v>
      </c>
      <c r="AE33" s="51">
        <f t="shared" si="7"/>
        <v>1.6232798581794208</v>
      </c>
      <c r="AF33" s="52">
        <f t="shared" si="8"/>
        <v>1.6232798581794208</v>
      </c>
      <c r="AG33" s="14">
        <f t="shared" si="30"/>
        <v>7.3735683886009928E-2</v>
      </c>
      <c r="AH33" s="5">
        <f t="shared" si="31"/>
        <v>1.8433920971502482E-2</v>
      </c>
      <c r="AI33">
        <f t="shared" si="9"/>
        <v>1.8389685091347169E-2</v>
      </c>
      <c r="AJ33">
        <f t="shared" si="10"/>
        <v>4.4235880155314495E-5</v>
      </c>
      <c r="AK33" s="50">
        <f>0</f>
        <v>0</v>
      </c>
      <c r="AL33" s="51">
        <f t="shared" si="11"/>
        <v>0.40581996454485519</v>
      </c>
      <c r="AM33" s="52">
        <f t="shared" si="12"/>
        <v>0.40581996454485519</v>
      </c>
      <c r="AN33" s="14">
        <f t="shared" si="32"/>
        <v>1.2903744680051737E-2</v>
      </c>
      <c r="AO33" s="5">
        <f t="shared" si="33"/>
        <v>1.1642476403054198E-2</v>
      </c>
      <c r="AP33">
        <f t="shared" si="13"/>
        <v>1.1614537952429789E-2</v>
      </c>
      <c r="AQ33">
        <f t="shared" si="14"/>
        <v>2.7938450624409152E-5</v>
      </c>
      <c r="AR33" s="50">
        <f>0</f>
        <v>0</v>
      </c>
      <c r="AS33" s="51">
        <f t="shared" si="15"/>
        <v>0.25630734602832955</v>
      </c>
      <c r="AT33" s="52">
        <f t="shared" si="16"/>
        <v>0.25630734602832955</v>
      </c>
      <c r="AU33" s="14">
        <f t="shared" si="34"/>
        <v>7.1019106058630606E-3</v>
      </c>
      <c r="AV33" s="5">
        <f t="shared" si="35"/>
        <v>6.2093207482955749E-2</v>
      </c>
      <c r="AW33">
        <f t="shared" si="17"/>
        <v>6.19442024129589E-2</v>
      </c>
      <c r="AX33">
        <f t="shared" si="18"/>
        <v>1.4900506999684888E-4</v>
      </c>
      <c r="AY33" s="50">
        <f>0</f>
        <v>0</v>
      </c>
      <c r="AZ33" s="51">
        <f t="shared" si="19"/>
        <v>1.3669725121510916</v>
      </c>
      <c r="BA33" s="52">
        <f t="shared" si="20"/>
        <v>1.3669725121510916</v>
      </c>
      <c r="BB33" s="14">
        <f t="shared" si="36"/>
        <v>4.4707109387728136E-2</v>
      </c>
      <c r="BC33" s="5">
        <f t="shared" si="37"/>
        <v>1.7496990206391581E-2</v>
      </c>
      <c r="BD33">
        <f t="shared" si="21"/>
        <v>1.741974099463036E-2</v>
      </c>
      <c r="BE33">
        <f t="shared" si="22"/>
        <v>7.7249211761218876E-5</v>
      </c>
      <c r="BF33" s="50">
        <f>0</f>
        <v>0</v>
      </c>
      <c r="BG33" s="51">
        <f t="shared" si="23"/>
        <v>0.70868426869742196</v>
      </c>
      <c r="BH33" s="52">
        <f t="shared" si="24"/>
        <v>0.70868426869742196</v>
      </c>
      <c r="BI33" s="14">
        <f t="shared" si="38"/>
        <v>1.0498194123834948E-3</v>
      </c>
      <c r="BJ33" s="5">
        <f>0 + '1. Strategy Calcs'!V32 + '1. Strategy Calcs'!AC32 + '1. Strategy Calcs'!AJ32 + '1. Strategy Calcs'!AQ32 + '1. Strategy Calcs'!AX32 + '1. Strategy Calcs'!BE32 + BJ32</f>
        <v>0.12290016870144031</v>
      </c>
      <c r="BK33" s="63">
        <f>0</f>
        <v>0</v>
      </c>
    </row>
    <row r="34" spans="2:63" x14ac:dyDescent="0.35">
      <c r="B34" s="14">
        <v>26</v>
      </c>
      <c r="D34" s="5">
        <f>'1. Strategy Calcs'!T34</f>
        <v>0.69203288633227511</v>
      </c>
      <c r="E34">
        <f>'1. Strategy Calcs'!AA34</f>
        <v>7.3558740365388675E-2</v>
      </c>
      <c r="F34">
        <f>'1. Strategy Calcs'!AH34</f>
        <v>1.8389685091347169E-2</v>
      </c>
      <c r="G34">
        <f>'1. Strategy Calcs'!AO34</f>
        <v>1.1614537952429789E-2</v>
      </c>
      <c r="H34">
        <f>'1. Strategy Calcs'!AV34</f>
        <v>6.19442024129589E-2</v>
      </c>
      <c r="I34">
        <f>'1. Strategy Calcs'!BC34</f>
        <v>1.741974099463036E-2</v>
      </c>
      <c r="J34" s="6">
        <f>'1. Strategy Calcs'!BJ34</f>
        <v>0.12504020685097042</v>
      </c>
      <c r="K34" s="50">
        <f>'1. Strategy Calcs'!Y34 + '1. Strategy Calcs'!AF34 + '1. Strategy Calcs'!AM34 + '1. Strategy Calcs'!AT34 + '1. Strategy Calcs'!BA34 + '1. Strategy Calcs'!BH34 + '1. Strategy Calcs'!BK34</f>
        <v>21.459728868222047</v>
      </c>
      <c r="L34" s="51">
        <f>K34*'Time Discounting'!C31</f>
        <v>9.9507631284544278</v>
      </c>
      <c r="M34" s="52">
        <f t="shared" si="25"/>
        <v>135450.98598888598</v>
      </c>
      <c r="N34" s="5">
        <f>'1. Strategy Calcs'!Z34 + '1. Strategy Calcs'!AG34 + '1. Strategy Calcs'!AN34 + '1. Strategy Calcs'!AU34 + '1. Strategy Calcs'!BB34 + '1. Strategy Calcs'!BI34</f>
        <v>0.83119428460959732</v>
      </c>
      <c r="O34">
        <f>N34*'Time Discounting'!D31</f>
        <v>0.38542040725048993</v>
      </c>
      <c r="P34" s="6">
        <f t="shared" si="26"/>
        <v>15.596805479657869</v>
      </c>
      <c r="R34" s="14">
        <f t="shared" si="0"/>
        <v>1.0000000000000007</v>
      </c>
      <c r="T34" s="5">
        <f t="shared" si="27"/>
        <v>0.69203288633227511</v>
      </c>
      <c r="U34">
        <f t="shared" si="1"/>
        <v>0.69021387789055066</v>
      </c>
      <c r="V34">
        <f t="shared" si="2"/>
        <v>1.8190084417243849E-3</v>
      </c>
      <c r="W34" s="50">
        <f>0</f>
        <v>0</v>
      </c>
      <c r="X34" s="51">
        <f t="shared" si="3"/>
        <v>16.687583444379506</v>
      </c>
      <c r="Y34" s="52">
        <f t="shared" si="4"/>
        <v>16.687583444379506</v>
      </c>
      <c r="Z34" s="14">
        <f t="shared" si="28"/>
        <v>0.69203288633227511</v>
      </c>
      <c r="AA34" s="5">
        <f t="shared" si="29"/>
        <v>7.3558740365388675E-2</v>
      </c>
      <c r="AB34">
        <f t="shared" si="5"/>
        <v>7.3365391216338255E-2</v>
      </c>
      <c r="AC34">
        <f t="shared" si="6"/>
        <v>1.9334914905042412E-4</v>
      </c>
      <c r="AD34" s="50">
        <f>0</f>
        <v>0</v>
      </c>
      <c r="AE34" s="51">
        <f t="shared" si="7"/>
        <v>1.773785093388591</v>
      </c>
      <c r="AF34" s="52">
        <f t="shared" si="8"/>
        <v>1.773785093388591</v>
      </c>
      <c r="AG34" s="14">
        <f t="shared" si="30"/>
        <v>7.3558740365388675E-2</v>
      </c>
      <c r="AH34" s="5">
        <f t="shared" si="31"/>
        <v>1.8389685091347169E-2</v>
      </c>
      <c r="AI34">
        <f t="shared" si="9"/>
        <v>1.8341347804084564E-2</v>
      </c>
      <c r="AJ34">
        <f t="shared" si="10"/>
        <v>4.8337287262606031E-5</v>
      </c>
      <c r="AK34" s="50">
        <f>0</f>
        <v>0</v>
      </c>
      <c r="AL34" s="51">
        <f t="shared" si="11"/>
        <v>0.44344627334714776</v>
      </c>
      <c r="AM34" s="52">
        <f t="shared" si="12"/>
        <v>0.44344627334714776</v>
      </c>
      <c r="AN34" s="14">
        <f t="shared" si="32"/>
        <v>1.2872779563943018E-2</v>
      </c>
      <c r="AO34" s="5">
        <f t="shared" si="33"/>
        <v>1.1614537952429789E-2</v>
      </c>
      <c r="AP34">
        <f t="shared" si="13"/>
        <v>1.1584009139421828E-2</v>
      </c>
      <c r="AQ34">
        <f t="shared" si="14"/>
        <v>3.0528813007961697E-5</v>
      </c>
      <c r="AR34" s="50">
        <f>0</f>
        <v>0</v>
      </c>
      <c r="AS34" s="51">
        <f t="shared" si="15"/>
        <v>0.28007133053504063</v>
      </c>
      <c r="AT34" s="52">
        <f t="shared" si="16"/>
        <v>0.28007133053504063</v>
      </c>
      <c r="AU34" s="14">
        <f t="shared" si="34"/>
        <v>7.0848681509821715E-3</v>
      </c>
      <c r="AV34" s="5">
        <f t="shared" si="35"/>
        <v>6.19442024129589E-2</v>
      </c>
      <c r="AW34">
        <f t="shared" si="17"/>
        <v>6.1781382076916434E-2</v>
      </c>
      <c r="AX34">
        <f t="shared" si="18"/>
        <v>1.6282033604246245E-4</v>
      </c>
      <c r="AY34" s="50">
        <f>0</f>
        <v>0</v>
      </c>
      <c r="AZ34" s="51">
        <f t="shared" si="19"/>
        <v>1.4937137628535506</v>
      </c>
      <c r="BA34" s="52">
        <f t="shared" si="20"/>
        <v>1.4937137628535506</v>
      </c>
      <c r="BB34" s="14">
        <f t="shared" si="36"/>
        <v>4.4599825737330408E-2</v>
      </c>
      <c r="BC34" s="5">
        <f t="shared" si="37"/>
        <v>1.741974099463036E-2</v>
      </c>
      <c r="BD34">
        <f t="shared" si="21"/>
        <v>1.7334595042622709E-2</v>
      </c>
      <c r="BE34">
        <f t="shared" si="22"/>
        <v>8.5145952007653711E-5</v>
      </c>
      <c r="BF34" s="50">
        <f>0</f>
        <v>0</v>
      </c>
      <c r="BG34" s="51">
        <f t="shared" si="23"/>
        <v>0.78112896371821516</v>
      </c>
      <c r="BH34" s="52">
        <f t="shared" si="24"/>
        <v>0.78112896371821516</v>
      </c>
      <c r="BI34" s="14">
        <f t="shared" si="38"/>
        <v>1.0451844596778216E-3</v>
      </c>
      <c r="BJ34" s="5">
        <f>0 + '1. Strategy Calcs'!V33 + '1. Strategy Calcs'!AC33 + '1. Strategy Calcs'!AJ33 + '1. Strategy Calcs'!AQ33 + '1. Strategy Calcs'!AX33 + '1. Strategy Calcs'!BE33 + BJ33</f>
        <v>0.12504020685097042</v>
      </c>
      <c r="BK34" s="63">
        <f>0</f>
        <v>0</v>
      </c>
    </row>
    <row r="35" spans="2:63" x14ac:dyDescent="0.35">
      <c r="B35" s="14">
        <v>27</v>
      </c>
      <c r="D35" s="5">
        <f>'1. Strategy Calcs'!T35</f>
        <v>0.69021387789055066</v>
      </c>
      <c r="E35">
        <f>'1. Strategy Calcs'!AA35</f>
        <v>7.3365391216338255E-2</v>
      </c>
      <c r="F35">
        <f>'1. Strategy Calcs'!AH35</f>
        <v>1.8341347804084564E-2</v>
      </c>
      <c r="G35">
        <f>'1. Strategy Calcs'!AO35</f>
        <v>1.1584009139421828E-2</v>
      </c>
      <c r="H35">
        <f>'1. Strategy Calcs'!AV35</f>
        <v>6.1781382076916434E-2</v>
      </c>
      <c r="I35">
        <f>'1. Strategy Calcs'!BC35</f>
        <v>1.7334595042622709E-2</v>
      </c>
      <c r="J35" s="6">
        <f>'1. Strategy Calcs'!BJ35</f>
        <v>0.12737939683006591</v>
      </c>
      <c r="K35" s="50">
        <f>'1. Strategy Calcs'!Y35 + '1. Strategy Calcs'!AF35 + '1. Strategy Calcs'!AM35 + '1. Strategy Calcs'!AT35 + '1. Strategy Calcs'!BA35 + '1. Strategy Calcs'!BH35 + '1. Strategy Calcs'!BK35</f>
        <v>23.320796716722459</v>
      </c>
      <c r="L35" s="51">
        <f>K35*'Time Discounting'!C32</f>
        <v>10.498767453601351</v>
      </c>
      <c r="M35" s="52">
        <f t="shared" si="25"/>
        <v>135461.48475633957</v>
      </c>
      <c r="N35" s="5">
        <f>'1. Strategy Calcs'!Z35 + '1. Strategy Calcs'!AG35 + '1. Strategy Calcs'!AN35 + '1. Strategy Calcs'!AU35 + '1. Strategy Calcs'!BB35 + '1. Strategy Calcs'!BI35</f>
        <v>0.82900712894273265</v>
      </c>
      <c r="O35">
        <f>N35*'Time Discounting'!D32</f>
        <v>0.37320993660162871</v>
      </c>
      <c r="P35" s="6">
        <f t="shared" si="26"/>
        <v>15.970015416259498</v>
      </c>
      <c r="R35" s="14">
        <f t="shared" si="0"/>
        <v>1.0000000000000002</v>
      </c>
      <c r="T35" s="5">
        <f t="shared" si="27"/>
        <v>0.69021387789055066</v>
      </c>
      <c r="U35">
        <f t="shared" si="1"/>
        <v>0.6882371743656599</v>
      </c>
      <c r="V35">
        <f t="shared" si="2"/>
        <v>1.9767035248907474E-3</v>
      </c>
      <c r="W35" s="50">
        <f>0</f>
        <v>0</v>
      </c>
      <c r="X35" s="51">
        <f t="shared" si="3"/>
        <v>18.134278137347717</v>
      </c>
      <c r="Y35" s="52">
        <f t="shared" si="4"/>
        <v>18.134278137347717</v>
      </c>
      <c r="Z35" s="14">
        <f t="shared" si="28"/>
        <v>0.69021387789055066</v>
      </c>
      <c r="AA35" s="5">
        <f t="shared" si="29"/>
        <v>7.3365391216338255E-2</v>
      </c>
      <c r="AB35">
        <f t="shared" si="5"/>
        <v>7.3155280072433784E-2</v>
      </c>
      <c r="AC35">
        <f t="shared" si="6"/>
        <v>2.1011114390447107E-4</v>
      </c>
      <c r="AD35" s="50">
        <f>0</f>
        <v>0</v>
      </c>
      <c r="AE35" s="51">
        <f t="shared" si="7"/>
        <v>1.9275596341796175</v>
      </c>
      <c r="AF35" s="52">
        <f t="shared" si="8"/>
        <v>1.9275596341796175</v>
      </c>
      <c r="AG35" s="14">
        <f t="shared" si="30"/>
        <v>7.3365391216338255E-2</v>
      </c>
      <c r="AH35" s="5">
        <f t="shared" si="31"/>
        <v>1.8341347804084564E-2</v>
      </c>
      <c r="AI35">
        <f t="shared" si="9"/>
        <v>1.8288820018108446E-2</v>
      </c>
      <c r="AJ35">
        <f t="shared" si="10"/>
        <v>5.2527785976117768E-5</v>
      </c>
      <c r="AK35" s="50">
        <f>0</f>
        <v>0</v>
      </c>
      <c r="AL35" s="51">
        <f t="shared" si="11"/>
        <v>0.48188990854490438</v>
      </c>
      <c r="AM35" s="52">
        <f t="shared" si="12"/>
        <v>0.48188990854490438</v>
      </c>
      <c r="AN35" s="14">
        <f t="shared" si="32"/>
        <v>1.2838943462859194E-2</v>
      </c>
      <c r="AO35" s="5">
        <f t="shared" si="33"/>
        <v>1.1584009139421828E-2</v>
      </c>
      <c r="AP35">
        <f t="shared" si="13"/>
        <v>1.1550833695647437E-2</v>
      </c>
      <c r="AQ35">
        <f t="shared" si="14"/>
        <v>3.317544377439016E-5</v>
      </c>
      <c r="AR35" s="50">
        <f>0</f>
        <v>0</v>
      </c>
      <c r="AS35" s="51">
        <f t="shared" si="15"/>
        <v>0.3043515211862553</v>
      </c>
      <c r="AT35" s="52">
        <f t="shared" si="16"/>
        <v>0.3043515211862553</v>
      </c>
      <c r="AU35" s="14">
        <f t="shared" si="34"/>
        <v>7.066245575047315E-3</v>
      </c>
      <c r="AV35" s="5">
        <f t="shared" si="35"/>
        <v>6.1781382076916434E-2</v>
      </c>
      <c r="AW35">
        <f t="shared" si="17"/>
        <v>6.1604446376786352E-2</v>
      </c>
      <c r="AX35">
        <f t="shared" si="18"/>
        <v>1.7693570013008092E-4</v>
      </c>
      <c r="AY35" s="50">
        <f>0</f>
        <v>0</v>
      </c>
      <c r="AZ35" s="51">
        <f t="shared" si="19"/>
        <v>1.6232081129933624</v>
      </c>
      <c r="BA35" s="52">
        <f t="shared" si="20"/>
        <v>1.6232081129933624</v>
      </c>
      <c r="BB35" s="14">
        <f t="shared" si="36"/>
        <v>4.4482595095379829E-2</v>
      </c>
      <c r="BC35" s="5">
        <f t="shared" si="37"/>
        <v>1.7334595042622709E-2</v>
      </c>
      <c r="BD35">
        <f t="shared" si="21"/>
        <v>1.7241995369364521E-2</v>
      </c>
      <c r="BE35">
        <f t="shared" si="22"/>
        <v>9.2599673258186315E-5</v>
      </c>
      <c r="BF35" s="50">
        <f>0</f>
        <v>0</v>
      </c>
      <c r="BG35" s="51">
        <f t="shared" si="23"/>
        <v>0.84950940247060125</v>
      </c>
      <c r="BH35" s="52">
        <f t="shared" si="24"/>
        <v>0.84950940247060125</v>
      </c>
      <c r="BI35" s="14">
        <f t="shared" si="38"/>
        <v>1.0400757025573624E-3</v>
      </c>
      <c r="BJ35" s="5">
        <f>0 + '1. Strategy Calcs'!V34 + '1. Strategy Calcs'!AC34 + '1. Strategy Calcs'!AJ34 + '1. Strategy Calcs'!AQ34 + '1. Strategy Calcs'!AX34 + '1. Strategy Calcs'!BE34 + BJ34</f>
        <v>0.12737939683006591</v>
      </c>
      <c r="BK35" s="63">
        <f>0</f>
        <v>0</v>
      </c>
    </row>
    <row r="36" spans="2:63" x14ac:dyDescent="0.35">
      <c r="B36" s="14">
        <v>28</v>
      </c>
      <c r="D36" s="5">
        <f>'1. Strategy Calcs'!T36</f>
        <v>0.6882371743656599</v>
      </c>
      <c r="E36">
        <f>'1. Strategy Calcs'!AA36</f>
        <v>7.3155280072433784E-2</v>
      </c>
      <c r="F36">
        <f>'1. Strategy Calcs'!AH36</f>
        <v>1.8288820018108446E-2</v>
      </c>
      <c r="G36">
        <f>'1. Strategy Calcs'!AO36</f>
        <v>1.1550833695647437E-2</v>
      </c>
      <c r="H36">
        <f>'1. Strategy Calcs'!AV36</f>
        <v>6.1604446376786352E-2</v>
      </c>
      <c r="I36">
        <f>'1. Strategy Calcs'!BC36</f>
        <v>1.7241995369364521E-2</v>
      </c>
      <c r="J36" s="6">
        <f>'1. Strategy Calcs'!BJ36</f>
        <v>0.1299214501019999</v>
      </c>
      <c r="K36" s="50">
        <f>'1. Strategy Calcs'!Y36 + '1. Strategy Calcs'!AF36 + '1. Strategy Calcs'!AM36 + '1. Strategy Calcs'!AT36 + '1. Strategy Calcs'!BA36 + '1. Strategy Calcs'!BH36 + '1. Strategy Calcs'!BK36</f>
        <v>24.935922080895313</v>
      </c>
      <c r="L36" s="51">
        <f>K36*'Time Discounting'!C33</f>
        <v>10.898911860428447</v>
      </c>
      <c r="M36" s="52">
        <f t="shared" si="25"/>
        <v>135472.3836682</v>
      </c>
      <c r="N36" s="5">
        <f>'1. Strategy Calcs'!Z36 + '1. Strategy Calcs'!AG36 + '1. Strategy Calcs'!AN36 + '1. Strategy Calcs'!AU36 + '1. Strategy Calcs'!BB36 + '1. Strategy Calcs'!BI36</f>
        <v>0.82663035811856245</v>
      </c>
      <c r="O36">
        <f>N36*'Time Discounting'!D33</f>
        <v>0.36130091299856743</v>
      </c>
      <c r="P36" s="6">
        <f t="shared" si="26"/>
        <v>16.331316329258065</v>
      </c>
      <c r="R36" s="14">
        <f t="shared" si="0"/>
        <v>1.0000000000000004</v>
      </c>
      <c r="T36" s="5">
        <f t="shared" si="27"/>
        <v>0.6882371743656599</v>
      </c>
      <c r="U36">
        <f t="shared" si="1"/>
        <v>0.68609889028862325</v>
      </c>
      <c r="V36">
        <f t="shared" si="2"/>
        <v>2.1382840770366694E-3</v>
      </c>
      <c r="W36" s="50">
        <f>0</f>
        <v>0</v>
      </c>
      <c r="X36" s="51">
        <f t="shared" si="3"/>
        <v>19.616618122734405</v>
      </c>
      <c r="Y36" s="52">
        <f t="shared" si="4"/>
        <v>19.616618122734405</v>
      </c>
      <c r="Z36" s="14">
        <f t="shared" si="28"/>
        <v>0.6882371743656599</v>
      </c>
      <c r="AA36" s="5">
        <f t="shared" si="29"/>
        <v>7.3155280072433784E-2</v>
      </c>
      <c r="AB36">
        <f t="shared" si="5"/>
        <v>7.2927993932776741E-2</v>
      </c>
      <c r="AC36">
        <f t="shared" si="6"/>
        <v>2.272861396570446E-4</v>
      </c>
      <c r="AD36" s="50">
        <f>0</f>
        <v>0</v>
      </c>
      <c r="AE36" s="51">
        <f t="shared" si="7"/>
        <v>2.0851230452137273</v>
      </c>
      <c r="AF36" s="52">
        <f t="shared" si="8"/>
        <v>2.0851230452137273</v>
      </c>
      <c r="AG36" s="14">
        <f t="shared" si="30"/>
        <v>7.3155280072433784E-2</v>
      </c>
      <c r="AH36" s="5">
        <f t="shared" si="31"/>
        <v>1.8288820018108446E-2</v>
      </c>
      <c r="AI36">
        <f t="shared" si="9"/>
        <v>1.8231998483194185E-2</v>
      </c>
      <c r="AJ36">
        <f t="shared" si="10"/>
        <v>5.682153491426115E-5</v>
      </c>
      <c r="AK36" s="50">
        <f>0</f>
        <v>0</v>
      </c>
      <c r="AL36" s="51">
        <f t="shared" si="11"/>
        <v>0.52128076130343182</v>
      </c>
      <c r="AM36" s="52">
        <f t="shared" si="12"/>
        <v>0.52128076130343182</v>
      </c>
      <c r="AN36" s="14">
        <f t="shared" si="32"/>
        <v>1.2802174012675912E-2</v>
      </c>
      <c r="AO36" s="5">
        <f t="shared" si="33"/>
        <v>1.1550833695647437E-2</v>
      </c>
      <c r="AP36">
        <f t="shared" si="13"/>
        <v>1.151494641043843E-2</v>
      </c>
      <c r="AQ36">
        <f t="shared" si="14"/>
        <v>3.5887285209007037E-5</v>
      </c>
      <c r="AR36" s="50">
        <f>0</f>
        <v>0</v>
      </c>
      <c r="AS36" s="51">
        <f t="shared" si="15"/>
        <v>0.32922995450743053</v>
      </c>
      <c r="AT36" s="52">
        <f t="shared" si="16"/>
        <v>0.32922995450743053</v>
      </c>
      <c r="AU36" s="14">
        <f t="shared" si="34"/>
        <v>7.0460085543449366E-3</v>
      </c>
      <c r="AV36" s="5">
        <f t="shared" si="35"/>
        <v>6.1604446376786352E-2</v>
      </c>
      <c r="AW36">
        <f t="shared" si="17"/>
        <v>6.1413047522338317E-2</v>
      </c>
      <c r="AX36">
        <f t="shared" si="18"/>
        <v>1.9139885444803759E-4</v>
      </c>
      <c r="AY36" s="50">
        <f>0</f>
        <v>0</v>
      </c>
      <c r="AZ36" s="51">
        <f t="shared" si="19"/>
        <v>1.7558930907062968</v>
      </c>
      <c r="BA36" s="52">
        <f t="shared" si="20"/>
        <v>1.7558930907062968</v>
      </c>
      <c r="BB36" s="14">
        <f t="shared" si="36"/>
        <v>4.4355201391286174E-2</v>
      </c>
      <c r="BC36" s="5">
        <f t="shared" si="37"/>
        <v>1.7241995369364521E-2</v>
      </c>
      <c r="BD36">
        <f t="shared" si="21"/>
        <v>1.7173565338142589E-2</v>
      </c>
      <c r="BE36">
        <f t="shared" si="22"/>
        <v>6.843003122193394E-5</v>
      </c>
      <c r="BF36" s="50">
        <f>0</f>
        <v>0</v>
      </c>
      <c r="BG36" s="51">
        <f t="shared" si="23"/>
        <v>0.62777710643002194</v>
      </c>
      <c r="BH36" s="52">
        <f t="shared" si="24"/>
        <v>0.62777710643002194</v>
      </c>
      <c r="BI36" s="14">
        <f t="shared" si="38"/>
        <v>1.0345197221618713E-3</v>
      </c>
      <c r="BJ36" s="5">
        <f>0 + '1. Strategy Calcs'!V35 + '1. Strategy Calcs'!AC35 + '1. Strategy Calcs'!AJ35 + '1. Strategy Calcs'!AQ35 + '1. Strategy Calcs'!AX35 + '1. Strategy Calcs'!BE35 + BJ35</f>
        <v>0.1299214501019999</v>
      </c>
      <c r="BK36" s="63">
        <f>0</f>
        <v>0</v>
      </c>
    </row>
    <row r="37" spans="2:63" x14ac:dyDescent="0.35">
      <c r="B37" s="14">
        <v>29</v>
      </c>
      <c r="D37" s="5">
        <f>'1. Strategy Calcs'!T37</f>
        <v>0.68609889028862325</v>
      </c>
      <c r="E37">
        <f>'1. Strategy Calcs'!AA37</f>
        <v>7.2927993932776741E-2</v>
      </c>
      <c r="F37">
        <f>'1. Strategy Calcs'!AH37</f>
        <v>1.8231998483194185E-2</v>
      </c>
      <c r="G37">
        <f>'1. Strategy Calcs'!AO37</f>
        <v>1.151494641043843E-2</v>
      </c>
      <c r="H37">
        <f>'1. Strategy Calcs'!AV37</f>
        <v>6.1413047522338317E-2</v>
      </c>
      <c r="I37">
        <f>'1. Strategy Calcs'!BC37</f>
        <v>1.7173565338142589E-2</v>
      </c>
      <c r="J37" s="6">
        <f>'1. Strategy Calcs'!BJ37</f>
        <v>0.13263955802448685</v>
      </c>
      <c r="K37" s="50">
        <f>'1. Strategy Calcs'!Y37 + '1. Strategy Calcs'!AF37 + '1. Strategy Calcs'!AM37 + '1. Strategy Calcs'!AT37 + '1. Strategy Calcs'!BA37 + '1. Strategy Calcs'!BH37 + '1. Strategy Calcs'!BK37</f>
        <v>26.975605303829827</v>
      </c>
      <c r="L37" s="51">
        <f>K37*'Time Discounting'!C34</f>
        <v>11.446999981558111</v>
      </c>
      <c r="M37" s="52">
        <f t="shared" si="25"/>
        <v>135483.83066818156</v>
      </c>
      <c r="N37" s="5">
        <f>'1. Strategy Calcs'!Z37 + '1. Strategy Calcs'!AG37 + '1. Strategy Calcs'!AN37 + '1. Strategy Calcs'!AU37 + '1. Strategy Calcs'!BB37 + '1. Strategy Calcs'!BI37</f>
        <v>0.82406120860637555</v>
      </c>
      <c r="O37">
        <f>N37*'Time Discounting'!D34</f>
        <v>0.34968737618579754</v>
      </c>
      <c r="P37" s="6">
        <f t="shared" si="26"/>
        <v>16.681003705443864</v>
      </c>
      <c r="R37" s="14">
        <f t="shared" si="0"/>
        <v>1.0000000000000004</v>
      </c>
      <c r="T37" s="5">
        <f t="shared" si="27"/>
        <v>0.68609889028862325</v>
      </c>
      <c r="U37">
        <f t="shared" si="1"/>
        <v>0.68378714868768475</v>
      </c>
      <c r="V37">
        <f t="shared" si="2"/>
        <v>2.3117416009384869E-3</v>
      </c>
      <c r="W37" s="50">
        <f>0</f>
        <v>0</v>
      </c>
      <c r="X37" s="51">
        <f t="shared" si="3"/>
        <v>21.207917447009677</v>
      </c>
      <c r="Y37" s="52">
        <f t="shared" si="4"/>
        <v>21.207917447009677</v>
      </c>
      <c r="Z37" s="14">
        <f t="shared" si="28"/>
        <v>0.68609889028862325</v>
      </c>
      <c r="AA37" s="5">
        <f t="shared" si="29"/>
        <v>7.2927993932776741E-2</v>
      </c>
      <c r="AB37">
        <f t="shared" si="5"/>
        <v>7.2682270350019645E-2</v>
      </c>
      <c r="AC37">
        <f t="shared" si="6"/>
        <v>2.4572358275709794E-4</v>
      </c>
      <c r="AD37" s="50">
        <f>0</f>
        <v>0</v>
      </c>
      <c r="AE37" s="51">
        <f t="shared" si="7"/>
        <v>2.2542681482136167</v>
      </c>
      <c r="AF37" s="52">
        <f t="shared" si="8"/>
        <v>2.2542681482136167</v>
      </c>
      <c r="AG37" s="14">
        <f t="shared" si="30"/>
        <v>7.2927993932776741E-2</v>
      </c>
      <c r="AH37" s="5">
        <f t="shared" si="31"/>
        <v>1.8231998483194185E-2</v>
      </c>
      <c r="AI37">
        <f t="shared" si="9"/>
        <v>1.8170567587504911E-2</v>
      </c>
      <c r="AJ37">
        <f t="shared" si="10"/>
        <v>6.1430895689274485E-5</v>
      </c>
      <c r="AK37" s="50">
        <f>0</f>
        <v>0</v>
      </c>
      <c r="AL37" s="51">
        <f t="shared" si="11"/>
        <v>0.56356703705340416</v>
      </c>
      <c r="AM37" s="52">
        <f t="shared" si="12"/>
        <v>0.56356703705340416</v>
      </c>
      <c r="AN37" s="14">
        <f t="shared" si="32"/>
        <v>1.2762398938235929E-2</v>
      </c>
      <c r="AO37" s="5">
        <f t="shared" si="33"/>
        <v>1.151494641043843E-2</v>
      </c>
      <c r="AP37">
        <f t="shared" si="13"/>
        <v>1.14761479500031E-2</v>
      </c>
      <c r="AQ37">
        <f t="shared" si="14"/>
        <v>3.8798460435331243E-5</v>
      </c>
      <c r="AR37" s="50">
        <f>0</f>
        <v>0</v>
      </c>
      <c r="AS37" s="51">
        <f t="shared" si="15"/>
        <v>0.35593707603372882</v>
      </c>
      <c r="AT37" s="52">
        <f t="shared" si="16"/>
        <v>0.35593707603372882</v>
      </c>
      <c r="AU37" s="14">
        <f t="shared" si="34"/>
        <v>7.0241173103674417E-3</v>
      </c>
      <c r="AV37" s="5">
        <f t="shared" si="35"/>
        <v>6.1413047522338317E-2</v>
      </c>
      <c r="AW37">
        <f t="shared" si="17"/>
        <v>6.1206122400016549E-2</v>
      </c>
      <c r="AX37">
        <f t="shared" si="18"/>
        <v>2.069251223217667E-4</v>
      </c>
      <c r="AY37" s="50">
        <f>0</f>
        <v>0</v>
      </c>
      <c r="AZ37" s="51">
        <f t="shared" si="19"/>
        <v>1.8983310721798878</v>
      </c>
      <c r="BA37" s="52">
        <f t="shared" si="20"/>
        <v>1.8983310721798878</v>
      </c>
      <c r="BB37" s="14">
        <f t="shared" si="36"/>
        <v>4.4217394216083589E-2</v>
      </c>
      <c r="BC37" s="5">
        <f t="shared" si="37"/>
        <v>1.7173565338142589E-2</v>
      </c>
      <c r="BD37">
        <f t="shared" si="21"/>
        <v>1.7097744047174689E-2</v>
      </c>
      <c r="BE37">
        <f t="shared" si="22"/>
        <v>7.5821290967899573E-5</v>
      </c>
      <c r="BF37" s="50">
        <f>0</f>
        <v>0</v>
      </c>
      <c r="BG37" s="51">
        <f t="shared" si="23"/>
        <v>0.69558452333951071</v>
      </c>
      <c r="BH37" s="52">
        <f t="shared" si="24"/>
        <v>0.69558452333951071</v>
      </c>
      <c r="BI37" s="14">
        <f t="shared" si="38"/>
        <v>1.0304139202885552E-3</v>
      </c>
      <c r="BJ37" s="5">
        <f>0 + '1. Strategy Calcs'!V36 + '1. Strategy Calcs'!AC36 + '1. Strategy Calcs'!AJ36 + '1. Strategy Calcs'!AQ36 + '1. Strategy Calcs'!AX36 + '1. Strategy Calcs'!BE36 + BJ36</f>
        <v>0.13263955802448685</v>
      </c>
      <c r="BK37" s="63">
        <f>0</f>
        <v>0</v>
      </c>
    </row>
    <row r="38" spans="2:63" x14ac:dyDescent="0.35">
      <c r="B38" s="14">
        <v>30</v>
      </c>
      <c r="D38" s="5">
        <f>'1. Strategy Calcs'!T38</f>
        <v>0.68378714868768475</v>
      </c>
      <c r="E38">
        <f>'1. Strategy Calcs'!AA38</f>
        <v>7.2682270350019645E-2</v>
      </c>
      <c r="F38">
        <f>'1. Strategy Calcs'!AH38</f>
        <v>1.8170567587504911E-2</v>
      </c>
      <c r="G38">
        <f>'1. Strategy Calcs'!AO38</f>
        <v>1.14761479500031E-2</v>
      </c>
      <c r="H38">
        <f>'1. Strategy Calcs'!AV38</f>
        <v>6.1206122400016549E-2</v>
      </c>
      <c r="I38">
        <f>'1. Strategy Calcs'!BC38</f>
        <v>1.7097744047174689E-2</v>
      </c>
      <c r="J38" s="6">
        <f>'1. Strategy Calcs'!BJ38</f>
        <v>0.13557999897759671</v>
      </c>
      <c r="K38" s="50">
        <f>'1. Strategy Calcs'!Y38 + '1. Strategy Calcs'!AF38 + '1. Strategy Calcs'!AM38 + '1. Strategy Calcs'!AT38 + '1. Strategy Calcs'!BA38 + '1. Strategy Calcs'!BH38 + '1. Strategy Calcs'!BK38</f>
        <v>29.224089958981047</v>
      </c>
      <c r="L38" s="51">
        <f>K38*'Time Discounting'!C35</f>
        <v>12.039938122001955</v>
      </c>
      <c r="M38" s="52">
        <f t="shared" si="25"/>
        <v>135495.87060630356</v>
      </c>
      <c r="N38" s="5">
        <f>'1. Strategy Calcs'!Z38 + '1. Strategy Calcs'!AG38 + '1. Strategy Calcs'!AN38 + '1. Strategy Calcs'!AU38 + '1. Strategy Calcs'!BB38 + '1. Strategy Calcs'!BI38</f>
        <v>0.82128353936930221</v>
      </c>
      <c r="O38">
        <f>N38*'Time Discounting'!D35</f>
        <v>0.33835794402851355</v>
      </c>
      <c r="P38" s="6">
        <f t="shared" si="26"/>
        <v>17.019361649472376</v>
      </c>
      <c r="R38" s="14">
        <f t="shared" si="0"/>
        <v>1.0000000000000002</v>
      </c>
      <c r="T38" s="5">
        <f t="shared" si="27"/>
        <v>0.68378714868768475</v>
      </c>
      <c r="U38">
        <f t="shared" si="1"/>
        <v>0.68128387231505405</v>
      </c>
      <c r="V38">
        <f t="shared" si="2"/>
        <v>2.503276372630744E-3</v>
      </c>
      <c r="W38" s="50">
        <f>0</f>
        <v>0</v>
      </c>
      <c r="X38" s="51">
        <f t="shared" si="3"/>
        <v>22.965057442514446</v>
      </c>
      <c r="Y38" s="52">
        <f t="shared" si="4"/>
        <v>22.965057442514446</v>
      </c>
      <c r="Z38" s="14">
        <f t="shared" si="28"/>
        <v>0.68378714868768475</v>
      </c>
      <c r="AA38" s="5">
        <f t="shared" si="29"/>
        <v>7.2682270350019645E-2</v>
      </c>
      <c r="AB38">
        <f t="shared" si="5"/>
        <v>7.2416187826495254E-2</v>
      </c>
      <c r="AC38">
        <f t="shared" si="6"/>
        <v>2.6608252352438677E-4</v>
      </c>
      <c r="AD38" s="50">
        <f>0</f>
        <v>0</v>
      </c>
      <c r="AE38" s="51">
        <f t="shared" si="7"/>
        <v>2.4410410708127244</v>
      </c>
      <c r="AF38" s="52">
        <f t="shared" si="8"/>
        <v>2.4410410708127244</v>
      </c>
      <c r="AG38" s="14">
        <f t="shared" si="30"/>
        <v>7.2682270350019645E-2</v>
      </c>
      <c r="AH38" s="5">
        <f t="shared" si="31"/>
        <v>1.8170567587504911E-2</v>
      </c>
      <c r="AI38">
        <f t="shared" si="9"/>
        <v>1.8104046956623814E-2</v>
      </c>
      <c r="AJ38">
        <f t="shared" si="10"/>
        <v>6.6520630881096692E-5</v>
      </c>
      <c r="AK38" s="50">
        <f>0</f>
        <v>0</v>
      </c>
      <c r="AL38" s="51">
        <f t="shared" si="11"/>
        <v>0.61026026770318109</v>
      </c>
      <c r="AM38" s="52">
        <f t="shared" si="12"/>
        <v>0.61026026770318109</v>
      </c>
      <c r="AN38" s="14">
        <f t="shared" si="32"/>
        <v>1.2719397311253437E-2</v>
      </c>
      <c r="AO38" s="5">
        <f t="shared" si="33"/>
        <v>1.14761479500031E-2</v>
      </c>
      <c r="AP38">
        <f t="shared" si="13"/>
        <v>1.1434134919972933E-2</v>
      </c>
      <c r="AQ38">
        <f t="shared" si="14"/>
        <v>4.2013030030166327E-5</v>
      </c>
      <c r="AR38" s="50">
        <f>0</f>
        <v>0</v>
      </c>
      <c r="AS38" s="51">
        <f t="shared" si="15"/>
        <v>0.38542753749674591</v>
      </c>
      <c r="AT38" s="52">
        <f t="shared" si="16"/>
        <v>0.38542753749674591</v>
      </c>
      <c r="AU38" s="14">
        <f t="shared" si="34"/>
        <v>7.0004502495018906E-3</v>
      </c>
      <c r="AV38" s="5">
        <f t="shared" si="35"/>
        <v>6.1206122400016549E-2</v>
      </c>
      <c r="AW38">
        <f t="shared" si="17"/>
        <v>6.0982052906522331E-2</v>
      </c>
      <c r="AX38">
        <f t="shared" si="18"/>
        <v>2.2406949349422048E-4</v>
      </c>
      <c r="AY38" s="50">
        <f>0</f>
        <v>0</v>
      </c>
      <c r="AZ38" s="51">
        <f t="shared" si="19"/>
        <v>2.0556135333159786</v>
      </c>
      <c r="BA38" s="52">
        <f t="shared" si="20"/>
        <v>2.0556135333159786</v>
      </c>
      <c r="BB38" s="14">
        <f t="shared" si="36"/>
        <v>4.4068408128011917E-2</v>
      </c>
      <c r="BC38" s="5">
        <f t="shared" si="37"/>
        <v>1.7097744047174689E-2</v>
      </c>
      <c r="BD38">
        <f t="shared" si="21"/>
        <v>1.7014171984046506E-2</v>
      </c>
      <c r="BE38">
        <f t="shared" si="22"/>
        <v>8.357206312818518E-5</v>
      </c>
      <c r="BF38" s="50">
        <f>0</f>
        <v>0</v>
      </c>
      <c r="BG38" s="51">
        <f t="shared" si="23"/>
        <v>0.76669010713797081</v>
      </c>
      <c r="BH38" s="52">
        <f t="shared" si="24"/>
        <v>0.76669010713797081</v>
      </c>
      <c r="BI38" s="14">
        <f t="shared" si="38"/>
        <v>1.0258646428304814E-3</v>
      </c>
      <c r="BJ38" s="5">
        <f>0 + '1. Strategy Calcs'!V37 + '1. Strategy Calcs'!AC37 + '1. Strategy Calcs'!AJ37 + '1. Strategy Calcs'!AQ37 + '1. Strategy Calcs'!AX37 + '1. Strategy Calcs'!BE37 + BJ37</f>
        <v>0.13557999897759671</v>
      </c>
      <c r="BK38" s="63">
        <f>0</f>
        <v>0</v>
      </c>
    </row>
    <row r="39" spans="2:63" x14ac:dyDescent="0.35">
      <c r="B39" s="14">
        <v>31</v>
      </c>
      <c r="D39" s="5">
        <f>'1. Strategy Calcs'!T39</f>
        <v>0.68128387231505405</v>
      </c>
      <c r="E39">
        <f>'1. Strategy Calcs'!AA39</f>
        <v>7.2416187826495254E-2</v>
      </c>
      <c r="F39">
        <f>'1. Strategy Calcs'!AH39</f>
        <v>1.8104046956623814E-2</v>
      </c>
      <c r="G39">
        <f>'1. Strategy Calcs'!AO39</f>
        <v>1.1434134919972933E-2</v>
      </c>
      <c r="H39">
        <f>'1. Strategy Calcs'!AV39</f>
        <v>6.0982052906522331E-2</v>
      </c>
      <c r="I39">
        <f>'1. Strategy Calcs'!BC39</f>
        <v>1.7014171984046506E-2</v>
      </c>
      <c r="J39" s="6">
        <f>'1. Strategy Calcs'!BJ39</f>
        <v>0.1387655330912855</v>
      </c>
      <c r="K39" s="50">
        <f>'1. Strategy Calcs'!Y39 + '1. Strategy Calcs'!AF39 + '1. Strategy Calcs'!AM39 + '1. Strategy Calcs'!AT39 + '1. Strategy Calcs'!BA39 + '1. Strategy Calcs'!BH39 + '1. Strategy Calcs'!BK39</f>
        <v>31.686298520811288</v>
      </c>
      <c r="L39" s="51">
        <f>K39*'Time Discounting'!C36</f>
        <v>12.674112086060887</v>
      </c>
      <c r="M39" s="52">
        <f t="shared" si="25"/>
        <v>135508.54471838963</v>
      </c>
      <c r="N39" s="5">
        <f>'1. Strategy Calcs'!Z39 + '1. Strategy Calcs'!AG39 + '1. Strategy Calcs'!AN39 + '1. Strategy Calcs'!AU39 + '1. Strategy Calcs'!BB39 + '1. Strategy Calcs'!BI39</f>
        <v>0.81827564372410844</v>
      </c>
      <c r="O39">
        <f>N39*'Time Discounting'!D36</f>
        <v>0.32729973868804674</v>
      </c>
      <c r="P39" s="6">
        <f t="shared" si="26"/>
        <v>17.346661388160424</v>
      </c>
      <c r="R39" s="14">
        <f t="shared" si="0"/>
        <v>1.0000000000000004</v>
      </c>
      <c r="T39" s="5">
        <f t="shared" si="27"/>
        <v>0.68128387231505405</v>
      </c>
      <c r="U39">
        <f t="shared" si="1"/>
        <v>0.67856990988129984</v>
      </c>
      <c r="V39">
        <f t="shared" si="2"/>
        <v>2.7139624337542472E-3</v>
      </c>
      <c r="W39" s="50">
        <f>0</f>
        <v>0</v>
      </c>
      <c r="X39" s="51">
        <f t="shared" si="3"/>
        <v>24.897891367261465</v>
      </c>
      <c r="Y39" s="52">
        <f t="shared" si="4"/>
        <v>24.897891367261465</v>
      </c>
      <c r="Z39" s="14">
        <f t="shared" si="28"/>
        <v>0.68128387231505405</v>
      </c>
      <c r="AA39" s="5">
        <f t="shared" si="29"/>
        <v>7.2416187826495254E-2</v>
      </c>
      <c r="AB39">
        <f t="shared" si="5"/>
        <v>7.2127710700669631E-2</v>
      </c>
      <c r="AC39">
        <f t="shared" si="6"/>
        <v>2.8847712582562627E-4</v>
      </c>
      <c r="AD39" s="50">
        <f>0</f>
        <v>0</v>
      </c>
      <c r="AE39" s="51">
        <f t="shared" si="7"/>
        <v>2.6464891523242953</v>
      </c>
      <c r="AF39" s="52">
        <f t="shared" si="8"/>
        <v>2.6464891523242953</v>
      </c>
      <c r="AG39" s="14">
        <f t="shared" si="30"/>
        <v>7.2416187826495254E-2</v>
      </c>
      <c r="AH39" s="5">
        <f t="shared" si="31"/>
        <v>1.8104046956623814E-2</v>
      </c>
      <c r="AI39">
        <f t="shared" si="9"/>
        <v>1.8031927675167408E-2</v>
      </c>
      <c r="AJ39">
        <f t="shared" si="10"/>
        <v>7.2119281456406567E-5</v>
      </c>
      <c r="AK39" s="50">
        <f>0</f>
        <v>0</v>
      </c>
      <c r="AL39" s="51">
        <f t="shared" si="11"/>
        <v>0.66162228808107382</v>
      </c>
      <c r="AM39" s="52">
        <f t="shared" si="12"/>
        <v>0.66162228808107382</v>
      </c>
      <c r="AN39" s="14">
        <f t="shared" si="32"/>
        <v>1.2672832869636668E-2</v>
      </c>
      <c r="AO39" s="5">
        <f t="shared" si="33"/>
        <v>1.1434134919972933E-2</v>
      </c>
      <c r="AP39">
        <f t="shared" si="13"/>
        <v>1.1388585900105729E-2</v>
      </c>
      <c r="AQ39">
        <f t="shared" si="14"/>
        <v>4.5549019867204142E-5</v>
      </c>
      <c r="AR39" s="50">
        <f>0</f>
        <v>0</v>
      </c>
      <c r="AS39" s="51">
        <f t="shared" si="15"/>
        <v>0.41786670826173078</v>
      </c>
      <c r="AT39" s="52">
        <f t="shared" si="16"/>
        <v>0.41786670826173078</v>
      </c>
      <c r="AU39" s="14">
        <f t="shared" si="34"/>
        <v>6.9748223011834891E-3</v>
      </c>
      <c r="AV39" s="5">
        <f t="shared" si="35"/>
        <v>6.0982052906522331E-2</v>
      </c>
      <c r="AW39">
        <f t="shared" si="17"/>
        <v>6.0739124800563912E-2</v>
      </c>
      <c r="AX39">
        <f t="shared" si="18"/>
        <v>2.4292810595842216E-4</v>
      </c>
      <c r="AY39" s="50">
        <f>0</f>
        <v>0</v>
      </c>
      <c r="AZ39" s="51">
        <f t="shared" si="19"/>
        <v>2.228622444062565</v>
      </c>
      <c r="BA39" s="52">
        <f t="shared" si="20"/>
        <v>2.228622444062565</v>
      </c>
      <c r="BB39" s="14">
        <f t="shared" si="36"/>
        <v>4.3907078092696075E-2</v>
      </c>
      <c r="BC39" s="5">
        <f t="shared" si="37"/>
        <v>1.7014171984046506E-2</v>
      </c>
      <c r="BD39">
        <f t="shared" si="21"/>
        <v>1.6923283978724928E-2</v>
      </c>
      <c r="BE39">
        <f t="shared" si="22"/>
        <v>9.0888005321577978E-5</v>
      </c>
      <c r="BF39" s="50">
        <f>0</f>
        <v>0</v>
      </c>
      <c r="BG39" s="51">
        <f t="shared" si="23"/>
        <v>0.83380656082015636</v>
      </c>
      <c r="BH39" s="52">
        <f t="shared" si="24"/>
        <v>0.83380656082015636</v>
      </c>
      <c r="BI39" s="14">
        <f t="shared" si="38"/>
        <v>1.0208503190427902E-3</v>
      </c>
      <c r="BJ39" s="5">
        <f>0 + '1. Strategy Calcs'!V38 + '1. Strategy Calcs'!AC38 + '1. Strategy Calcs'!AJ38 + '1. Strategy Calcs'!AQ38 + '1. Strategy Calcs'!AX38 + '1. Strategy Calcs'!BE38 + BJ38</f>
        <v>0.1387655330912855</v>
      </c>
      <c r="BK39" s="63">
        <f>0</f>
        <v>0</v>
      </c>
    </row>
    <row r="40" spans="2:63" x14ac:dyDescent="0.35">
      <c r="B40" s="14">
        <v>32</v>
      </c>
      <c r="D40" s="5">
        <f>'1. Strategy Calcs'!T40</f>
        <v>0.67856990988129984</v>
      </c>
      <c r="E40">
        <f>'1. Strategy Calcs'!AA40</f>
        <v>7.2127710700669631E-2</v>
      </c>
      <c r="F40">
        <f>'1. Strategy Calcs'!AH40</f>
        <v>1.8031927675167408E-2</v>
      </c>
      <c r="G40">
        <f>'1. Strategy Calcs'!AO40</f>
        <v>1.1388585900105729E-2</v>
      </c>
      <c r="H40">
        <f>'1. Strategy Calcs'!AV40</f>
        <v>6.0739124800563912E-2</v>
      </c>
      <c r="I40">
        <f>'1. Strategy Calcs'!BC40</f>
        <v>1.6923283978724928E-2</v>
      </c>
      <c r="J40" s="6">
        <f>'1. Strategy Calcs'!BJ40</f>
        <v>0.142219457063469</v>
      </c>
      <c r="K40" s="50">
        <f>'1. Strategy Calcs'!Y40 + '1. Strategy Calcs'!AF40 + '1. Strategy Calcs'!AM40 + '1. Strategy Calcs'!AT40 + '1. Strategy Calcs'!BA40 + '1. Strategy Calcs'!BH40 + '1. Strategy Calcs'!BK40</f>
        <v>34.070354321804729</v>
      </c>
      <c r="L40" s="51">
        <f>K40*'Time Discounting'!C37</f>
        <v>13.230780349325199</v>
      </c>
      <c r="M40" s="52">
        <f t="shared" si="25"/>
        <v>135521.77549873895</v>
      </c>
      <c r="N40" s="5">
        <f>'1. Strategy Calcs'!Z40 + '1. Strategy Calcs'!AG40 + '1. Strategy Calcs'!AN40 + '1. Strategy Calcs'!AU40 + '1. Strategy Calcs'!BB40 + '1. Strategy Calcs'!BI40</f>
        <v>0.81501457424878065</v>
      </c>
      <c r="O40">
        <f>N40*'Time Discounting'!D37</f>
        <v>0.3165003425421733</v>
      </c>
      <c r="P40" s="6">
        <f t="shared" si="26"/>
        <v>17.663161730702598</v>
      </c>
      <c r="R40" s="14">
        <f t="shared" ref="R40:R71" si="39">SUM(D40:J40)</f>
        <v>1.0000000000000002</v>
      </c>
      <c r="T40" s="5">
        <f t="shared" si="27"/>
        <v>0.67856990988129984</v>
      </c>
      <c r="U40">
        <f t="shared" ref="U40:U71" si="40">T40*(1-(InterpolateTable(tdead,cycle+18,1)))</f>
        <v>0.67562708789612658</v>
      </c>
      <c r="V40">
        <f t="shared" ref="V40:V71" si="41">T40*(InterpolateTable(tdead,cycle+18,1))</f>
        <v>2.9428219851732212E-3</v>
      </c>
      <c r="W40" s="50">
        <f>0</f>
        <v>0</v>
      </c>
      <c r="X40" s="51">
        <f t="shared" ref="X40:X71" si="42">V40*(cDead)</f>
        <v>26.997448891979133</v>
      </c>
      <c r="Y40" s="52">
        <f t="shared" ref="Y40:Y71" si="43">SUM(W40:X40)</f>
        <v>26.997448891979133</v>
      </c>
      <c r="Z40" s="14">
        <f t="shared" si="28"/>
        <v>0.67856990988129984</v>
      </c>
      <c r="AA40" s="5">
        <f t="shared" si="29"/>
        <v>7.2127710700669631E-2</v>
      </c>
      <c r="AB40">
        <f t="shared" ref="AB40:AB71" si="44">AA40*(1-(InterpolateTable(tdead,cycle+18,1)))</f>
        <v>7.181490724490297E-2</v>
      </c>
      <c r="AC40">
        <f t="shared" ref="AC40:AC71" si="45">AA40*(InterpolateTable(tdead,cycle+18,1))</f>
        <v>3.1280345576666405E-4</v>
      </c>
      <c r="AD40" s="50">
        <f>0</f>
        <v>0</v>
      </c>
      <c r="AE40" s="51">
        <f t="shared" ref="AE40:AE71" si="46">AC40*(cDead)</f>
        <v>2.8696589032033759</v>
      </c>
      <c r="AF40" s="52">
        <f t="shared" ref="AF40:AF71" si="47">SUM(AD40:AE40)</f>
        <v>2.8696589032033759</v>
      </c>
      <c r="AG40" s="14">
        <f t="shared" si="30"/>
        <v>7.2127710700669631E-2</v>
      </c>
      <c r="AH40" s="5">
        <f t="shared" si="31"/>
        <v>1.8031927675167408E-2</v>
      </c>
      <c r="AI40">
        <f t="shared" ref="AI40:AI71" si="48">AH40*(1-(InterpolateTable(tdead,cycle+18,1)))</f>
        <v>1.7953726811225743E-2</v>
      </c>
      <c r="AJ40">
        <f t="shared" ref="AJ40:AJ71" si="49">AH40*(InterpolateTable(tdead,cycle+18,1))</f>
        <v>7.8200863941666013E-5</v>
      </c>
      <c r="AK40" s="50">
        <f>0</f>
        <v>0</v>
      </c>
      <c r="AL40" s="51">
        <f t="shared" ref="AL40:AL71" si="50">AJ40*(cDead)</f>
        <v>0.71741472580084398</v>
      </c>
      <c r="AM40" s="52">
        <f t="shared" ref="AM40:AM71" si="51">SUM(AK40:AL40)</f>
        <v>0.71741472580084398</v>
      </c>
      <c r="AN40" s="14">
        <f t="shared" si="32"/>
        <v>1.2622349372617185E-2</v>
      </c>
      <c r="AO40" s="5">
        <f t="shared" si="33"/>
        <v>1.1388585900105729E-2</v>
      </c>
      <c r="AP40">
        <f t="shared" ref="AP40:AP71" si="52">AO40*(1-(InterpolateTable(tdead,cycle+18,1)))</f>
        <v>1.133919588077415E-2</v>
      </c>
      <c r="AQ40">
        <f t="shared" ref="AQ40:AQ71" si="53">AO40*(InterpolateTable(tdead,cycle+18,1))</f>
        <v>4.9390019331578527E-5</v>
      </c>
      <c r="AR40" s="50">
        <f>0</f>
        <v>0</v>
      </c>
      <c r="AS40" s="51">
        <f t="shared" ref="AS40:AS71" si="54">AQ40*(cDead)</f>
        <v>0.45310403734790139</v>
      </c>
      <c r="AT40" s="52">
        <f t="shared" ref="AT40:AT71" si="55">SUM(AR40:AS40)</f>
        <v>0.45310403734790139</v>
      </c>
      <c r="AU40" s="14">
        <f t="shared" si="34"/>
        <v>6.9470373990644946E-3</v>
      </c>
      <c r="AV40" s="5">
        <f t="shared" si="35"/>
        <v>6.0739124800563912E-2</v>
      </c>
      <c r="AW40">
        <f t="shared" ref="AW40:AW71" si="56">AV40*(1-(InterpolateTable(tdead,cycle+18,1)))</f>
        <v>6.0475711364128826E-2</v>
      </c>
      <c r="AX40">
        <f t="shared" ref="AX40:AX71" si="57">AV40*(InterpolateTable(tdead,cycle+18,1))</f>
        <v>2.634134364350856E-4</v>
      </c>
      <c r="AY40" s="50">
        <f>0</f>
        <v>0</v>
      </c>
      <c r="AZ40" s="51">
        <f t="shared" ref="AZ40:AZ71" si="58">AX40*(cDead)</f>
        <v>2.4165548658554754</v>
      </c>
      <c r="BA40" s="52">
        <f t="shared" ref="BA40:BA71" si="59">SUM(AY40:AZ40)</f>
        <v>2.4165548658554754</v>
      </c>
      <c r="BB40" s="14">
        <f t="shared" si="36"/>
        <v>4.3732169856406017E-2</v>
      </c>
      <c r="BC40" s="5">
        <f t="shared" si="37"/>
        <v>1.6923283978724928E-2</v>
      </c>
      <c r="BD40">
        <f t="shared" ref="BD40:BD71" si="60">BC40*(1-(InterpolateTable(tdead_inc,cycle+18,1)))</f>
        <v>1.6856118849270164E-2</v>
      </c>
      <c r="BE40">
        <f t="shared" ref="BE40:BE71" si="61">BC40*(InterpolateTable(tdead_inc,cycle+18,1))</f>
        <v>6.7165129454763517E-5</v>
      </c>
      <c r="BF40" s="50">
        <f>0</f>
        <v>0</v>
      </c>
      <c r="BG40" s="51">
        <f t="shared" ref="BG40:BG71" si="62">BE40*(cDead)</f>
        <v>0.61617289761800054</v>
      </c>
      <c r="BH40" s="52">
        <f t="shared" ref="BH40:BH71" si="63">SUM(BF40:BG40)</f>
        <v>0.61617289761800054</v>
      </c>
      <c r="BI40" s="14">
        <f t="shared" si="38"/>
        <v>1.0153970387234957E-3</v>
      </c>
      <c r="BJ40" s="5">
        <f>0 + '1. Strategy Calcs'!V39 + '1. Strategy Calcs'!AC39 + '1. Strategy Calcs'!AJ39 + '1. Strategy Calcs'!AQ39 + '1. Strategy Calcs'!AX39 + '1. Strategy Calcs'!BE39 + BJ39</f>
        <v>0.142219457063469</v>
      </c>
      <c r="BK40" s="63">
        <f>0</f>
        <v>0</v>
      </c>
    </row>
    <row r="41" spans="2:63" x14ac:dyDescent="0.35">
      <c r="B41" s="14">
        <v>33</v>
      </c>
      <c r="D41" s="5">
        <f>'1. Strategy Calcs'!T41</f>
        <v>0.67562708789612658</v>
      </c>
      <c r="E41">
        <f>'1. Strategy Calcs'!AA41</f>
        <v>7.181490724490297E-2</v>
      </c>
      <c r="F41">
        <f>'1. Strategy Calcs'!AH41</f>
        <v>1.7953726811225743E-2</v>
      </c>
      <c r="G41">
        <f>'1. Strategy Calcs'!AO41</f>
        <v>1.133919588077415E-2</v>
      </c>
      <c r="H41">
        <f>'1. Strategy Calcs'!AV41</f>
        <v>6.0475711364128826E-2</v>
      </c>
      <c r="I41">
        <f>'1. Strategy Calcs'!BC41</f>
        <v>1.6856118849270164E-2</v>
      </c>
      <c r="J41" s="6">
        <f>'1. Strategy Calcs'!BJ41</f>
        <v>0.14593325195357199</v>
      </c>
      <c r="K41" s="50">
        <f>'1. Strategy Calcs'!Y41 + '1. Strategy Calcs'!AF41 + '1. Strategy Calcs'!AM41 + '1. Strategy Calcs'!AT41 + '1. Strategy Calcs'!BA41 + '1. Strategy Calcs'!BH41 + '1. Strategy Calcs'!BK41</f>
        <v>36.849764464913257</v>
      </c>
      <c r="L41" s="51">
        <f>K41*'Time Discounting'!C38</f>
        <v>13.893328389272003</v>
      </c>
      <c r="M41" s="52">
        <f t="shared" ref="M41:M72" si="64">M40 + L41</f>
        <v>135535.66882712822</v>
      </c>
      <c r="N41" s="5">
        <f>'1. Strategy Calcs'!Z41 + '1. Strategy Calcs'!AG41 + '1. Strategy Calcs'!AN41 + '1. Strategy Calcs'!AU41 + '1. Strategy Calcs'!BB41 + '1. Strategy Calcs'!BI41</f>
        <v>0.81148039270928873</v>
      </c>
      <c r="O41">
        <f>N41*'Time Discounting'!D38</f>
        <v>0.30594940676216054</v>
      </c>
      <c r="P41" s="6">
        <f t="shared" ref="P41:P72" si="65">P40 + O41</f>
        <v>17.969111137464758</v>
      </c>
      <c r="R41" s="14">
        <f t="shared" si="39"/>
        <v>1.0000000000000004</v>
      </c>
      <c r="T41" s="5">
        <f t="shared" ref="T41:T72" si="66">0 + U40</f>
        <v>0.67562708789612658</v>
      </c>
      <c r="U41">
        <f t="shared" si="40"/>
        <v>0.67244562750193249</v>
      </c>
      <c r="V41">
        <f t="shared" si="41"/>
        <v>3.1814603941940716E-3</v>
      </c>
      <c r="W41" s="50">
        <f>0</f>
        <v>0</v>
      </c>
      <c r="X41" s="51">
        <f t="shared" si="42"/>
        <v>29.186717656336413</v>
      </c>
      <c r="Y41" s="52">
        <f t="shared" si="43"/>
        <v>29.186717656336413</v>
      </c>
      <c r="Z41" s="14">
        <f t="shared" ref="Z41:Z72" si="67">T41*(uAlive)</f>
        <v>0.67562708789612658</v>
      </c>
      <c r="AA41" s="5">
        <f t="shared" ref="AA41:AA72" si="68">0 + AB40</f>
        <v>7.181490724490297E-2</v>
      </c>
      <c r="AB41">
        <f t="shared" si="44"/>
        <v>7.1476738028177444E-2</v>
      </c>
      <c r="AC41">
        <f t="shared" si="45"/>
        <v>3.3816921672552374E-4</v>
      </c>
      <c r="AD41" s="50">
        <f>0</f>
        <v>0</v>
      </c>
      <c r="AE41" s="51">
        <f t="shared" si="46"/>
        <v>3.1023643942399546</v>
      </c>
      <c r="AF41" s="52">
        <f t="shared" si="47"/>
        <v>3.1023643942399546</v>
      </c>
      <c r="AG41" s="14">
        <f t="shared" ref="AG41:AG72" si="69">AA41*(uSkinScarring_Node4)</f>
        <v>7.181490724490297E-2</v>
      </c>
      <c r="AH41" s="5">
        <f t="shared" ref="AH41:AH72" si="70">0 + AI40</f>
        <v>1.7953726811225743E-2</v>
      </c>
      <c r="AI41">
        <f t="shared" si="48"/>
        <v>1.7869184507044361E-2</v>
      </c>
      <c r="AJ41">
        <f t="shared" si="49"/>
        <v>8.4542304181380935E-5</v>
      </c>
      <c r="AK41" s="50">
        <f>0</f>
        <v>0</v>
      </c>
      <c r="AL41" s="51">
        <f t="shared" si="50"/>
        <v>0.77559109855998865</v>
      </c>
      <c r="AM41" s="52">
        <f t="shared" si="51"/>
        <v>0.77559109855998865</v>
      </c>
      <c r="AN41" s="14">
        <f t="shared" ref="AN41:AN72" si="71">AH41*(uSingleAmp_Node6)</f>
        <v>1.2567608767858019E-2</v>
      </c>
      <c r="AO41" s="5">
        <f t="shared" ref="AO41:AO72" si="72">0 + AP40</f>
        <v>1.133919588077415E-2</v>
      </c>
      <c r="AP41">
        <f t="shared" si="52"/>
        <v>1.1285800741291173E-2</v>
      </c>
      <c r="AQ41">
        <f t="shared" si="53"/>
        <v>5.3395139482977414E-5</v>
      </c>
      <c r="AR41" s="50">
        <f>0</f>
        <v>0</v>
      </c>
      <c r="AS41" s="51">
        <f t="shared" si="54"/>
        <v>0.48984700961683481</v>
      </c>
      <c r="AT41" s="52">
        <f t="shared" si="55"/>
        <v>0.48984700961683481</v>
      </c>
      <c r="AU41" s="14">
        <f t="shared" ref="AU41:AU72" si="73">AO41*(uMultipleAmp_Node7)</f>
        <v>6.916909487272231E-3</v>
      </c>
      <c r="AV41" s="5">
        <f t="shared" ref="AV41:AV72" si="74">0 + AW40</f>
        <v>6.0475711364128826E-2</v>
      </c>
      <c r="AW41">
        <f t="shared" si="56"/>
        <v>6.0190937286886279E-2</v>
      </c>
      <c r="AX41">
        <f t="shared" si="57"/>
        <v>2.8477407724254635E-4</v>
      </c>
      <c r="AY41" s="50">
        <f>0</f>
        <v>0</v>
      </c>
      <c r="AZ41" s="51">
        <f t="shared" si="58"/>
        <v>2.6125173846231204</v>
      </c>
      <c r="BA41" s="52">
        <f t="shared" si="59"/>
        <v>2.6125173846231204</v>
      </c>
      <c r="BB41" s="14">
        <f t="shared" ref="BB41:BB72" si="75">AV41*(uHearingLoss_Node10)</f>
        <v>4.3542512182172755E-2</v>
      </c>
      <c r="BC41" s="5">
        <f t="shared" ref="BC41:BC72" si="76">0 + BD40</f>
        <v>1.6856118849270164E-2</v>
      </c>
      <c r="BD41">
        <f t="shared" si="60"/>
        <v>1.6781699084550634E-2</v>
      </c>
      <c r="BE41">
        <f t="shared" si="61"/>
        <v>7.4419764719527807E-5</v>
      </c>
      <c r="BF41" s="50">
        <f>0</f>
        <v>0</v>
      </c>
      <c r="BG41" s="51">
        <f t="shared" si="62"/>
        <v>0.68272692153694814</v>
      </c>
      <c r="BH41" s="52">
        <f t="shared" si="63"/>
        <v>0.68272692153694814</v>
      </c>
      <c r="BI41" s="14">
        <f t="shared" ref="BI41:BI72" si="77">BC41*(uNeuroDis_Node11)</f>
        <v>1.0113671309562098E-3</v>
      </c>
      <c r="BJ41" s="5">
        <f>0 + '1. Strategy Calcs'!V40 + '1. Strategy Calcs'!AC40 + '1. Strategy Calcs'!AJ40 + '1. Strategy Calcs'!AQ40 + '1. Strategy Calcs'!AX40 + '1. Strategy Calcs'!BE40 + BJ40</f>
        <v>0.14593325195357199</v>
      </c>
      <c r="BK41" s="63">
        <f>0</f>
        <v>0</v>
      </c>
    </row>
    <row r="42" spans="2:63" x14ac:dyDescent="0.35">
      <c r="B42" s="14">
        <v>34</v>
      </c>
      <c r="D42" s="5">
        <f>'1. Strategy Calcs'!T42</f>
        <v>0.67244562750193249</v>
      </c>
      <c r="E42">
        <f>'1. Strategy Calcs'!AA42</f>
        <v>7.1476738028177444E-2</v>
      </c>
      <c r="F42">
        <f>'1. Strategy Calcs'!AH42</f>
        <v>1.7869184507044361E-2</v>
      </c>
      <c r="G42">
        <f>'1. Strategy Calcs'!AO42</f>
        <v>1.1285800741291173E-2</v>
      </c>
      <c r="H42">
        <f>'1. Strategy Calcs'!AV42</f>
        <v>6.0190937286886279E-2</v>
      </c>
      <c r="I42">
        <f>'1. Strategy Calcs'!BC42</f>
        <v>1.6781699084550634E-2</v>
      </c>
      <c r="J42" s="6">
        <f>'1. Strategy Calcs'!BJ42</f>
        <v>0.14995001285011803</v>
      </c>
      <c r="K42" s="50">
        <f>'1. Strategy Calcs'!Y42 + '1. Strategy Calcs'!AF42 + '1. Strategy Calcs'!AM42 + '1. Strategy Calcs'!AT42 + '1. Strategy Calcs'!BA42 + '1. Strategy Calcs'!BH42 + '1. Strategy Calcs'!BK42</f>
        <v>39.672468539586511</v>
      </c>
      <c r="L42" s="51">
        <f>K42*'Time Discounting'!C39</f>
        <v>14.521904769115945</v>
      </c>
      <c r="M42" s="52">
        <f t="shared" si="64"/>
        <v>135550.19073189734</v>
      </c>
      <c r="N42" s="5">
        <f>'1. Strategy Calcs'!Z42 + '1. Strategy Calcs'!AG42 + '1. Strategy Calcs'!AN42 + '1. Strategy Calcs'!AU42 + '1. Strategy Calcs'!BB42 + '1. Strategy Calcs'!BI42</f>
        <v>0.80765950992885971</v>
      </c>
      <c r="O42">
        <f>N42*'Time Discounting'!D39</f>
        <v>0.29563964433809842</v>
      </c>
      <c r="P42" s="6">
        <f t="shared" si="65"/>
        <v>18.264750781802856</v>
      </c>
      <c r="R42" s="14">
        <f t="shared" si="39"/>
        <v>1.0000000000000004</v>
      </c>
      <c r="T42" s="5">
        <f t="shared" si="66"/>
        <v>0.67244562750193249</v>
      </c>
      <c r="U42">
        <f t="shared" si="40"/>
        <v>0.66902200507863185</v>
      </c>
      <c r="V42">
        <f t="shared" si="41"/>
        <v>3.4236224233005876E-3</v>
      </c>
      <c r="W42" s="50">
        <f>0</f>
        <v>0</v>
      </c>
      <c r="X42" s="51">
        <f t="shared" si="42"/>
        <v>31.408312111359592</v>
      </c>
      <c r="Y42" s="52">
        <f t="shared" si="43"/>
        <v>31.408312111359592</v>
      </c>
      <c r="Z42" s="14">
        <f t="shared" si="67"/>
        <v>0.67244562750193249</v>
      </c>
      <c r="AA42" s="5">
        <f t="shared" si="68"/>
        <v>7.1476738028177444E-2</v>
      </c>
      <c r="AB42">
        <f t="shared" si="44"/>
        <v>7.1112828511854589E-2</v>
      </c>
      <c r="AC42">
        <f t="shared" si="45"/>
        <v>3.6390951632285967E-4</v>
      </c>
      <c r="AD42" s="50">
        <f>0</f>
        <v>0</v>
      </c>
      <c r="AE42" s="51">
        <f t="shared" si="46"/>
        <v>3.3385059027459145</v>
      </c>
      <c r="AF42" s="52">
        <f t="shared" si="47"/>
        <v>3.3385059027459145</v>
      </c>
      <c r="AG42" s="14">
        <f t="shared" si="69"/>
        <v>7.1476738028177444E-2</v>
      </c>
      <c r="AH42" s="5">
        <f t="shared" si="70"/>
        <v>1.7869184507044361E-2</v>
      </c>
      <c r="AI42">
        <f t="shared" si="48"/>
        <v>1.7778207127963647E-2</v>
      </c>
      <c r="AJ42">
        <f t="shared" si="49"/>
        <v>9.0977379080714918E-5</v>
      </c>
      <c r="AK42" s="50">
        <f>0</f>
        <v>0</v>
      </c>
      <c r="AL42" s="51">
        <f t="shared" si="50"/>
        <v>0.83462647568647863</v>
      </c>
      <c r="AM42" s="52">
        <f t="shared" si="51"/>
        <v>0.83462647568647863</v>
      </c>
      <c r="AN42" s="14">
        <f t="shared" si="71"/>
        <v>1.2508429154931052E-2</v>
      </c>
      <c r="AO42" s="5">
        <f t="shared" si="72"/>
        <v>1.1285800741291173E-2</v>
      </c>
      <c r="AP42">
        <f t="shared" si="52"/>
        <v>1.1228341343977037E-2</v>
      </c>
      <c r="AQ42">
        <f t="shared" si="53"/>
        <v>5.7459397314135727E-5</v>
      </c>
      <c r="AR42" s="50">
        <f>0</f>
        <v>0</v>
      </c>
      <c r="AS42" s="51">
        <f t="shared" si="54"/>
        <v>0.52713251095988112</v>
      </c>
      <c r="AT42" s="52">
        <f t="shared" si="55"/>
        <v>0.52713251095988112</v>
      </c>
      <c r="AU42" s="14">
        <f t="shared" si="73"/>
        <v>6.8843384521876157E-3</v>
      </c>
      <c r="AV42" s="5">
        <f t="shared" si="74"/>
        <v>6.0190937286886279E-2</v>
      </c>
      <c r="AW42">
        <f t="shared" si="56"/>
        <v>5.9884487167877552E-2</v>
      </c>
      <c r="AX42">
        <f t="shared" si="57"/>
        <v>3.0645011900872399E-4</v>
      </c>
      <c r="AY42" s="50">
        <f>0</f>
        <v>0</v>
      </c>
      <c r="AZ42" s="51">
        <f t="shared" si="58"/>
        <v>2.811373391786034</v>
      </c>
      <c r="BA42" s="52">
        <f t="shared" si="59"/>
        <v>2.811373391786034</v>
      </c>
      <c r="BB42" s="14">
        <f t="shared" si="75"/>
        <v>4.3337474846558116E-2</v>
      </c>
      <c r="BC42" s="5">
        <f t="shared" si="76"/>
        <v>1.6781699084550634E-2</v>
      </c>
      <c r="BD42">
        <f t="shared" si="60"/>
        <v>1.6699671817595262E-2</v>
      </c>
      <c r="BE42">
        <f t="shared" si="61"/>
        <v>8.2027266955374994E-5</v>
      </c>
      <c r="BF42" s="50">
        <f>0</f>
        <v>0</v>
      </c>
      <c r="BG42" s="51">
        <f t="shared" si="62"/>
        <v>0.7525181470486102</v>
      </c>
      <c r="BH42" s="52">
        <f t="shared" si="63"/>
        <v>0.7525181470486102</v>
      </c>
      <c r="BI42" s="14">
        <f t="shared" si="77"/>
        <v>1.006901945073038E-3</v>
      </c>
      <c r="BJ42" s="5">
        <f>0 + '1. Strategy Calcs'!V41 + '1. Strategy Calcs'!AC41 + '1. Strategy Calcs'!AJ41 + '1. Strategy Calcs'!AQ41 + '1. Strategy Calcs'!AX41 + '1. Strategy Calcs'!BE41 + BJ41</f>
        <v>0.14995001285011803</v>
      </c>
      <c r="BK42" s="63">
        <f>0</f>
        <v>0</v>
      </c>
    </row>
    <row r="43" spans="2:63" x14ac:dyDescent="0.35">
      <c r="B43" s="14">
        <v>35</v>
      </c>
      <c r="D43" s="5">
        <f>'1. Strategy Calcs'!T43</f>
        <v>0.66902200507863185</v>
      </c>
      <c r="E43">
        <f>'1. Strategy Calcs'!AA43</f>
        <v>7.1112828511854589E-2</v>
      </c>
      <c r="F43">
        <f>'1. Strategy Calcs'!AH43</f>
        <v>1.7778207127963647E-2</v>
      </c>
      <c r="G43">
        <f>'1. Strategy Calcs'!AO43</f>
        <v>1.1228341343977037E-2</v>
      </c>
      <c r="H43">
        <f>'1. Strategy Calcs'!AV43</f>
        <v>5.9884487167877552E-2</v>
      </c>
      <c r="I43">
        <f>'1. Strategy Calcs'!BC43</f>
        <v>1.6699671817595262E-2</v>
      </c>
      <c r="J43" s="6">
        <f>'1. Strategy Calcs'!BJ43</f>
        <v>0.15427445895210043</v>
      </c>
      <c r="K43" s="50">
        <f>'1. Strategy Calcs'!Y43 + '1. Strategy Calcs'!AF43 + '1. Strategy Calcs'!AM43 + '1. Strategy Calcs'!AT43 + '1. Strategy Calcs'!BA43 + '1. Strategy Calcs'!BH43 + '1. Strategy Calcs'!BK43</f>
        <v>42.45157024557286</v>
      </c>
      <c r="L43" s="51">
        <f>K43*'Time Discounting'!C40</f>
        <v>15.086583276173119</v>
      </c>
      <c r="M43" s="52">
        <f t="shared" si="64"/>
        <v>135565.2773151735</v>
      </c>
      <c r="N43" s="5">
        <f>'1. Strategy Calcs'!Z43 + '1. Strategy Calcs'!AG43 + '1. Strategy Calcs'!AN43 + '1. Strategy Calcs'!AU43 + '1. Strategy Calcs'!BB43 + '1. Strategy Calcs'!BI43</f>
        <v>0.80354767786981462</v>
      </c>
      <c r="O43">
        <f>N43*'Time Discounting'!D40</f>
        <v>0.28556750406241421</v>
      </c>
      <c r="P43" s="6">
        <f t="shared" si="65"/>
        <v>18.55031828586527</v>
      </c>
      <c r="R43" s="14">
        <f t="shared" si="39"/>
        <v>1.0000000000000002</v>
      </c>
      <c r="T43" s="5">
        <f t="shared" si="66"/>
        <v>0.66902200507863185</v>
      </c>
      <c r="U43">
        <f t="shared" si="40"/>
        <v>0.66535971172063091</v>
      </c>
      <c r="V43">
        <f t="shared" si="41"/>
        <v>3.662293358000938E-3</v>
      </c>
      <c r="W43" s="50">
        <f>0</f>
        <v>0</v>
      </c>
      <c r="X43" s="51">
        <f t="shared" si="42"/>
        <v>33.597879266300602</v>
      </c>
      <c r="Y43" s="52">
        <f t="shared" si="43"/>
        <v>33.597879266300602</v>
      </c>
      <c r="Z43" s="14">
        <f t="shared" si="67"/>
        <v>0.66902200507863185</v>
      </c>
      <c r="AA43" s="5">
        <f t="shared" si="68"/>
        <v>7.1112828511854589E-2</v>
      </c>
      <c r="AB43">
        <f t="shared" si="44"/>
        <v>7.0723549777297848E-2</v>
      </c>
      <c r="AC43">
        <f t="shared" si="45"/>
        <v>3.8927873455674313E-4</v>
      </c>
      <c r="AD43" s="50">
        <f>0</f>
        <v>0</v>
      </c>
      <c r="AE43" s="51">
        <f t="shared" si="46"/>
        <v>3.5712431108235614</v>
      </c>
      <c r="AF43" s="52">
        <f t="shared" si="47"/>
        <v>3.5712431108235614</v>
      </c>
      <c r="AG43" s="14">
        <f t="shared" si="69"/>
        <v>7.1112828511854589E-2</v>
      </c>
      <c r="AH43" s="5">
        <f t="shared" si="70"/>
        <v>1.7778207127963647E-2</v>
      </c>
      <c r="AI43">
        <f t="shared" si="48"/>
        <v>1.7680887444324462E-2</v>
      </c>
      <c r="AJ43">
        <f t="shared" si="49"/>
        <v>9.7319683639185783E-5</v>
      </c>
      <c r="AK43" s="50">
        <f>0</f>
        <v>0</v>
      </c>
      <c r="AL43" s="51">
        <f t="shared" si="50"/>
        <v>0.89281077770589035</v>
      </c>
      <c r="AM43" s="52">
        <f t="shared" si="51"/>
        <v>0.89281077770589035</v>
      </c>
      <c r="AN43" s="14">
        <f t="shared" si="71"/>
        <v>1.2444744989574553E-2</v>
      </c>
      <c r="AO43" s="5">
        <f t="shared" si="72"/>
        <v>1.1228341343977037E-2</v>
      </c>
      <c r="AP43">
        <f t="shared" si="52"/>
        <v>1.1166876280625971E-2</v>
      </c>
      <c r="AQ43">
        <f t="shared" si="53"/>
        <v>6.1465063351064691E-5</v>
      </c>
      <c r="AR43" s="50">
        <f>0</f>
        <v>0</v>
      </c>
      <c r="AS43" s="51">
        <f t="shared" si="54"/>
        <v>0.56388049118266748</v>
      </c>
      <c r="AT43" s="52">
        <f t="shared" si="55"/>
        <v>0.56388049118266748</v>
      </c>
      <c r="AU43" s="14">
        <f t="shared" si="73"/>
        <v>6.8492882198259927E-3</v>
      </c>
      <c r="AV43" s="5">
        <f t="shared" si="74"/>
        <v>5.9884487167877552E-2</v>
      </c>
      <c r="AW43">
        <f t="shared" si="56"/>
        <v>5.9556673496671875E-2</v>
      </c>
      <c r="AX43">
        <f t="shared" si="57"/>
        <v>3.2781367120567848E-4</v>
      </c>
      <c r="AY43" s="50">
        <f>0</f>
        <v>0</v>
      </c>
      <c r="AZ43" s="51">
        <f t="shared" si="58"/>
        <v>3.0073626196408942</v>
      </c>
      <c r="BA43" s="52">
        <f t="shared" si="59"/>
        <v>3.0073626196408942</v>
      </c>
      <c r="BB43" s="14">
        <f t="shared" si="75"/>
        <v>4.3116830760871833E-2</v>
      </c>
      <c r="BC43" s="5">
        <f t="shared" si="76"/>
        <v>1.6699671817595262E-2</v>
      </c>
      <c r="BD43">
        <f t="shared" si="60"/>
        <v>1.6610463840712849E-2</v>
      </c>
      <c r="BE43">
        <f t="shared" si="61"/>
        <v>8.9207976882412299E-5</v>
      </c>
      <c r="BF43" s="50">
        <f>0</f>
        <v>0</v>
      </c>
      <c r="BG43" s="51">
        <f t="shared" si="62"/>
        <v>0.81839397991925045</v>
      </c>
      <c r="BH43" s="52">
        <f t="shared" si="63"/>
        <v>0.81839397991925045</v>
      </c>
      <c r="BI43" s="14">
        <f t="shared" si="77"/>
        <v>1.0019803090557157E-3</v>
      </c>
      <c r="BJ43" s="5">
        <f>0 + '1. Strategy Calcs'!V42 + '1. Strategy Calcs'!AC42 + '1. Strategy Calcs'!AJ42 + '1. Strategy Calcs'!AQ42 + '1. Strategy Calcs'!AX42 + '1. Strategy Calcs'!BE42 + BJ42</f>
        <v>0.15427445895210043</v>
      </c>
      <c r="BK43" s="63">
        <f>0</f>
        <v>0</v>
      </c>
    </row>
    <row r="44" spans="2:63" x14ac:dyDescent="0.35">
      <c r="B44" s="14">
        <v>36</v>
      </c>
      <c r="D44" s="5">
        <f>'1. Strategy Calcs'!T44</f>
        <v>0.66535971172063091</v>
      </c>
      <c r="E44">
        <f>'1. Strategy Calcs'!AA44</f>
        <v>7.0723549777297848E-2</v>
      </c>
      <c r="F44">
        <f>'1. Strategy Calcs'!AH44</f>
        <v>1.7680887444324462E-2</v>
      </c>
      <c r="G44">
        <f>'1. Strategy Calcs'!AO44</f>
        <v>1.1166876280625971E-2</v>
      </c>
      <c r="H44">
        <f>'1. Strategy Calcs'!AV44</f>
        <v>5.9556673496671875E-2</v>
      </c>
      <c r="I44">
        <f>'1. Strategy Calcs'!BC44</f>
        <v>1.6610463840712849E-2</v>
      </c>
      <c r="J44" s="6">
        <f>'1. Strategy Calcs'!BJ44</f>
        <v>0.15890183743973646</v>
      </c>
      <c r="K44" s="50">
        <f>'1. Strategy Calcs'!Y44 + '1. Strategy Calcs'!AF44 + '1. Strategy Calcs'!AM44 + '1. Strategy Calcs'!AT44 + '1. Strategy Calcs'!BA44 + '1. Strategy Calcs'!BH44 + '1. Strategy Calcs'!BK44</f>
        <v>44.952392991016715</v>
      </c>
      <c r="L44" s="51">
        <f>K44*'Time Discounting'!C41</f>
        <v>15.510033165791706</v>
      </c>
      <c r="M44" s="52">
        <f t="shared" si="64"/>
        <v>135580.78734833931</v>
      </c>
      <c r="N44" s="5">
        <f>'1. Strategy Calcs'!Z44 + '1. Strategy Calcs'!AG44 + '1. Strategy Calcs'!AN44 + '1. Strategy Calcs'!AU44 + '1. Strategy Calcs'!BB44 + '1. Strategy Calcs'!BI44</f>
        <v>0.79914910998818423</v>
      </c>
      <c r="O44">
        <f>N44*'Time Discounting'!D41</f>
        <v>0.27573235540111607</v>
      </c>
      <c r="P44" s="6">
        <f t="shared" si="65"/>
        <v>18.826050641266384</v>
      </c>
      <c r="R44" s="14">
        <f t="shared" si="39"/>
        <v>1.0000000000000004</v>
      </c>
      <c r="T44" s="5">
        <f t="shared" si="66"/>
        <v>0.66535971172063091</v>
      </c>
      <c r="U44">
        <f t="shared" si="40"/>
        <v>0.66145864119484166</v>
      </c>
      <c r="V44">
        <f t="shared" si="41"/>
        <v>3.9010705257892307E-3</v>
      </c>
      <c r="W44" s="50">
        <f>0</f>
        <v>0</v>
      </c>
      <c r="X44" s="51">
        <f t="shared" si="42"/>
        <v>35.7884210035904</v>
      </c>
      <c r="Y44" s="52">
        <f t="shared" si="43"/>
        <v>35.7884210035904</v>
      </c>
      <c r="Z44" s="14">
        <f t="shared" si="67"/>
        <v>0.66535971172063091</v>
      </c>
      <c r="AA44" s="5">
        <f t="shared" si="68"/>
        <v>7.0723549777297848E-2</v>
      </c>
      <c r="AB44">
        <f t="shared" si="44"/>
        <v>7.0308890532598575E-2</v>
      </c>
      <c r="AC44">
        <f t="shared" si="45"/>
        <v>4.14659244699275E-4</v>
      </c>
      <c r="AD44" s="50">
        <f>0</f>
        <v>0</v>
      </c>
      <c r="AE44" s="51">
        <f t="shared" si="46"/>
        <v>3.8040839108711491</v>
      </c>
      <c r="AF44" s="52">
        <f t="shared" si="47"/>
        <v>3.8040839108711491</v>
      </c>
      <c r="AG44" s="14">
        <f t="shared" si="69"/>
        <v>7.0723549777297848E-2</v>
      </c>
      <c r="AH44" s="5">
        <f t="shared" si="70"/>
        <v>1.7680887444324462E-2</v>
      </c>
      <c r="AI44">
        <f t="shared" si="48"/>
        <v>1.7577222633149644E-2</v>
      </c>
      <c r="AJ44">
        <f t="shared" si="49"/>
        <v>1.0366481117481875E-4</v>
      </c>
      <c r="AK44" s="50">
        <f>0</f>
        <v>0</v>
      </c>
      <c r="AL44" s="51">
        <f t="shared" si="50"/>
        <v>0.95102097771778726</v>
      </c>
      <c r="AM44" s="52">
        <f t="shared" si="51"/>
        <v>0.95102097771778726</v>
      </c>
      <c r="AN44" s="14">
        <f t="shared" si="71"/>
        <v>1.2376621211027122E-2</v>
      </c>
      <c r="AO44" s="5">
        <f t="shared" si="72"/>
        <v>1.1166876280625971E-2</v>
      </c>
      <c r="AP44">
        <f t="shared" si="52"/>
        <v>1.1101403768305033E-2</v>
      </c>
      <c r="AQ44">
        <f t="shared" si="53"/>
        <v>6.5472512320938127E-5</v>
      </c>
      <c r="AR44" s="50">
        <f>0</f>
        <v>0</v>
      </c>
      <c r="AS44" s="51">
        <f t="shared" si="54"/>
        <v>0.60064482803228636</v>
      </c>
      <c r="AT44" s="52">
        <f t="shared" si="55"/>
        <v>0.60064482803228636</v>
      </c>
      <c r="AU44" s="14">
        <f t="shared" si="73"/>
        <v>6.8117945311818419E-3</v>
      </c>
      <c r="AV44" s="5">
        <f t="shared" si="74"/>
        <v>5.9556673496671875E-2</v>
      </c>
      <c r="AW44">
        <f t="shared" si="56"/>
        <v>5.9207486764293535E-2</v>
      </c>
      <c r="AX44">
        <f t="shared" si="57"/>
        <v>3.4918673237833682E-4</v>
      </c>
      <c r="AY44" s="50">
        <f>0</f>
        <v>0</v>
      </c>
      <c r="AZ44" s="51">
        <f t="shared" si="58"/>
        <v>3.2034390828388619</v>
      </c>
      <c r="BA44" s="52">
        <f t="shared" si="59"/>
        <v>3.2034390828388619</v>
      </c>
      <c r="BB44" s="14">
        <f t="shared" si="75"/>
        <v>4.2880804917603751E-2</v>
      </c>
      <c r="BC44" s="5">
        <f t="shared" si="76"/>
        <v>1.6610463840712849E-2</v>
      </c>
      <c r="BD44">
        <f t="shared" si="60"/>
        <v>1.6544540231821829E-2</v>
      </c>
      <c r="BE44">
        <f t="shared" si="61"/>
        <v>6.5923608891021302E-5</v>
      </c>
      <c r="BF44" s="50">
        <f>0</f>
        <v>0</v>
      </c>
      <c r="BG44" s="51">
        <f t="shared" si="62"/>
        <v>0.60478318796622943</v>
      </c>
      <c r="BH44" s="52">
        <f t="shared" si="63"/>
        <v>0.60478318796622943</v>
      </c>
      <c r="BI44" s="14">
        <f t="shared" si="77"/>
        <v>9.966278304427709E-4</v>
      </c>
      <c r="BJ44" s="5">
        <f>0 + '1. Strategy Calcs'!V43 + '1. Strategy Calcs'!AC43 + '1. Strategy Calcs'!AJ43 + '1. Strategy Calcs'!AQ43 + '1. Strategy Calcs'!AX43 + '1. Strategy Calcs'!BE43 + BJ43</f>
        <v>0.15890183743973646</v>
      </c>
      <c r="BK44" s="63">
        <f>0</f>
        <v>0</v>
      </c>
    </row>
    <row r="45" spans="2:63" x14ac:dyDescent="0.35">
      <c r="B45" s="14">
        <v>37</v>
      </c>
      <c r="D45" s="5">
        <f>'1. Strategy Calcs'!T45</f>
        <v>0.66145864119484166</v>
      </c>
      <c r="E45">
        <f>'1. Strategy Calcs'!AA45</f>
        <v>7.0308890532598575E-2</v>
      </c>
      <c r="F45">
        <f>'1. Strategy Calcs'!AH45</f>
        <v>1.7577222633149644E-2</v>
      </c>
      <c r="G45">
        <f>'1. Strategy Calcs'!AO45</f>
        <v>1.1101403768305033E-2</v>
      </c>
      <c r="H45">
        <f>'1. Strategy Calcs'!AV45</f>
        <v>5.9207486764293535E-2</v>
      </c>
      <c r="I45">
        <f>'1. Strategy Calcs'!BC45</f>
        <v>1.6544540231821829E-2</v>
      </c>
      <c r="J45" s="6">
        <f>'1. Strategy Calcs'!BJ45</f>
        <v>0.16380181487499007</v>
      </c>
      <c r="K45" s="50">
        <f>'1. Strategy Calcs'!Y45 + '1. Strategy Calcs'!AF45 + '1. Strategy Calcs'!AM45 + '1. Strategy Calcs'!AT45 + '1. Strategy Calcs'!BA45 + '1. Strategy Calcs'!BH45 + '1. Strategy Calcs'!BK45</f>
        <v>47.490507519875926</v>
      </c>
      <c r="L45" s="51">
        <f>K45*'Time Discounting'!C42</f>
        <v>15.908509686170497</v>
      </c>
      <c r="M45" s="52">
        <f t="shared" si="64"/>
        <v>135596.69585802549</v>
      </c>
      <c r="N45" s="5">
        <f>'1. Strategy Calcs'!Z45 + '1. Strategy Calcs'!AG45 + '1. Strategy Calcs'!AN45 + '1. Strategy Calcs'!AU45 + '1. Strategy Calcs'!BB45 + '1. Strategy Calcs'!BI45</f>
        <v>0.79446550675351169</v>
      </c>
      <c r="O45">
        <f>N45*'Time Discounting'!D42</f>
        <v>0.26613238875636286</v>
      </c>
      <c r="P45" s="6">
        <f t="shared" si="65"/>
        <v>19.092183030022746</v>
      </c>
      <c r="R45" s="14">
        <f t="shared" si="39"/>
        <v>1.0000000000000004</v>
      </c>
      <c r="T45" s="5">
        <f t="shared" si="66"/>
        <v>0.66145864119484166</v>
      </c>
      <c r="U45">
        <f t="shared" si="40"/>
        <v>0.65730818665893642</v>
      </c>
      <c r="V45">
        <f t="shared" si="41"/>
        <v>4.1504545359052738E-3</v>
      </c>
      <c r="W45" s="50">
        <f>0</f>
        <v>0</v>
      </c>
      <c r="X45" s="51">
        <f t="shared" si="42"/>
        <v>38.076269912394984</v>
      </c>
      <c r="Y45" s="52">
        <f t="shared" si="43"/>
        <v>38.076269912394984</v>
      </c>
      <c r="Z45" s="14">
        <f t="shared" si="67"/>
        <v>0.66145864119484166</v>
      </c>
      <c r="AA45" s="5">
        <f t="shared" si="68"/>
        <v>7.0308890532598575E-2</v>
      </c>
      <c r="AB45">
        <f t="shared" si="44"/>
        <v>6.9867723337173684E-2</v>
      </c>
      <c r="AC45">
        <f t="shared" si="45"/>
        <v>4.4116719542489638E-4</v>
      </c>
      <c r="AD45" s="50">
        <f>0</f>
        <v>0</v>
      </c>
      <c r="AE45" s="51">
        <f t="shared" si="46"/>
        <v>4.0472678508279998</v>
      </c>
      <c r="AF45" s="52">
        <f t="shared" si="47"/>
        <v>4.0472678508279998</v>
      </c>
      <c r="AG45" s="14">
        <f t="shared" si="69"/>
        <v>7.0308890532598575E-2</v>
      </c>
      <c r="AH45" s="5">
        <f t="shared" si="70"/>
        <v>1.7577222633149644E-2</v>
      </c>
      <c r="AI45">
        <f t="shared" si="48"/>
        <v>1.7466930834293421E-2</v>
      </c>
      <c r="AJ45">
        <f t="shared" si="49"/>
        <v>1.102917988562241E-4</v>
      </c>
      <c r="AK45" s="50">
        <f>0</f>
        <v>0</v>
      </c>
      <c r="AL45" s="51">
        <f t="shared" si="50"/>
        <v>1.0118169627069999</v>
      </c>
      <c r="AM45" s="52">
        <f t="shared" si="51"/>
        <v>1.0118169627069999</v>
      </c>
      <c r="AN45" s="14">
        <f t="shared" si="71"/>
        <v>1.230405584320475E-2</v>
      </c>
      <c r="AO45" s="5">
        <f t="shared" si="72"/>
        <v>1.1101403768305033E-2</v>
      </c>
      <c r="AP45">
        <f t="shared" si="52"/>
        <v>1.1031745790080051E-2</v>
      </c>
      <c r="AQ45">
        <f t="shared" si="53"/>
        <v>6.9657978224983602E-5</v>
      </c>
      <c r="AR45" s="50">
        <f>0</f>
        <v>0</v>
      </c>
      <c r="AS45" s="51">
        <f t="shared" si="54"/>
        <v>0.63904229223599951</v>
      </c>
      <c r="AT45" s="52">
        <f t="shared" si="55"/>
        <v>0.63904229223599951</v>
      </c>
      <c r="AU45" s="14">
        <f t="shared" si="73"/>
        <v>6.7718562986660699E-3</v>
      </c>
      <c r="AV45" s="5">
        <f t="shared" si="74"/>
        <v>5.9207486764293535E-2</v>
      </c>
      <c r="AW45">
        <f t="shared" si="56"/>
        <v>5.8835977547093625E-2</v>
      </c>
      <c r="AX45">
        <f t="shared" si="57"/>
        <v>3.7150921719991269E-4</v>
      </c>
      <c r="AY45" s="50">
        <f>0</f>
        <v>0</v>
      </c>
      <c r="AZ45" s="51">
        <f t="shared" si="58"/>
        <v>3.4082255585919992</v>
      </c>
      <c r="BA45" s="52">
        <f t="shared" si="59"/>
        <v>3.4082255585919992</v>
      </c>
      <c r="BB45" s="14">
        <f t="shared" si="75"/>
        <v>4.2629390470291344E-2</v>
      </c>
      <c r="BC45" s="5">
        <f t="shared" si="76"/>
        <v>1.6544540231821829E-2</v>
      </c>
      <c r="BD45">
        <f t="shared" si="60"/>
        <v>1.6510979631961579E-2</v>
      </c>
      <c r="BE45">
        <f t="shared" si="61"/>
        <v>3.3560599860250567E-5</v>
      </c>
      <c r="BF45" s="50">
        <f>0</f>
        <v>0</v>
      </c>
      <c r="BG45" s="51">
        <f t="shared" si="62"/>
        <v>0.30788494311793868</v>
      </c>
      <c r="BH45" s="52">
        <f t="shared" si="63"/>
        <v>0.30788494311793868</v>
      </c>
      <c r="BI45" s="14">
        <f t="shared" si="77"/>
        <v>9.926724139093096E-4</v>
      </c>
      <c r="BJ45" s="5">
        <f>0 + '1. Strategy Calcs'!V44 + '1. Strategy Calcs'!AC44 + '1. Strategy Calcs'!AJ44 + '1. Strategy Calcs'!AQ44 + '1. Strategy Calcs'!AX44 + '1. Strategy Calcs'!BE44 + BJ44</f>
        <v>0.16380181487499007</v>
      </c>
      <c r="BK45" s="63">
        <f>0</f>
        <v>0</v>
      </c>
    </row>
    <row r="46" spans="2:63" x14ac:dyDescent="0.35">
      <c r="B46" s="14">
        <v>38</v>
      </c>
      <c r="D46" s="5">
        <f>'1. Strategy Calcs'!T46</f>
        <v>0.65730818665893642</v>
      </c>
      <c r="E46">
        <f>'1. Strategy Calcs'!AA46</f>
        <v>6.9867723337173684E-2</v>
      </c>
      <c r="F46">
        <f>'1. Strategy Calcs'!AH46</f>
        <v>1.7466930834293421E-2</v>
      </c>
      <c r="G46">
        <f>'1. Strategy Calcs'!AO46</f>
        <v>1.1031745790080051E-2</v>
      </c>
      <c r="H46">
        <f>'1. Strategy Calcs'!AV46</f>
        <v>5.8835977547093625E-2</v>
      </c>
      <c r="I46">
        <f>'1. Strategy Calcs'!BC46</f>
        <v>1.6510979631961579E-2</v>
      </c>
      <c r="J46" s="6">
        <f>'1. Strategy Calcs'!BJ46</f>
        <v>0.16897845620046162</v>
      </c>
      <c r="K46" s="50">
        <f>'1. Strategy Calcs'!Y46 + '1. Strategy Calcs'!AF46 + '1. Strategy Calcs'!AM46 + '1. Strategy Calcs'!AT46 + '1. Strategy Calcs'!BA46 + '1. Strategy Calcs'!BH46 + '1. Strategy Calcs'!BK46</f>
        <v>50.596757261663413</v>
      </c>
      <c r="L46" s="51">
        <f>K46*'Time Discounting'!C43</f>
        <v>16.455388686960372</v>
      </c>
      <c r="M46" s="52">
        <f t="shared" si="64"/>
        <v>135613.15124671246</v>
      </c>
      <c r="N46" s="5">
        <f>'1. Strategy Calcs'!Z46 + '1. Strategy Calcs'!AG46 + '1. Strategy Calcs'!AN46 + '1. Strategy Calcs'!AU46 + '1. Strategy Calcs'!BB46 + '1. Strategy Calcs'!BI46</f>
        <v>0.78948468912388947</v>
      </c>
      <c r="O46">
        <f>N46*'Time Discounting'!D43</f>
        <v>0.25676106780426061</v>
      </c>
      <c r="P46" s="6">
        <f t="shared" si="65"/>
        <v>19.348944097827005</v>
      </c>
      <c r="R46" s="14">
        <f t="shared" si="39"/>
        <v>1.0000000000000004</v>
      </c>
      <c r="T46" s="5">
        <f t="shared" si="66"/>
        <v>0.65730818665893642</v>
      </c>
      <c r="U46">
        <f t="shared" si="40"/>
        <v>0.65288732898792434</v>
      </c>
      <c r="V46">
        <f t="shared" si="41"/>
        <v>4.4208576710120092E-3</v>
      </c>
      <c r="W46" s="50">
        <f>0</f>
        <v>0</v>
      </c>
      <c r="X46" s="51">
        <f t="shared" si="42"/>
        <v>40.556948273864172</v>
      </c>
      <c r="Y46" s="52">
        <f t="shared" si="43"/>
        <v>40.556948273864172</v>
      </c>
      <c r="Z46" s="14">
        <f t="shared" si="67"/>
        <v>0.65730818665893642</v>
      </c>
      <c r="AA46" s="5">
        <f t="shared" si="68"/>
        <v>6.9867723337173684E-2</v>
      </c>
      <c r="AB46">
        <f t="shared" si="44"/>
        <v>6.9397813990324853E-2</v>
      </c>
      <c r="AC46">
        <f t="shared" si="45"/>
        <v>4.6990934684882913E-4</v>
      </c>
      <c r="AD46" s="50">
        <f>0</f>
        <v>0</v>
      </c>
      <c r="AE46" s="51">
        <f t="shared" si="46"/>
        <v>4.3109483479911583</v>
      </c>
      <c r="AF46" s="52">
        <f t="shared" si="47"/>
        <v>4.3109483479911583</v>
      </c>
      <c r="AG46" s="14">
        <f t="shared" si="69"/>
        <v>6.9867723337173684E-2</v>
      </c>
      <c r="AH46" s="5">
        <f t="shared" si="70"/>
        <v>1.7466930834293421E-2</v>
      </c>
      <c r="AI46">
        <f t="shared" si="48"/>
        <v>1.7349453497581213E-2</v>
      </c>
      <c r="AJ46">
        <f t="shared" si="49"/>
        <v>1.1747733671220728E-4</v>
      </c>
      <c r="AK46" s="50">
        <f>0</f>
        <v>0</v>
      </c>
      <c r="AL46" s="51">
        <f t="shared" si="50"/>
        <v>1.0777370869977896</v>
      </c>
      <c r="AM46" s="52">
        <f t="shared" si="51"/>
        <v>1.0777370869977896</v>
      </c>
      <c r="AN46" s="14">
        <f t="shared" si="71"/>
        <v>1.2226851584005395E-2</v>
      </c>
      <c r="AO46" s="5">
        <f t="shared" si="72"/>
        <v>1.1031745790080051E-2</v>
      </c>
      <c r="AP46">
        <f t="shared" si="52"/>
        <v>1.0957549577419708E-2</v>
      </c>
      <c r="AQ46">
        <f t="shared" si="53"/>
        <v>7.4196212660341409E-5</v>
      </c>
      <c r="AR46" s="50">
        <f>0</f>
        <v>0</v>
      </c>
      <c r="AS46" s="51">
        <f t="shared" si="54"/>
        <v>0.68067605494597205</v>
      </c>
      <c r="AT46" s="52">
        <f t="shared" si="55"/>
        <v>0.68067605494597205</v>
      </c>
      <c r="AU46" s="14">
        <f t="shared" si="73"/>
        <v>6.7293649319488304E-3</v>
      </c>
      <c r="AV46" s="5">
        <f t="shared" si="74"/>
        <v>5.8835977547093625E-2</v>
      </c>
      <c r="AW46">
        <f t="shared" si="56"/>
        <v>5.8440264412905132E-2</v>
      </c>
      <c r="AX46">
        <f t="shared" si="57"/>
        <v>3.9571313418848764E-4</v>
      </c>
      <c r="AY46" s="50">
        <f>0</f>
        <v>0</v>
      </c>
      <c r="AZ46" s="51">
        <f t="shared" si="58"/>
        <v>3.6302722930451856</v>
      </c>
      <c r="BA46" s="52">
        <f t="shared" si="59"/>
        <v>3.6302722930451856</v>
      </c>
      <c r="BB46" s="14">
        <f t="shared" si="75"/>
        <v>4.2361903833907408E-2</v>
      </c>
      <c r="BC46" s="5">
        <f t="shared" si="76"/>
        <v>1.6510979631961579E-2</v>
      </c>
      <c r="BD46">
        <f t="shared" si="60"/>
        <v>1.6473899273904122E-2</v>
      </c>
      <c r="BE46">
        <f t="shared" si="61"/>
        <v>3.7080358057459303E-5</v>
      </c>
      <c r="BF46" s="50">
        <f>0</f>
        <v>0</v>
      </c>
      <c r="BG46" s="51">
        <f t="shared" si="62"/>
        <v>0.34017520481913166</v>
      </c>
      <c r="BH46" s="52">
        <f t="shared" si="63"/>
        <v>0.34017520481913166</v>
      </c>
      <c r="BI46" s="14">
        <f t="shared" si="77"/>
        <v>9.9065877791769462E-4</v>
      </c>
      <c r="BJ46" s="5">
        <f>0 + '1. Strategy Calcs'!V45 + '1. Strategy Calcs'!AC45 + '1. Strategy Calcs'!AJ45 + '1. Strategy Calcs'!AQ45 + '1. Strategy Calcs'!AX45 + '1. Strategy Calcs'!BE45 + BJ45</f>
        <v>0.16897845620046162</v>
      </c>
      <c r="BK46" s="63">
        <f>0</f>
        <v>0</v>
      </c>
    </row>
    <row r="47" spans="2:63" x14ac:dyDescent="0.35">
      <c r="B47" s="14">
        <v>39</v>
      </c>
      <c r="D47" s="5">
        <f>'1. Strategy Calcs'!T47</f>
        <v>0.65288732898792434</v>
      </c>
      <c r="E47">
        <f>'1. Strategy Calcs'!AA47</f>
        <v>6.9397813990324853E-2</v>
      </c>
      <c r="F47">
        <f>'1. Strategy Calcs'!AH47</f>
        <v>1.7349453497581213E-2</v>
      </c>
      <c r="G47">
        <f>'1. Strategy Calcs'!AO47</f>
        <v>1.0957549577419708E-2</v>
      </c>
      <c r="H47">
        <f>'1. Strategy Calcs'!AV47</f>
        <v>5.8440264412905132E-2</v>
      </c>
      <c r="I47">
        <f>'1. Strategy Calcs'!BC47</f>
        <v>1.6473899273904122E-2</v>
      </c>
      <c r="J47" s="6">
        <f>'1. Strategy Calcs'!BJ47</f>
        <v>0.17449369025994096</v>
      </c>
      <c r="K47" s="50">
        <f>'1. Strategy Calcs'!Y47 + '1. Strategy Calcs'!AF47 + '1. Strategy Calcs'!AM47 + '1. Strategy Calcs'!AT47 + '1. Strategy Calcs'!BA47 + '1. Strategy Calcs'!BH47 + '1. Strategy Calcs'!BK47</f>
        <v>53.960461168789891</v>
      </c>
      <c r="L47" s="51">
        <f>K47*'Time Discounting'!C44</f>
        <v>17.038206957679964</v>
      </c>
      <c r="M47" s="52">
        <f t="shared" si="64"/>
        <v>135630.18945367014</v>
      </c>
      <c r="N47" s="5">
        <f>'1. Strategy Calcs'!Z47 + '1. Strategy Calcs'!AG47 + '1. Strategy Calcs'!AN47 + '1. Strategy Calcs'!AU47 + '1. Strategy Calcs'!BB47 + '1. Strategy Calcs'!BI47</f>
        <v>0.78417929000250808</v>
      </c>
      <c r="O47">
        <f>N47*'Time Discounting'!D44</f>
        <v>0.2476073915157182</v>
      </c>
      <c r="P47" s="6">
        <f t="shared" si="65"/>
        <v>19.596551489342723</v>
      </c>
      <c r="R47" s="14">
        <f t="shared" si="39"/>
        <v>1.0000000000000002</v>
      </c>
      <c r="T47" s="5">
        <f t="shared" si="66"/>
        <v>0.65288732898792434</v>
      </c>
      <c r="U47">
        <f t="shared" si="40"/>
        <v>0.64817328660643281</v>
      </c>
      <c r="V47">
        <f t="shared" si="41"/>
        <v>4.7140423814915136E-3</v>
      </c>
      <c r="W47" s="50">
        <f>0</f>
        <v>0</v>
      </c>
      <c r="X47" s="51">
        <f t="shared" si="42"/>
        <v>43.246624807803144</v>
      </c>
      <c r="Y47" s="52">
        <f t="shared" si="43"/>
        <v>43.246624807803144</v>
      </c>
      <c r="Z47" s="14">
        <f t="shared" si="67"/>
        <v>0.65288732898792434</v>
      </c>
      <c r="AA47" s="5">
        <f t="shared" si="68"/>
        <v>6.9397813990324853E-2</v>
      </c>
      <c r="AB47">
        <f t="shared" si="44"/>
        <v>6.8896740953970512E-2</v>
      </c>
      <c r="AC47">
        <f t="shared" si="45"/>
        <v>5.0107303635434292E-4</v>
      </c>
      <c r="AD47" s="50">
        <f>0</f>
        <v>0</v>
      </c>
      <c r="AE47" s="51">
        <f t="shared" si="46"/>
        <v>4.5968440355147422</v>
      </c>
      <c r="AF47" s="52">
        <f t="shared" si="47"/>
        <v>4.5968440355147422</v>
      </c>
      <c r="AG47" s="14">
        <f t="shared" si="69"/>
        <v>6.9397813990324853E-2</v>
      </c>
      <c r="AH47" s="5">
        <f t="shared" si="70"/>
        <v>1.7349453497581213E-2</v>
      </c>
      <c r="AI47">
        <f t="shared" si="48"/>
        <v>1.7224185238492628E-2</v>
      </c>
      <c r="AJ47">
        <f t="shared" si="49"/>
        <v>1.2526825908858573E-4</v>
      </c>
      <c r="AK47" s="50">
        <f>0</f>
        <v>0</v>
      </c>
      <c r="AL47" s="51">
        <f t="shared" si="50"/>
        <v>1.1492110088786855</v>
      </c>
      <c r="AM47" s="52">
        <f t="shared" si="51"/>
        <v>1.1492110088786855</v>
      </c>
      <c r="AN47" s="14">
        <f t="shared" si="71"/>
        <v>1.2144617448306848E-2</v>
      </c>
      <c r="AO47" s="5">
        <f t="shared" si="72"/>
        <v>1.0957549577419708E-2</v>
      </c>
      <c r="AP47">
        <f t="shared" si="52"/>
        <v>1.0878432782205865E-2</v>
      </c>
      <c r="AQ47">
        <f t="shared" si="53"/>
        <v>7.9116795213843579E-5</v>
      </c>
      <c r="AR47" s="50">
        <f>0</f>
        <v>0</v>
      </c>
      <c r="AS47" s="51">
        <f t="shared" si="54"/>
        <v>0.72581747929180096</v>
      </c>
      <c r="AT47" s="52">
        <f t="shared" si="55"/>
        <v>0.72581747929180096</v>
      </c>
      <c r="AU47" s="14">
        <f t="shared" si="73"/>
        <v>6.6841052422260214E-3</v>
      </c>
      <c r="AV47" s="5">
        <f t="shared" si="74"/>
        <v>5.8440264412905132E-2</v>
      </c>
      <c r="AW47">
        <f t="shared" si="56"/>
        <v>5.8018308171764635E-2</v>
      </c>
      <c r="AX47">
        <f t="shared" si="57"/>
        <v>4.2195624114049925E-4</v>
      </c>
      <c r="AY47" s="50">
        <f>0</f>
        <v>0</v>
      </c>
      <c r="AZ47" s="51">
        <f t="shared" si="58"/>
        <v>3.8710265562229402</v>
      </c>
      <c r="BA47" s="52">
        <f t="shared" si="59"/>
        <v>3.8710265562229402</v>
      </c>
      <c r="BB47" s="14">
        <f t="shared" si="75"/>
        <v>4.2076990377291693E-2</v>
      </c>
      <c r="BC47" s="5">
        <f t="shared" si="76"/>
        <v>1.6473899273904122E-2</v>
      </c>
      <c r="BD47">
        <f t="shared" si="60"/>
        <v>1.6433465735526252E-2</v>
      </c>
      <c r="BE47">
        <f t="shared" si="61"/>
        <v>4.0433538377870257E-5</v>
      </c>
      <c r="BF47" s="50">
        <f>0</f>
        <v>0</v>
      </c>
      <c r="BG47" s="51">
        <f t="shared" si="62"/>
        <v>0.37093728107858176</v>
      </c>
      <c r="BH47" s="52">
        <f t="shared" si="63"/>
        <v>0.37093728107858176</v>
      </c>
      <c r="BI47" s="14">
        <f t="shared" si="77"/>
        <v>9.8843395643424727E-4</v>
      </c>
      <c r="BJ47" s="5">
        <f>0 + '1. Strategy Calcs'!V46 + '1. Strategy Calcs'!AC46 + '1. Strategy Calcs'!AJ46 + '1. Strategy Calcs'!AQ46 + '1. Strategy Calcs'!AX46 + '1. Strategy Calcs'!BE46 + BJ46</f>
        <v>0.17449369025994096</v>
      </c>
      <c r="BK47" s="63">
        <f>0</f>
        <v>0</v>
      </c>
    </row>
    <row r="48" spans="2:63" x14ac:dyDescent="0.35">
      <c r="B48" s="14">
        <v>40</v>
      </c>
      <c r="D48" s="5">
        <f>'1. Strategy Calcs'!T48</f>
        <v>0.64817328660643281</v>
      </c>
      <c r="E48">
        <f>'1. Strategy Calcs'!AA48</f>
        <v>6.8896740953970512E-2</v>
      </c>
      <c r="F48">
        <f>'1. Strategy Calcs'!AH48</f>
        <v>1.7224185238492628E-2</v>
      </c>
      <c r="G48">
        <f>'1. Strategy Calcs'!AO48</f>
        <v>1.0878432782205865E-2</v>
      </c>
      <c r="H48">
        <f>'1. Strategy Calcs'!AV48</f>
        <v>5.8018308171764635E-2</v>
      </c>
      <c r="I48">
        <f>'1. Strategy Calcs'!BC48</f>
        <v>1.6433465735526252E-2</v>
      </c>
      <c r="J48" s="6">
        <f>'1. Strategy Calcs'!BJ48</f>
        <v>0.18037558051160762</v>
      </c>
      <c r="K48" s="50">
        <f>'1. Strategy Calcs'!Y48 + '1. Strategy Calcs'!AF48 + '1. Strategy Calcs'!AM48 + '1. Strategy Calcs'!AT48 + '1. Strategy Calcs'!BA48 + '1. Strategy Calcs'!BH48 + '1. Strategy Calcs'!BK48</f>
        <v>57.577280592950274</v>
      </c>
      <c r="L48" s="51">
        <f>K48*'Time Discounting'!C45</f>
        <v>17.650709238921856</v>
      </c>
      <c r="M48" s="52">
        <f t="shared" si="64"/>
        <v>135647.84016290907</v>
      </c>
      <c r="N48" s="5">
        <f>'1. Strategy Calcs'!Z48 + '1. Strategy Calcs'!AG48 + '1. Strategy Calcs'!AN48 + '1. Strategy Calcs'!AU48 + '1. Strategy Calcs'!BB48 + '1. Strategy Calcs'!BI48</f>
        <v>0.7785219910522958</v>
      </c>
      <c r="O48">
        <f>N48*'Time Discounting'!D45</f>
        <v>0.23866124204992573</v>
      </c>
      <c r="P48" s="6">
        <f t="shared" si="65"/>
        <v>19.835212731392648</v>
      </c>
      <c r="R48" s="14">
        <f t="shared" si="39"/>
        <v>1.0000000000000004</v>
      </c>
      <c r="T48" s="5">
        <f t="shared" si="66"/>
        <v>0.64817328660643281</v>
      </c>
      <c r="U48">
        <f t="shared" si="40"/>
        <v>0.64313535973628433</v>
      </c>
      <c r="V48">
        <f t="shared" si="41"/>
        <v>5.0379268701485E-3</v>
      </c>
      <c r="W48" s="50">
        <f>0</f>
        <v>0</v>
      </c>
      <c r="X48" s="51">
        <f t="shared" si="42"/>
        <v>46.217941106742337</v>
      </c>
      <c r="Y48" s="52">
        <f t="shared" si="43"/>
        <v>46.217941106742337</v>
      </c>
      <c r="Z48" s="14">
        <f t="shared" si="67"/>
        <v>0.64817328660643281</v>
      </c>
      <c r="AA48" s="5">
        <f t="shared" si="68"/>
        <v>6.8896740953970512E-2</v>
      </c>
      <c r="AB48">
        <f t="shared" si="44"/>
        <v>6.8361241034905776E-2</v>
      </c>
      <c r="AC48">
        <f t="shared" si="45"/>
        <v>5.3549991906473593E-4</v>
      </c>
      <c r="AD48" s="50">
        <f>0</f>
        <v>0</v>
      </c>
      <c r="AE48" s="51">
        <f t="shared" si="46"/>
        <v>4.9126762574998875</v>
      </c>
      <c r="AF48" s="52">
        <f t="shared" si="47"/>
        <v>4.9126762574998875</v>
      </c>
      <c r="AG48" s="14">
        <f t="shared" si="69"/>
        <v>6.8896740953970512E-2</v>
      </c>
      <c r="AH48" s="5">
        <f t="shared" si="70"/>
        <v>1.7224185238492628E-2</v>
      </c>
      <c r="AI48">
        <f t="shared" si="48"/>
        <v>1.7090310258726444E-2</v>
      </c>
      <c r="AJ48">
        <f t="shared" si="49"/>
        <v>1.3387497976618398E-4</v>
      </c>
      <c r="AK48" s="50">
        <f>0</f>
        <v>0</v>
      </c>
      <c r="AL48" s="51">
        <f t="shared" si="50"/>
        <v>1.2281690643749719</v>
      </c>
      <c r="AM48" s="52">
        <f t="shared" si="51"/>
        <v>1.2281690643749719</v>
      </c>
      <c r="AN48" s="14">
        <f t="shared" si="71"/>
        <v>1.2056929666944839E-2</v>
      </c>
      <c r="AO48" s="5">
        <f t="shared" si="72"/>
        <v>1.0878432782205865E-2</v>
      </c>
      <c r="AP48">
        <f t="shared" si="52"/>
        <v>1.0793880163406169E-2</v>
      </c>
      <c r="AQ48">
        <f t="shared" si="53"/>
        <v>8.4552618799695105E-5</v>
      </c>
      <c r="AR48" s="50">
        <f>0</f>
        <v>0</v>
      </c>
      <c r="AS48" s="51">
        <f t="shared" si="54"/>
        <v>0.77568572486840293</v>
      </c>
      <c r="AT48" s="52">
        <f t="shared" si="55"/>
        <v>0.77568572486840293</v>
      </c>
      <c r="AU48" s="14">
        <f t="shared" si="73"/>
        <v>6.6358439971455777E-3</v>
      </c>
      <c r="AV48" s="5">
        <f t="shared" si="74"/>
        <v>5.8018308171764635E-2</v>
      </c>
      <c r="AW48">
        <f t="shared" si="56"/>
        <v>5.75673608714996E-2</v>
      </c>
      <c r="AX48">
        <f t="shared" si="57"/>
        <v>4.5094730026504074E-4</v>
      </c>
      <c r="AY48" s="50">
        <f>0</f>
        <v>0</v>
      </c>
      <c r="AZ48" s="51">
        <f t="shared" si="58"/>
        <v>4.1369905326314838</v>
      </c>
      <c r="BA48" s="52">
        <f t="shared" si="59"/>
        <v>4.1369905326314838</v>
      </c>
      <c r="BB48" s="14">
        <f t="shared" si="75"/>
        <v>4.1773181883670532E-2</v>
      </c>
      <c r="BC48" s="5">
        <f t="shared" si="76"/>
        <v>1.6433465735526252E-2</v>
      </c>
      <c r="BD48">
        <f t="shared" si="60"/>
        <v>1.6400130450281738E-2</v>
      </c>
      <c r="BE48">
        <f t="shared" si="61"/>
        <v>3.3335285244514984E-5</v>
      </c>
      <c r="BF48" s="50">
        <f>0</f>
        <v>0</v>
      </c>
      <c r="BG48" s="51">
        <f t="shared" si="62"/>
        <v>0.30581790683318044</v>
      </c>
      <c r="BH48" s="52">
        <f t="shared" si="63"/>
        <v>0.30581790683318044</v>
      </c>
      <c r="BI48" s="14">
        <f t="shared" si="77"/>
        <v>9.8600794413157512E-4</v>
      </c>
      <c r="BJ48" s="5">
        <f>0 + '1. Strategy Calcs'!V47 + '1. Strategy Calcs'!AC47 + '1. Strategy Calcs'!AJ47 + '1. Strategy Calcs'!AQ47 + '1. Strategy Calcs'!AX47 + '1. Strategy Calcs'!BE47 + BJ47</f>
        <v>0.18037558051160762</v>
      </c>
      <c r="BK48" s="63">
        <f>0</f>
        <v>0</v>
      </c>
    </row>
    <row r="49" spans="2:63" x14ac:dyDescent="0.35">
      <c r="B49" s="14">
        <v>41</v>
      </c>
      <c r="D49" s="5">
        <f>'1. Strategy Calcs'!T49</f>
        <v>0.64313535973628433</v>
      </c>
      <c r="E49">
        <f>'1. Strategy Calcs'!AA49</f>
        <v>6.8361241034905776E-2</v>
      </c>
      <c r="F49">
        <f>'1. Strategy Calcs'!AH49</f>
        <v>1.7090310258726444E-2</v>
      </c>
      <c r="G49">
        <f>'1. Strategy Calcs'!AO49</f>
        <v>1.0793880163406169E-2</v>
      </c>
      <c r="H49">
        <f>'1. Strategy Calcs'!AV49</f>
        <v>5.75673608714996E-2</v>
      </c>
      <c r="I49">
        <f>'1. Strategy Calcs'!BC49</f>
        <v>1.6400130450281738E-2</v>
      </c>
      <c r="J49" s="6">
        <f>'1. Strategy Calcs'!BJ49</f>
        <v>0.18665171748489628</v>
      </c>
      <c r="K49" s="50">
        <f>'1. Strategy Calcs'!Y49 + '1. Strategy Calcs'!AF49 + '1. Strategy Calcs'!AM49 + '1. Strategy Calcs'!AT49 + '1. Strategy Calcs'!BA49 + '1. Strategy Calcs'!BH49 + '1. Strategy Calcs'!BK49</f>
        <v>61.672298992118904</v>
      </c>
      <c r="L49" s="51">
        <f>K49*'Time Discounting'!C46</f>
        <v>18.355403050758838</v>
      </c>
      <c r="M49" s="52">
        <f t="shared" si="64"/>
        <v>135666.19556595982</v>
      </c>
      <c r="N49" s="5">
        <f>'1. Strategy Calcs'!Z49 + '1. Strategy Calcs'!AG49 + '1. Strategy Calcs'!AN49 + '1. Strategy Calcs'!AU49 + '1. Strategy Calcs'!BB49 + '1. Strategy Calcs'!BI49</f>
        <v>0.77247659250647294</v>
      </c>
      <c r="O49">
        <f>N49*'Time Discounting'!D46</f>
        <v>0.22991066385485406</v>
      </c>
      <c r="P49" s="6">
        <f t="shared" si="65"/>
        <v>20.065123395247504</v>
      </c>
      <c r="R49" s="14">
        <f t="shared" si="39"/>
        <v>1.0000000000000004</v>
      </c>
      <c r="T49" s="5">
        <f t="shared" si="66"/>
        <v>0.64313535973628433</v>
      </c>
      <c r="U49">
        <f t="shared" si="40"/>
        <v>0.63774003288992065</v>
      </c>
      <c r="V49">
        <f t="shared" si="41"/>
        <v>5.3953268463636647E-3</v>
      </c>
      <c r="W49" s="50">
        <f>0</f>
        <v>0</v>
      </c>
      <c r="X49" s="51">
        <f t="shared" si="42"/>
        <v>49.496728488540256</v>
      </c>
      <c r="Y49" s="52">
        <f t="shared" si="43"/>
        <v>49.496728488540256</v>
      </c>
      <c r="Z49" s="14">
        <f t="shared" si="67"/>
        <v>0.64313535973628433</v>
      </c>
      <c r="AA49" s="5">
        <f t="shared" si="68"/>
        <v>6.8361241034905776E-2</v>
      </c>
      <c r="AB49">
        <f t="shared" si="44"/>
        <v>6.7787751747739849E-2</v>
      </c>
      <c r="AC49">
        <f t="shared" si="45"/>
        <v>5.7348928716592824E-4</v>
      </c>
      <c r="AD49" s="50">
        <f>0</f>
        <v>0</v>
      </c>
      <c r="AE49" s="51">
        <f t="shared" si="46"/>
        <v>5.2611907204602257</v>
      </c>
      <c r="AF49" s="52">
        <f t="shared" si="47"/>
        <v>5.2611907204602257</v>
      </c>
      <c r="AG49" s="14">
        <f t="shared" si="69"/>
        <v>6.8361241034905776E-2</v>
      </c>
      <c r="AH49" s="5">
        <f t="shared" si="70"/>
        <v>1.7090310258726444E-2</v>
      </c>
      <c r="AI49">
        <f t="shared" si="48"/>
        <v>1.6946937936934962E-2</v>
      </c>
      <c r="AJ49">
        <f t="shared" si="49"/>
        <v>1.4337232179148206E-4</v>
      </c>
      <c r="AK49" s="50">
        <f>0</f>
        <v>0</v>
      </c>
      <c r="AL49" s="51">
        <f t="shared" si="50"/>
        <v>1.3152976801150564</v>
      </c>
      <c r="AM49" s="52">
        <f t="shared" si="51"/>
        <v>1.3152976801150564</v>
      </c>
      <c r="AN49" s="14">
        <f t="shared" si="71"/>
        <v>1.196321718110851E-2</v>
      </c>
      <c r="AO49" s="5">
        <f t="shared" si="72"/>
        <v>1.0793880163406169E-2</v>
      </c>
      <c r="AP49">
        <f t="shared" si="52"/>
        <v>1.0703329223327339E-2</v>
      </c>
      <c r="AQ49">
        <f t="shared" si="53"/>
        <v>9.0550940078830731E-5</v>
      </c>
      <c r="AR49" s="50">
        <f>0</f>
        <v>0</v>
      </c>
      <c r="AS49" s="51">
        <f t="shared" si="54"/>
        <v>0.83071432428319314</v>
      </c>
      <c r="AT49" s="52">
        <f t="shared" si="55"/>
        <v>0.83071432428319314</v>
      </c>
      <c r="AU49" s="14">
        <f t="shared" si="73"/>
        <v>6.5842668996777629E-3</v>
      </c>
      <c r="AV49" s="5">
        <f t="shared" si="74"/>
        <v>5.75673608714996E-2</v>
      </c>
      <c r="AW49">
        <f t="shared" si="56"/>
        <v>5.7084422524412502E-2</v>
      </c>
      <c r="AX49">
        <f t="shared" si="57"/>
        <v>4.8293834708709748E-4</v>
      </c>
      <c r="AY49" s="50">
        <f>0</f>
        <v>0</v>
      </c>
      <c r="AZ49" s="51">
        <f t="shared" si="58"/>
        <v>4.4304763961770322</v>
      </c>
      <c r="BA49" s="52">
        <f t="shared" si="59"/>
        <v>4.4304763961770322</v>
      </c>
      <c r="BB49" s="14">
        <f t="shared" si="75"/>
        <v>4.144849982747971E-2</v>
      </c>
      <c r="BC49" s="5">
        <f t="shared" si="76"/>
        <v>1.6400130450281738E-2</v>
      </c>
      <c r="BD49">
        <f t="shared" si="60"/>
        <v>1.6363299037316495E-2</v>
      </c>
      <c r="BE49">
        <f t="shared" si="61"/>
        <v>3.6831412965242711E-5</v>
      </c>
      <c r="BF49" s="50">
        <f>0</f>
        <v>0</v>
      </c>
      <c r="BG49" s="51">
        <f t="shared" si="62"/>
        <v>0.33789138254313661</v>
      </c>
      <c r="BH49" s="52">
        <f t="shared" si="63"/>
        <v>0.33789138254313661</v>
      </c>
      <c r="BI49" s="14">
        <f t="shared" si="77"/>
        <v>9.8400782701690425E-4</v>
      </c>
      <c r="BJ49" s="5">
        <f>0 + '1. Strategy Calcs'!V48 + '1. Strategy Calcs'!AC48 + '1. Strategy Calcs'!AJ48 + '1. Strategy Calcs'!AQ48 + '1. Strategy Calcs'!AX48 + '1. Strategy Calcs'!BE48 + BJ48</f>
        <v>0.18665171748489628</v>
      </c>
      <c r="BK49" s="63">
        <f>0</f>
        <v>0</v>
      </c>
    </row>
    <row r="50" spans="2:63" x14ac:dyDescent="0.35">
      <c r="B50" s="14">
        <v>42</v>
      </c>
      <c r="D50" s="5">
        <f>'1. Strategy Calcs'!T50</f>
        <v>0.63774003288992065</v>
      </c>
      <c r="E50">
        <f>'1. Strategy Calcs'!AA50</f>
        <v>6.7787751747739849E-2</v>
      </c>
      <c r="F50">
        <f>'1. Strategy Calcs'!AH50</f>
        <v>1.6946937936934962E-2</v>
      </c>
      <c r="G50">
        <f>'1. Strategy Calcs'!AO50</f>
        <v>1.0703329223327339E-2</v>
      </c>
      <c r="H50">
        <f>'1. Strategy Calcs'!AV50</f>
        <v>5.7084422524412502E-2</v>
      </c>
      <c r="I50">
        <f>'1. Strategy Calcs'!BC50</f>
        <v>1.6363299037316495E-2</v>
      </c>
      <c r="J50" s="6">
        <f>'1. Strategy Calcs'!BJ50</f>
        <v>0.19337422664034853</v>
      </c>
      <c r="K50" s="50">
        <f>'1. Strategy Calcs'!Y50 + '1. Strategy Calcs'!AF50 + '1. Strategy Calcs'!AM50 + '1. Strategy Calcs'!AT50 + '1. Strategy Calcs'!BA50 + '1. Strategy Calcs'!BH50 + '1. Strategy Calcs'!BK50</f>
        <v>66.201597743352266</v>
      </c>
      <c r="L50" s="51">
        <f>K50*'Time Discounting'!C47</f>
        <v>19.129562313488972</v>
      </c>
      <c r="M50" s="52">
        <f t="shared" si="64"/>
        <v>135685.32512827331</v>
      </c>
      <c r="N50" s="5">
        <f>'1. Strategy Calcs'!Z50 + '1. Strategy Calcs'!AG50 + '1. Strategy Calcs'!AN50 + '1. Strategy Calcs'!AU50 + '1. Strategy Calcs'!BB50 + '1. Strategy Calcs'!BI50</f>
        <v>0.76600225417956069</v>
      </c>
      <c r="O50">
        <f>N50*'Time Discounting'!D47</f>
        <v>0.22134341697323093</v>
      </c>
      <c r="P50" s="6">
        <f t="shared" si="65"/>
        <v>20.286466812220734</v>
      </c>
      <c r="R50" s="14">
        <f t="shared" si="39"/>
        <v>1.0000000000000002</v>
      </c>
      <c r="T50" s="5">
        <f t="shared" si="66"/>
        <v>0.63774003288992065</v>
      </c>
      <c r="U50">
        <f t="shared" si="40"/>
        <v>0.63194897074726042</v>
      </c>
      <c r="V50">
        <f t="shared" si="41"/>
        <v>5.7910621426602096E-3</v>
      </c>
      <c r="W50" s="50">
        <f>0</f>
        <v>0</v>
      </c>
      <c r="X50" s="51">
        <f t="shared" si="42"/>
        <v>53.127204096764764</v>
      </c>
      <c r="Y50" s="52">
        <f t="shared" si="43"/>
        <v>53.127204096764764</v>
      </c>
      <c r="Z50" s="14">
        <f t="shared" si="67"/>
        <v>0.63774003288992065</v>
      </c>
      <c r="AA50" s="5">
        <f t="shared" si="68"/>
        <v>6.7787751747739849E-2</v>
      </c>
      <c r="AB50">
        <f t="shared" si="44"/>
        <v>6.7172198289219318E-2</v>
      </c>
      <c r="AC50">
        <f t="shared" si="45"/>
        <v>6.1555345852052604E-4</v>
      </c>
      <c r="AD50" s="50">
        <f>0</f>
        <v>0</v>
      </c>
      <c r="AE50" s="51">
        <f t="shared" si="46"/>
        <v>5.647087428467306</v>
      </c>
      <c r="AF50" s="52">
        <f t="shared" si="47"/>
        <v>5.647087428467306</v>
      </c>
      <c r="AG50" s="14">
        <f t="shared" si="69"/>
        <v>6.7787751747739849E-2</v>
      </c>
      <c r="AH50" s="5">
        <f t="shared" si="70"/>
        <v>1.6946937936934962E-2</v>
      </c>
      <c r="AI50">
        <f t="shared" si="48"/>
        <v>1.6793049572304829E-2</v>
      </c>
      <c r="AJ50">
        <f t="shared" si="49"/>
        <v>1.5388836463013151E-4</v>
      </c>
      <c r="AK50" s="50">
        <f>0</f>
        <v>0</v>
      </c>
      <c r="AL50" s="51">
        <f t="shared" si="50"/>
        <v>1.4117718571168265</v>
      </c>
      <c r="AM50" s="52">
        <f t="shared" si="51"/>
        <v>1.4117718571168265</v>
      </c>
      <c r="AN50" s="14">
        <f t="shared" si="71"/>
        <v>1.1862856555854473E-2</v>
      </c>
      <c r="AO50" s="5">
        <f t="shared" si="72"/>
        <v>1.0703329223327339E-2</v>
      </c>
      <c r="AP50">
        <f t="shared" si="52"/>
        <v>1.0606136571981992E-2</v>
      </c>
      <c r="AQ50">
        <f t="shared" si="53"/>
        <v>9.7192651345346162E-5</v>
      </c>
      <c r="AR50" s="50">
        <f>0</f>
        <v>0</v>
      </c>
      <c r="AS50" s="51">
        <f t="shared" si="54"/>
        <v>0.89164538344220567</v>
      </c>
      <c r="AT50" s="52">
        <f t="shared" si="55"/>
        <v>0.89164538344220567</v>
      </c>
      <c r="AU50" s="14">
        <f t="shared" si="73"/>
        <v>6.5290308262296766E-3</v>
      </c>
      <c r="AV50" s="5">
        <f t="shared" si="74"/>
        <v>5.7084422524412502E-2</v>
      </c>
      <c r="AW50">
        <f t="shared" si="56"/>
        <v>5.6566061717237319E-2</v>
      </c>
      <c r="AX50">
        <f t="shared" si="57"/>
        <v>5.1836080717517982E-4</v>
      </c>
      <c r="AY50" s="50">
        <f>0</f>
        <v>0</v>
      </c>
      <c r="AZ50" s="51">
        <f t="shared" si="58"/>
        <v>4.7554420450250996</v>
      </c>
      <c r="BA50" s="52">
        <f t="shared" si="59"/>
        <v>4.7554420450250996</v>
      </c>
      <c r="BB50" s="14">
        <f t="shared" si="75"/>
        <v>4.1100784217576999E-2</v>
      </c>
      <c r="BC50" s="5">
        <f t="shared" si="76"/>
        <v>1.6363299037316495E-2</v>
      </c>
      <c r="BD50">
        <f t="shared" si="60"/>
        <v>1.6323136956159306E-2</v>
      </c>
      <c r="BE50">
        <f t="shared" si="61"/>
        <v>4.016208115718959E-5</v>
      </c>
      <c r="BF50" s="50">
        <f>0</f>
        <v>0</v>
      </c>
      <c r="BG50" s="51">
        <f t="shared" si="62"/>
        <v>0.36844693253605731</v>
      </c>
      <c r="BH50" s="52">
        <f t="shared" si="63"/>
        <v>0.36844693253605731</v>
      </c>
      <c r="BI50" s="14">
        <f t="shared" si="77"/>
        <v>9.817979422389897E-4</v>
      </c>
      <c r="BJ50" s="5">
        <f>0 + '1. Strategy Calcs'!V49 + '1. Strategy Calcs'!AC49 + '1. Strategy Calcs'!AJ49 + '1. Strategy Calcs'!AQ49 + '1. Strategy Calcs'!AX49 + '1. Strategy Calcs'!BE49 + BJ49</f>
        <v>0.19337422664034853</v>
      </c>
      <c r="BK50" s="63">
        <f>0</f>
        <v>0</v>
      </c>
    </row>
    <row r="51" spans="2:63" x14ac:dyDescent="0.35">
      <c r="B51" s="14">
        <v>43</v>
      </c>
      <c r="D51" s="5">
        <f>'1. Strategy Calcs'!T51</f>
        <v>0.63194897074726042</v>
      </c>
      <c r="E51">
        <f>'1. Strategy Calcs'!AA51</f>
        <v>6.7172198289219318E-2</v>
      </c>
      <c r="F51">
        <f>'1. Strategy Calcs'!AH51</f>
        <v>1.6793049572304829E-2</v>
      </c>
      <c r="G51">
        <f>'1. Strategy Calcs'!AO51</f>
        <v>1.0606136571981992E-2</v>
      </c>
      <c r="H51">
        <f>'1. Strategy Calcs'!AV51</f>
        <v>5.6566061717237319E-2</v>
      </c>
      <c r="I51">
        <f>'1. Strategy Calcs'!BC51</f>
        <v>1.6323136956159306E-2</v>
      </c>
      <c r="J51" s="6">
        <f>'1. Strategy Calcs'!BJ51</f>
        <v>0.20059044614583713</v>
      </c>
      <c r="K51" s="50">
        <f>'1. Strategy Calcs'!Y51 + '1. Strategy Calcs'!AF51 + '1. Strategy Calcs'!AM51 + '1. Strategy Calcs'!AT51 + '1. Strategy Calcs'!BA51 + '1. Strategy Calcs'!BH51 + '1. Strategy Calcs'!BK51</f>
        <v>70.990356647107163</v>
      </c>
      <c r="L51" s="51">
        <f>K51*'Time Discounting'!C48</f>
        <v>19.9158430780451</v>
      </c>
      <c r="M51" s="52">
        <f t="shared" si="64"/>
        <v>135705.24097135136</v>
      </c>
      <c r="N51" s="5">
        <f>'1. Strategy Calcs'!Z51 + '1. Strategy Calcs'!AG51 + '1. Strategy Calcs'!AN51 + '1. Strategy Calcs'!AU51 + '1. Strategy Calcs'!BB51 + '1. Strategy Calcs'!BI51</f>
        <v>0.75905299969978257</v>
      </c>
      <c r="O51">
        <f>N51*'Time Discounting'!D48</f>
        <v>0.21294695707880074</v>
      </c>
      <c r="P51" s="6">
        <f t="shared" si="65"/>
        <v>20.499413769299537</v>
      </c>
      <c r="R51" s="14">
        <f t="shared" si="39"/>
        <v>1.0000000000000002</v>
      </c>
      <c r="T51" s="5">
        <f t="shared" si="66"/>
        <v>0.63194897074726042</v>
      </c>
      <c r="U51">
        <f t="shared" si="40"/>
        <v>0.62573097204448991</v>
      </c>
      <c r="V51">
        <f t="shared" si="41"/>
        <v>6.2179987027705932E-3</v>
      </c>
      <c r="W51" s="50">
        <f>0</f>
        <v>0</v>
      </c>
      <c r="X51" s="51">
        <f t="shared" si="42"/>
        <v>57.043920099217424</v>
      </c>
      <c r="Y51" s="52">
        <f t="shared" si="43"/>
        <v>57.043920099217424</v>
      </c>
      <c r="Z51" s="14">
        <f t="shared" si="67"/>
        <v>0.63194897074726042</v>
      </c>
      <c r="AA51" s="5">
        <f t="shared" si="68"/>
        <v>6.7172198289219318E-2</v>
      </c>
      <c r="AB51">
        <f t="shared" si="44"/>
        <v>6.6511264161372374E-2</v>
      </c>
      <c r="AC51">
        <f t="shared" si="45"/>
        <v>6.6093412784694447E-4</v>
      </c>
      <c r="AD51" s="50">
        <f>0</f>
        <v>0</v>
      </c>
      <c r="AE51" s="51">
        <f t="shared" si="46"/>
        <v>6.0634096888678686</v>
      </c>
      <c r="AF51" s="52">
        <f t="shared" si="47"/>
        <v>6.0634096888678686</v>
      </c>
      <c r="AG51" s="14">
        <f t="shared" si="69"/>
        <v>6.7172198289219318E-2</v>
      </c>
      <c r="AH51" s="5">
        <f t="shared" si="70"/>
        <v>1.6793049572304829E-2</v>
      </c>
      <c r="AI51">
        <f t="shared" si="48"/>
        <v>1.6627816040343094E-2</v>
      </c>
      <c r="AJ51">
        <f t="shared" si="49"/>
        <v>1.6523353196173612E-4</v>
      </c>
      <c r="AK51" s="50">
        <f>0</f>
        <v>0</v>
      </c>
      <c r="AL51" s="51">
        <f t="shared" si="50"/>
        <v>1.5158524222169671</v>
      </c>
      <c r="AM51" s="52">
        <f t="shared" si="51"/>
        <v>1.5158524222169671</v>
      </c>
      <c r="AN51" s="14">
        <f t="shared" si="71"/>
        <v>1.175513470061338E-2</v>
      </c>
      <c r="AO51" s="5">
        <f t="shared" si="72"/>
        <v>1.0606136571981992E-2</v>
      </c>
      <c r="AP51">
        <f t="shared" si="52"/>
        <v>1.0501778551795633E-2</v>
      </c>
      <c r="AQ51">
        <f t="shared" si="53"/>
        <v>1.0435802018635959E-4</v>
      </c>
      <c r="AR51" s="50">
        <f>0</f>
        <v>0</v>
      </c>
      <c r="AS51" s="51">
        <f t="shared" si="54"/>
        <v>0.9573804771896629</v>
      </c>
      <c r="AT51" s="52">
        <f t="shared" si="55"/>
        <v>0.9573804771896629</v>
      </c>
      <c r="AU51" s="14">
        <f t="shared" si="73"/>
        <v>6.4697433089090147E-3</v>
      </c>
      <c r="AV51" s="5">
        <f t="shared" si="74"/>
        <v>5.6566061717237319E-2</v>
      </c>
      <c r="AW51">
        <f t="shared" si="56"/>
        <v>5.6009485609576734E-2</v>
      </c>
      <c r="AX51">
        <f t="shared" si="57"/>
        <v>5.565761076605848E-4</v>
      </c>
      <c r="AY51" s="50">
        <f>0</f>
        <v>0</v>
      </c>
      <c r="AZ51" s="51">
        <f t="shared" si="58"/>
        <v>5.1060292116782051</v>
      </c>
      <c r="BA51" s="52">
        <f t="shared" si="59"/>
        <v>5.1060292116782051</v>
      </c>
      <c r="BB51" s="14">
        <f t="shared" si="75"/>
        <v>4.0727564436410867E-2</v>
      </c>
      <c r="BC51" s="5">
        <f t="shared" si="76"/>
        <v>1.6323136956159306E-2</v>
      </c>
      <c r="BD51">
        <f t="shared" si="60"/>
        <v>1.6290025472843736E-2</v>
      </c>
      <c r="BE51">
        <f t="shared" si="61"/>
        <v>3.3111483315569134E-5</v>
      </c>
      <c r="BF51" s="50">
        <f>0</f>
        <v>0</v>
      </c>
      <c r="BG51" s="51">
        <f t="shared" si="62"/>
        <v>0.30376474793703123</v>
      </c>
      <c r="BH51" s="52">
        <f t="shared" si="63"/>
        <v>0.30376474793703123</v>
      </c>
      <c r="BI51" s="14">
        <f t="shared" si="77"/>
        <v>9.7938821736955842E-4</v>
      </c>
      <c r="BJ51" s="5">
        <f>0 + '1. Strategy Calcs'!V50 + '1. Strategy Calcs'!AC50 + '1. Strategy Calcs'!AJ50 + '1. Strategy Calcs'!AQ50 + '1. Strategy Calcs'!AX50 + '1. Strategy Calcs'!BE50 + BJ50</f>
        <v>0.20059044614583713</v>
      </c>
      <c r="BK51" s="63">
        <f>0</f>
        <v>0</v>
      </c>
    </row>
    <row r="52" spans="2:63" x14ac:dyDescent="0.35">
      <c r="B52" s="14">
        <v>44</v>
      </c>
      <c r="D52" s="5">
        <f>'1. Strategy Calcs'!T52</f>
        <v>0.62573097204448991</v>
      </c>
      <c r="E52">
        <f>'1. Strategy Calcs'!AA52</f>
        <v>6.6511264161372374E-2</v>
      </c>
      <c r="F52">
        <f>'1. Strategy Calcs'!AH52</f>
        <v>1.6627816040343094E-2</v>
      </c>
      <c r="G52">
        <f>'1. Strategy Calcs'!AO52</f>
        <v>1.0501778551795633E-2</v>
      </c>
      <c r="H52">
        <f>'1. Strategy Calcs'!AV52</f>
        <v>5.6009485609576734E-2</v>
      </c>
      <c r="I52">
        <f>'1. Strategy Calcs'!BC52</f>
        <v>1.6290025472843736E-2</v>
      </c>
      <c r="J52" s="6">
        <f>'1. Strategy Calcs'!BJ52</f>
        <v>0.2083286581195789</v>
      </c>
      <c r="K52" s="50">
        <f>'1. Strategy Calcs'!Y52 + '1. Strategy Calcs'!AF52 + '1. Strategy Calcs'!AM52 + '1. Strategy Calcs'!AT52 + '1. Strategy Calcs'!BA52 + '1. Strategy Calcs'!BH52 + '1. Strategy Calcs'!BK52</f>
        <v>76.144708630021512</v>
      </c>
      <c r="L52" s="51">
        <f>K52*'Time Discounting'!C49</f>
        <v>20.739670015787279</v>
      </c>
      <c r="M52" s="52">
        <f t="shared" si="64"/>
        <v>135725.98064136715</v>
      </c>
      <c r="N52" s="5">
        <f>'1. Strategy Calcs'!Z52 + '1. Strategy Calcs'!AG52 + '1. Strategy Calcs'!AN52 + '1. Strategy Calcs'!AU52 + '1. Strategy Calcs'!BB52 + '1. Strategy Calcs'!BI52</f>
        <v>0.75159202351796361</v>
      </c>
      <c r="O52">
        <f>N52*'Time Discounting'!D49</f>
        <v>0.20471245914144348</v>
      </c>
      <c r="P52" s="6">
        <f t="shared" si="65"/>
        <v>20.70412622844098</v>
      </c>
      <c r="R52" s="14">
        <f t="shared" si="39"/>
        <v>1.0000000000000004</v>
      </c>
      <c r="T52" s="5">
        <f t="shared" si="66"/>
        <v>0.62573097204448991</v>
      </c>
      <c r="U52">
        <f t="shared" si="40"/>
        <v>0.61906236935612013</v>
      </c>
      <c r="V52">
        <f t="shared" si="41"/>
        <v>6.6686026883697432E-3</v>
      </c>
      <c r="W52" s="50">
        <f>0</f>
        <v>0</v>
      </c>
      <c r="X52" s="51">
        <f t="shared" si="42"/>
        <v>61.177761063104022</v>
      </c>
      <c r="Y52" s="52">
        <f t="shared" si="43"/>
        <v>61.177761063104022</v>
      </c>
      <c r="Z52" s="14">
        <f t="shared" si="67"/>
        <v>0.62573097204448991</v>
      </c>
      <c r="AA52" s="5">
        <f t="shared" si="68"/>
        <v>6.6511264161372374E-2</v>
      </c>
      <c r="AB52">
        <f t="shared" si="44"/>
        <v>6.5802433665825388E-2</v>
      </c>
      <c r="AC52">
        <f t="shared" si="45"/>
        <v>7.0883049554699388E-4</v>
      </c>
      <c r="AD52" s="50">
        <f>0</f>
        <v>0</v>
      </c>
      <c r="AE52" s="51">
        <f t="shared" si="46"/>
        <v>6.5028109661481217</v>
      </c>
      <c r="AF52" s="52">
        <f t="shared" si="47"/>
        <v>6.5028109661481217</v>
      </c>
      <c r="AG52" s="14">
        <f t="shared" si="69"/>
        <v>6.6511264161372374E-2</v>
      </c>
      <c r="AH52" s="5">
        <f t="shared" si="70"/>
        <v>1.6627816040343094E-2</v>
      </c>
      <c r="AI52">
        <f t="shared" si="48"/>
        <v>1.6450608416456347E-2</v>
      </c>
      <c r="AJ52">
        <f t="shared" si="49"/>
        <v>1.7720762388674847E-4</v>
      </c>
      <c r="AK52" s="50">
        <f>0</f>
        <v>0</v>
      </c>
      <c r="AL52" s="51">
        <f t="shared" si="50"/>
        <v>1.6257027415370304</v>
      </c>
      <c r="AM52" s="52">
        <f t="shared" si="51"/>
        <v>1.6257027415370304</v>
      </c>
      <c r="AN52" s="14">
        <f t="shared" si="71"/>
        <v>1.1639471228240165E-2</v>
      </c>
      <c r="AO52" s="5">
        <f t="shared" si="72"/>
        <v>1.0501778551795633E-2</v>
      </c>
      <c r="AP52">
        <f t="shared" si="52"/>
        <v>1.0389857947235582E-2</v>
      </c>
      <c r="AQ52">
        <f t="shared" si="53"/>
        <v>1.1192060456005162E-4</v>
      </c>
      <c r="AR52" s="50">
        <f>0</f>
        <v>0</v>
      </c>
      <c r="AS52" s="51">
        <f t="shared" si="54"/>
        <v>1.0267596262339136</v>
      </c>
      <c r="AT52" s="52">
        <f t="shared" si="55"/>
        <v>1.0267596262339136</v>
      </c>
      <c r="AU52" s="14">
        <f t="shared" si="73"/>
        <v>6.4060849165953363E-3</v>
      </c>
      <c r="AV52" s="5">
        <f t="shared" si="74"/>
        <v>5.6009485609576734E-2</v>
      </c>
      <c r="AW52">
        <f t="shared" si="56"/>
        <v>5.541257571858979E-2</v>
      </c>
      <c r="AX52">
        <f t="shared" si="57"/>
        <v>5.9690989098694217E-4</v>
      </c>
      <c r="AY52" s="50">
        <f>0</f>
        <v>0</v>
      </c>
      <c r="AZ52" s="51">
        <f t="shared" si="58"/>
        <v>5.4760513399142079</v>
      </c>
      <c r="BA52" s="52">
        <f t="shared" si="59"/>
        <v>5.4760513399142079</v>
      </c>
      <c r="BB52" s="14">
        <f t="shared" si="75"/>
        <v>4.0326829638895244E-2</v>
      </c>
      <c r="BC52" s="5">
        <f t="shared" si="76"/>
        <v>1.6290025472843736E-2</v>
      </c>
      <c r="BD52">
        <f t="shared" si="60"/>
        <v>1.6253441333636823E-2</v>
      </c>
      <c r="BE52">
        <f t="shared" si="61"/>
        <v>3.658413920691245E-5</v>
      </c>
      <c r="BF52" s="50">
        <f>0</f>
        <v>0</v>
      </c>
      <c r="BG52" s="51">
        <f t="shared" si="62"/>
        <v>0.33562289308421484</v>
      </c>
      <c r="BH52" s="52">
        <f t="shared" si="63"/>
        <v>0.33562289308421484</v>
      </c>
      <c r="BI52" s="14">
        <f t="shared" si="77"/>
        <v>9.7740152837062408E-4</v>
      </c>
      <c r="BJ52" s="5">
        <f>0 + '1. Strategy Calcs'!V51 + '1. Strategy Calcs'!AC51 + '1. Strategy Calcs'!AJ51 + '1. Strategy Calcs'!AQ51 + '1. Strategy Calcs'!AX51 + '1. Strategy Calcs'!BE51 + BJ51</f>
        <v>0.2083286581195789</v>
      </c>
      <c r="BK52" s="63">
        <f>0</f>
        <v>0</v>
      </c>
    </row>
    <row r="53" spans="2:63" x14ac:dyDescent="0.35">
      <c r="B53" s="14">
        <v>45</v>
      </c>
      <c r="D53" s="5">
        <f>'1. Strategy Calcs'!T53</f>
        <v>0.61906236935612013</v>
      </c>
      <c r="E53">
        <f>'1. Strategy Calcs'!AA53</f>
        <v>6.5802433665825388E-2</v>
      </c>
      <c r="F53">
        <f>'1. Strategy Calcs'!AH53</f>
        <v>1.6450608416456347E-2</v>
      </c>
      <c r="G53">
        <f>'1. Strategy Calcs'!AO53</f>
        <v>1.0389857947235582E-2</v>
      </c>
      <c r="H53">
        <f>'1. Strategy Calcs'!AV53</f>
        <v>5.541257571858979E-2</v>
      </c>
      <c r="I53">
        <f>'1. Strategy Calcs'!BC53</f>
        <v>1.6253441333636823E-2</v>
      </c>
      <c r="J53" s="6">
        <f>'1. Strategy Calcs'!BJ53</f>
        <v>0.21662871356213628</v>
      </c>
      <c r="K53" s="50">
        <f>'1. Strategy Calcs'!Y53 + '1. Strategy Calcs'!AF53 + '1. Strategy Calcs'!AM53 + '1. Strategy Calcs'!AT53 + '1. Strategy Calcs'!BA53 + '1. Strategy Calcs'!BH53 + '1. Strategy Calcs'!BK53</f>
        <v>81.534134393828907</v>
      </c>
      <c r="L53" s="51">
        <f>K53*'Time Discounting'!C50</f>
        <v>21.560774288937427</v>
      </c>
      <c r="M53" s="52">
        <f t="shared" si="64"/>
        <v>135747.54141565607</v>
      </c>
      <c r="N53" s="5">
        <f>'1. Strategy Calcs'!Z53 + '1. Strategy Calcs'!AG53 + '1. Strategy Calcs'!AN53 + '1. Strategy Calcs'!AU53 + '1. Strategy Calcs'!BB53 + '1. Strategy Calcs'!BI53</f>
        <v>0.74359030325868158</v>
      </c>
      <c r="O53">
        <f>N53*'Time Discounting'!D50</f>
        <v>0.19663399643838511</v>
      </c>
      <c r="P53" s="6">
        <f t="shared" si="65"/>
        <v>20.900760224879367</v>
      </c>
      <c r="R53" s="14">
        <f t="shared" si="39"/>
        <v>1.0000000000000004</v>
      </c>
      <c r="T53" s="5">
        <f t="shared" si="66"/>
        <v>0.61906236935612013</v>
      </c>
      <c r="U53">
        <f t="shared" si="40"/>
        <v>0.61192235161291442</v>
      </c>
      <c r="V53">
        <f t="shared" si="41"/>
        <v>7.1400177432057463E-3</v>
      </c>
      <c r="W53" s="50">
        <f>0</f>
        <v>0</v>
      </c>
      <c r="X53" s="51">
        <f t="shared" si="42"/>
        <v>65.502522776169513</v>
      </c>
      <c r="Y53" s="52">
        <f t="shared" si="43"/>
        <v>65.502522776169513</v>
      </c>
      <c r="Z53" s="14">
        <f t="shared" si="67"/>
        <v>0.61906236935612013</v>
      </c>
      <c r="AA53" s="5">
        <f t="shared" si="68"/>
        <v>6.5802433665825388E-2</v>
      </c>
      <c r="AB53">
        <f t="shared" si="44"/>
        <v>6.5043494716897229E-2</v>
      </c>
      <c r="AC53">
        <f t="shared" si="45"/>
        <v>7.589389489281636E-4</v>
      </c>
      <c r="AD53" s="50">
        <f>0</f>
        <v>0</v>
      </c>
      <c r="AE53" s="51">
        <f t="shared" si="46"/>
        <v>6.9625059174669728</v>
      </c>
      <c r="AF53" s="52">
        <f t="shared" si="47"/>
        <v>6.9625059174669728</v>
      </c>
      <c r="AG53" s="14">
        <f t="shared" si="69"/>
        <v>6.5802433665825388E-2</v>
      </c>
      <c r="AH53" s="5">
        <f t="shared" si="70"/>
        <v>1.6450608416456347E-2</v>
      </c>
      <c r="AI53">
        <f t="shared" si="48"/>
        <v>1.6260873679224307E-2</v>
      </c>
      <c r="AJ53">
        <f t="shared" si="49"/>
        <v>1.897347372320409E-4</v>
      </c>
      <c r="AK53" s="50">
        <f>0</f>
        <v>0</v>
      </c>
      <c r="AL53" s="51">
        <f t="shared" si="50"/>
        <v>1.7406264793667432</v>
      </c>
      <c r="AM53" s="52">
        <f t="shared" si="51"/>
        <v>1.7406264793667432</v>
      </c>
      <c r="AN53" s="14">
        <f t="shared" si="71"/>
        <v>1.1515425891519443E-2</v>
      </c>
      <c r="AO53" s="5">
        <f t="shared" si="72"/>
        <v>1.0389857947235582E-2</v>
      </c>
      <c r="AP53">
        <f t="shared" si="52"/>
        <v>1.0270025481615345E-2</v>
      </c>
      <c r="AQ53">
        <f t="shared" si="53"/>
        <v>1.198324656202363E-4</v>
      </c>
      <c r="AR53" s="50">
        <f>0</f>
        <v>0</v>
      </c>
      <c r="AS53" s="51">
        <f t="shared" si="54"/>
        <v>1.0993430396000479</v>
      </c>
      <c r="AT53" s="52">
        <f t="shared" si="55"/>
        <v>1.0993430396000479</v>
      </c>
      <c r="AU53" s="14">
        <f t="shared" si="73"/>
        <v>6.3378133478137052E-3</v>
      </c>
      <c r="AV53" s="5">
        <f t="shared" si="74"/>
        <v>5.541257571858979E-2</v>
      </c>
      <c r="AW53">
        <f t="shared" si="56"/>
        <v>5.4773469235281862E-2</v>
      </c>
      <c r="AX53">
        <f t="shared" si="57"/>
        <v>6.3910648330792706E-4</v>
      </c>
      <c r="AY53" s="50">
        <f>0</f>
        <v>0</v>
      </c>
      <c r="AZ53" s="51">
        <f t="shared" si="58"/>
        <v>5.8631628778669231</v>
      </c>
      <c r="BA53" s="52">
        <f t="shared" si="59"/>
        <v>5.8631628778669231</v>
      </c>
      <c r="BB53" s="14">
        <f t="shared" si="75"/>
        <v>3.989705451738465E-2</v>
      </c>
      <c r="BC53" s="5">
        <f t="shared" si="76"/>
        <v>1.6253441333636823E-2</v>
      </c>
      <c r="BD53">
        <f t="shared" si="60"/>
        <v>1.6213548887227546E-2</v>
      </c>
      <c r="BE53">
        <f t="shared" si="61"/>
        <v>3.9892446409278199E-5</v>
      </c>
      <c r="BF53" s="50">
        <f>0</f>
        <v>0</v>
      </c>
      <c r="BG53" s="51">
        <f t="shared" si="62"/>
        <v>0.36597330335871819</v>
      </c>
      <c r="BH53" s="52">
        <f t="shared" si="63"/>
        <v>0.36597330335871819</v>
      </c>
      <c r="BI53" s="14">
        <f t="shared" si="77"/>
        <v>9.7520648001820937E-4</v>
      </c>
      <c r="BJ53" s="5">
        <f>0 + '1. Strategy Calcs'!V52 + '1. Strategy Calcs'!AC52 + '1. Strategy Calcs'!AJ52 + '1. Strategy Calcs'!AQ52 + '1. Strategy Calcs'!AX52 + '1. Strategy Calcs'!BE52 + BJ52</f>
        <v>0.21662871356213628</v>
      </c>
      <c r="BK53" s="63">
        <f>0</f>
        <v>0</v>
      </c>
    </row>
    <row r="54" spans="2:63" x14ac:dyDescent="0.35">
      <c r="B54" s="14">
        <v>46</v>
      </c>
      <c r="D54" s="5">
        <f>'1. Strategy Calcs'!T54</f>
        <v>0.61192235161291442</v>
      </c>
      <c r="E54">
        <f>'1. Strategy Calcs'!AA54</f>
        <v>6.5043494716897229E-2</v>
      </c>
      <c r="F54">
        <f>'1. Strategy Calcs'!AH54</f>
        <v>1.6260873679224307E-2</v>
      </c>
      <c r="G54">
        <f>'1. Strategy Calcs'!AO54</f>
        <v>1.0270025481615345E-2</v>
      </c>
      <c r="H54">
        <f>'1. Strategy Calcs'!AV54</f>
        <v>5.4773469235281862E-2</v>
      </c>
      <c r="I54">
        <f>'1. Strategy Calcs'!BC54</f>
        <v>1.6213548887227546E-2</v>
      </c>
      <c r="J54" s="6">
        <f>'1. Strategy Calcs'!BJ54</f>
        <v>0.22551623638683968</v>
      </c>
      <c r="K54" s="50">
        <f>'1. Strategy Calcs'!Y54 + '1. Strategy Calcs'!AF54 + '1. Strategy Calcs'!AM54 + '1. Strategy Calcs'!AT54 + '1. Strategy Calcs'!BA54 + '1. Strategy Calcs'!BH54 + '1. Strategy Calcs'!BK54</f>
        <v>87.196537456788647</v>
      </c>
      <c r="L54" s="51">
        <f>K54*'Time Discounting'!C51</f>
        <v>22.386536273889938</v>
      </c>
      <c r="M54" s="52">
        <f t="shared" si="64"/>
        <v>135769.92795192997</v>
      </c>
      <c r="N54" s="5">
        <f>'1. Strategy Calcs'!Z54 + '1. Strategy Calcs'!AG54 + '1. Strategy Calcs'!AN54 + '1. Strategy Calcs'!AU54 + '1. Strategy Calcs'!BB54 + '1. Strategy Calcs'!BI54</f>
        <v>0.73502288423169071</v>
      </c>
      <c r="O54">
        <f>N54*'Time Discounting'!D51</f>
        <v>0.18870722324434319</v>
      </c>
      <c r="P54" s="6">
        <f t="shared" si="65"/>
        <v>21.08946744812371</v>
      </c>
      <c r="R54" s="14">
        <f t="shared" si="39"/>
        <v>1.0000000000000004</v>
      </c>
      <c r="T54" s="5">
        <f t="shared" si="66"/>
        <v>0.61192235161291442</v>
      </c>
      <c r="U54">
        <f t="shared" si="40"/>
        <v>0.60427858474997687</v>
      </c>
      <c r="V54">
        <f t="shared" si="41"/>
        <v>7.6437668629375588E-3</v>
      </c>
      <c r="W54" s="50">
        <f>0</f>
        <v>0</v>
      </c>
      <c r="X54" s="51">
        <f t="shared" si="42"/>
        <v>70.123917200589162</v>
      </c>
      <c r="Y54" s="52">
        <f t="shared" si="43"/>
        <v>70.123917200589162</v>
      </c>
      <c r="Z54" s="14">
        <f t="shared" si="67"/>
        <v>0.61192235161291442</v>
      </c>
      <c r="AA54" s="5">
        <f t="shared" si="68"/>
        <v>6.5043494716897229E-2</v>
      </c>
      <c r="AB54">
        <f t="shared" si="44"/>
        <v>6.4231010406990571E-2</v>
      </c>
      <c r="AC54">
        <f t="shared" si="45"/>
        <v>8.1248430990665007E-4</v>
      </c>
      <c r="AD54" s="50">
        <f>0</f>
        <v>0</v>
      </c>
      <c r="AE54" s="51">
        <f t="shared" si="46"/>
        <v>7.4537310590836077</v>
      </c>
      <c r="AF54" s="52">
        <f t="shared" si="47"/>
        <v>7.4537310590836077</v>
      </c>
      <c r="AG54" s="14">
        <f t="shared" si="69"/>
        <v>6.5043494716897229E-2</v>
      </c>
      <c r="AH54" s="5">
        <f t="shared" si="70"/>
        <v>1.6260873679224307E-2</v>
      </c>
      <c r="AI54">
        <f t="shared" si="48"/>
        <v>1.6057752601747643E-2</v>
      </c>
      <c r="AJ54">
        <f t="shared" si="49"/>
        <v>2.0312107747666252E-4</v>
      </c>
      <c r="AK54" s="50">
        <f>0</f>
        <v>0</v>
      </c>
      <c r="AL54" s="51">
        <f t="shared" si="50"/>
        <v>1.8634327647709019</v>
      </c>
      <c r="AM54" s="52">
        <f t="shared" si="51"/>
        <v>1.8634327647709019</v>
      </c>
      <c r="AN54" s="14">
        <f t="shared" si="71"/>
        <v>1.1382611575457014E-2</v>
      </c>
      <c r="AO54" s="5">
        <f t="shared" si="72"/>
        <v>1.0270025481615345E-2</v>
      </c>
      <c r="AP54">
        <f t="shared" si="52"/>
        <v>1.0141738485314295E-2</v>
      </c>
      <c r="AQ54">
        <f t="shared" si="53"/>
        <v>1.2828699630104993E-4</v>
      </c>
      <c r="AR54" s="50">
        <f>0</f>
        <v>0</v>
      </c>
      <c r="AS54" s="51">
        <f t="shared" si="54"/>
        <v>1.1769049040658321</v>
      </c>
      <c r="AT54" s="52">
        <f t="shared" si="55"/>
        <v>1.1769049040658321</v>
      </c>
      <c r="AU54" s="14">
        <f t="shared" si="73"/>
        <v>6.2647155437853602E-3</v>
      </c>
      <c r="AV54" s="5">
        <f t="shared" si="74"/>
        <v>5.4773469235281862E-2</v>
      </c>
      <c r="AW54">
        <f t="shared" si="56"/>
        <v>5.4089271921676257E-2</v>
      </c>
      <c r="AX54">
        <f t="shared" si="57"/>
        <v>6.8419731360559982E-4</v>
      </c>
      <c r="AY54" s="50">
        <f>0</f>
        <v>0</v>
      </c>
      <c r="AZ54" s="51">
        <f t="shared" si="58"/>
        <v>6.2768261550177726</v>
      </c>
      <c r="BA54" s="52">
        <f t="shared" si="59"/>
        <v>6.2768261550177726</v>
      </c>
      <c r="BB54" s="14">
        <f t="shared" si="75"/>
        <v>3.9436897849402942E-2</v>
      </c>
      <c r="BC54" s="5">
        <f t="shared" si="76"/>
        <v>1.6213548887227546E-2</v>
      </c>
      <c r="BD54">
        <f t="shared" si="60"/>
        <v>1.6180659703309806E-2</v>
      </c>
      <c r="BE54">
        <f t="shared" si="61"/>
        <v>3.2889183917741059E-5</v>
      </c>
      <c r="BF54" s="50">
        <f>0</f>
        <v>0</v>
      </c>
      <c r="BG54" s="51">
        <f t="shared" si="62"/>
        <v>0.30172537326135646</v>
      </c>
      <c r="BH54" s="52">
        <f t="shared" si="63"/>
        <v>0.30172537326135646</v>
      </c>
      <c r="BI54" s="14">
        <f t="shared" si="77"/>
        <v>9.7281293323365277E-4</v>
      </c>
      <c r="BJ54" s="5">
        <f>0 + '1. Strategy Calcs'!V53 + '1. Strategy Calcs'!AC53 + '1. Strategy Calcs'!AJ53 + '1. Strategy Calcs'!AQ53 + '1. Strategy Calcs'!AX53 + '1. Strategy Calcs'!BE53 + BJ53</f>
        <v>0.22551623638683968</v>
      </c>
      <c r="BK54" s="63">
        <f>0</f>
        <v>0</v>
      </c>
    </row>
    <row r="55" spans="2:63" x14ac:dyDescent="0.35">
      <c r="B55" s="14">
        <v>47</v>
      </c>
      <c r="D55" s="5">
        <f>'1. Strategy Calcs'!T55</f>
        <v>0.60427858474997687</v>
      </c>
      <c r="E55">
        <f>'1. Strategy Calcs'!AA55</f>
        <v>6.4231010406990571E-2</v>
      </c>
      <c r="F55">
        <f>'1. Strategy Calcs'!AH55</f>
        <v>1.6057752601747643E-2</v>
      </c>
      <c r="G55">
        <f>'1. Strategy Calcs'!AO55</f>
        <v>1.0141738485314295E-2</v>
      </c>
      <c r="H55">
        <f>'1. Strategy Calcs'!AV55</f>
        <v>5.4089271921676257E-2</v>
      </c>
      <c r="I55">
        <f>'1. Strategy Calcs'!BC55</f>
        <v>1.6180659703309806E-2</v>
      </c>
      <c r="J55" s="6">
        <f>'1. Strategy Calcs'!BJ55</f>
        <v>0.23502098213098493</v>
      </c>
      <c r="K55" s="50">
        <f>'1. Strategy Calcs'!Y55 + '1. Strategy Calcs'!AF55 + '1. Strategy Calcs'!AM55 + '1. Strategy Calcs'!AT55 + '1. Strategy Calcs'!BA55 + '1. Strategy Calcs'!BH55 + '1. Strategy Calcs'!BK55</f>
        <v>93.754810369679859</v>
      </c>
      <c r="L55" s="51">
        <f>K55*'Time Discounting'!C52</f>
        <v>23.369208243438464</v>
      </c>
      <c r="M55" s="52">
        <f t="shared" si="64"/>
        <v>135793.29716017342</v>
      </c>
      <c r="N55" s="5">
        <f>'1. Strategy Calcs'!Z55 + '1. Strategy Calcs'!AG55 + '1. Strategy Calcs'!AN55 + '1. Strategy Calcs'!AU55 + '1. Strategy Calcs'!BB55 + '1. Strategy Calcs'!BI55</f>
        <v>0.72585159782003805</v>
      </c>
      <c r="O55">
        <f>N55*'Time Discounting'!D52</f>
        <v>0.18092487282950853</v>
      </c>
      <c r="P55" s="6">
        <f t="shared" si="65"/>
        <v>21.270392320953217</v>
      </c>
      <c r="R55" s="14">
        <f t="shared" si="39"/>
        <v>1.0000000000000004</v>
      </c>
      <c r="T55" s="5">
        <f t="shared" si="66"/>
        <v>0.60427858474997687</v>
      </c>
      <c r="U55">
        <f t="shared" si="40"/>
        <v>0.59606069813666951</v>
      </c>
      <c r="V55">
        <f t="shared" si="41"/>
        <v>8.2178866133073188E-3</v>
      </c>
      <c r="W55" s="50">
        <f>0</f>
        <v>0</v>
      </c>
      <c r="X55" s="51">
        <f t="shared" si="42"/>
        <v>75.390891790481348</v>
      </c>
      <c r="Y55" s="52">
        <f t="shared" si="43"/>
        <v>75.390891790481348</v>
      </c>
      <c r="Z55" s="14">
        <f t="shared" si="67"/>
        <v>0.60427858474997687</v>
      </c>
      <c r="AA55" s="5">
        <f t="shared" si="68"/>
        <v>6.4231010406990571E-2</v>
      </c>
      <c r="AB55">
        <f t="shared" si="44"/>
        <v>6.335750078096071E-2</v>
      </c>
      <c r="AC55">
        <f t="shared" si="45"/>
        <v>8.7350962602986918E-4</v>
      </c>
      <c r="AD55" s="50">
        <f>0</f>
        <v>0</v>
      </c>
      <c r="AE55" s="51">
        <f t="shared" si="46"/>
        <v>8.0135773091980198</v>
      </c>
      <c r="AF55" s="52">
        <f t="shared" si="47"/>
        <v>8.0135773091980198</v>
      </c>
      <c r="AG55" s="14">
        <f t="shared" si="69"/>
        <v>6.4231010406990571E-2</v>
      </c>
      <c r="AH55" s="5">
        <f t="shared" si="70"/>
        <v>1.6057752601747643E-2</v>
      </c>
      <c r="AI55">
        <f t="shared" si="48"/>
        <v>1.5839375195240177E-2</v>
      </c>
      <c r="AJ55">
        <f t="shared" si="49"/>
        <v>2.183774065074673E-4</v>
      </c>
      <c r="AK55" s="50">
        <f>0</f>
        <v>0</v>
      </c>
      <c r="AL55" s="51">
        <f t="shared" si="50"/>
        <v>2.003394327299505</v>
      </c>
      <c r="AM55" s="52">
        <f t="shared" si="51"/>
        <v>2.003394327299505</v>
      </c>
      <c r="AN55" s="14">
        <f t="shared" si="71"/>
        <v>1.1240426821223349E-2</v>
      </c>
      <c r="AO55" s="5">
        <f t="shared" si="72"/>
        <v>1.0141738485314295E-2</v>
      </c>
      <c r="AP55">
        <f t="shared" si="52"/>
        <v>1.0003815912783263E-2</v>
      </c>
      <c r="AQ55">
        <f t="shared" si="53"/>
        <v>1.379225725310319E-4</v>
      </c>
      <c r="AR55" s="50">
        <f>0</f>
        <v>0</v>
      </c>
      <c r="AS55" s="51">
        <f t="shared" si="54"/>
        <v>1.2653016803996866</v>
      </c>
      <c r="AT55" s="52">
        <f t="shared" si="55"/>
        <v>1.2653016803996866</v>
      </c>
      <c r="AU55" s="14">
        <f t="shared" si="73"/>
        <v>6.1864604760417195E-3</v>
      </c>
      <c r="AV55" s="5">
        <f t="shared" si="74"/>
        <v>5.4089271921676257E-2</v>
      </c>
      <c r="AW55">
        <f t="shared" si="56"/>
        <v>5.3353684868177424E-2</v>
      </c>
      <c r="AX55">
        <f t="shared" si="57"/>
        <v>7.3558705349883709E-4</v>
      </c>
      <c r="AY55" s="50">
        <f>0</f>
        <v>0</v>
      </c>
      <c r="AZ55" s="51">
        <f t="shared" si="58"/>
        <v>6.7482756287983312</v>
      </c>
      <c r="BA55" s="52">
        <f t="shared" si="59"/>
        <v>6.7482756287983312</v>
      </c>
      <c r="BB55" s="14">
        <f t="shared" si="75"/>
        <v>3.8944275783606902E-2</v>
      </c>
      <c r="BC55" s="5">
        <f t="shared" si="76"/>
        <v>1.6180659703309806E-2</v>
      </c>
      <c r="BD55">
        <f t="shared" si="60"/>
        <v>1.6144321177748115E-2</v>
      </c>
      <c r="BE55">
        <f t="shared" si="61"/>
        <v>3.6338525561693148E-5</v>
      </c>
      <c r="BF55" s="50">
        <f>0</f>
        <v>0</v>
      </c>
      <c r="BG55" s="51">
        <f t="shared" si="62"/>
        <v>0.33336963350297294</v>
      </c>
      <c r="BH55" s="52">
        <f t="shared" si="63"/>
        <v>0.33336963350297294</v>
      </c>
      <c r="BI55" s="14">
        <f t="shared" si="77"/>
        <v>9.7083958219858831E-4</v>
      </c>
      <c r="BJ55" s="5">
        <f>0 + '1. Strategy Calcs'!V54 + '1. Strategy Calcs'!AC54 + '1. Strategy Calcs'!AJ54 + '1. Strategy Calcs'!AQ54 + '1. Strategy Calcs'!AX54 + '1. Strategy Calcs'!BE54 + BJ54</f>
        <v>0.23502098213098493</v>
      </c>
      <c r="BK55" s="63">
        <f>0</f>
        <v>0</v>
      </c>
    </row>
    <row r="56" spans="2:63" x14ac:dyDescent="0.35">
      <c r="B56" s="14">
        <v>48</v>
      </c>
      <c r="D56" s="5">
        <f>'1. Strategy Calcs'!T56</f>
        <v>0.59606069813666951</v>
      </c>
      <c r="E56">
        <f>'1. Strategy Calcs'!AA56</f>
        <v>6.335750078096071E-2</v>
      </c>
      <c r="F56">
        <f>'1. Strategy Calcs'!AH56</f>
        <v>1.5839375195240177E-2</v>
      </c>
      <c r="G56">
        <f>'1. Strategy Calcs'!AO56</f>
        <v>1.0003815912783263E-2</v>
      </c>
      <c r="H56">
        <f>'1. Strategy Calcs'!AV56</f>
        <v>5.3353684868177424E-2</v>
      </c>
      <c r="I56">
        <f>'1. Strategy Calcs'!BC56</f>
        <v>1.6144321177748115E-2</v>
      </c>
      <c r="J56" s="6">
        <f>'1. Strategy Calcs'!BJ56</f>
        <v>0.24524060392842115</v>
      </c>
      <c r="K56" s="50">
        <f>'1. Strategy Calcs'!Y56 + '1. Strategy Calcs'!AF56 + '1. Strategy Calcs'!AM56 + '1. Strategy Calcs'!AT56 + '1. Strategy Calcs'!BA56 + '1. Strategy Calcs'!BH56 + '1. Strategy Calcs'!BK56</f>
        <v>100.12262634806049</v>
      </c>
      <c r="L56" s="51">
        <f>K56*'Time Discounting'!C53</f>
        <v>24.229555524090383</v>
      </c>
      <c r="M56" s="52">
        <f t="shared" si="64"/>
        <v>135817.52671569752</v>
      </c>
      <c r="N56" s="5">
        <f>'1. Strategy Calcs'!Z56 + '1. Strategy Calcs'!AG56 + '1. Strategy Calcs'!AN56 + '1. Strategy Calcs'!AU56 + '1. Strategy Calcs'!BB56 + '1. Strategy Calcs'!BI56</f>
        <v>0.71599140163684871</v>
      </c>
      <c r="O56">
        <f>N56*'Time Discounting'!D53</f>
        <v>0.17326906068587544</v>
      </c>
      <c r="P56" s="6">
        <f t="shared" si="65"/>
        <v>21.443661381639092</v>
      </c>
      <c r="R56" s="14">
        <f t="shared" si="39"/>
        <v>1.0000000000000002</v>
      </c>
      <c r="T56" s="5">
        <f t="shared" si="66"/>
        <v>0.59606069813666951</v>
      </c>
      <c r="U56">
        <f t="shared" si="40"/>
        <v>0.58728531372049209</v>
      </c>
      <c r="V56">
        <f t="shared" si="41"/>
        <v>8.7753844161774942E-3</v>
      </c>
      <c r="W56" s="50">
        <f>0</f>
        <v>0</v>
      </c>
      <c r="X56" s="51">
        <f t="shared" si="42"/>
        <v>80.505376634012336</v>
      </c>
      <c r="Y56" s="52">
        <f t="shared" si="43"/>
        <v>80.505376634012336</v>
      </c>
      <c r="Z56" s="14">
        <f t="shared" si="67"/>
        <v>0.59606069813666951</v>
      </c>
      <c r="AA56" s="5">
        <f t="shared" si="68"/>
        <v>6.335750078096071E-2</v>
      </c>
      <c r="AB56">
        <f t="shared" si="44"/>
        <v>6.2424732647213176E-2</v>
      </c>
      <c r="AC56">
        <f t="shared" si="45"/>
        <v>9.3276813374753838E-4</v>
      </c>
      <c r="AD56" s="50">
        <f>0</f>
        <v>0</v>
      </c>
      <c r="AE56" s="51">
        <f t="shared" si="46"/>
        <v>8.5572148589999166</v>
      </c>
      <c r="AF56" s="52">
        <f t="shared" si="47"/>
        <v>8.5572148589999166</v>
      </c>
      <c r="AG56" s="14">
        <f t="shared" si="69"/>
        <v>6.335750078096071E-2</v>
      </c>
      <c r="AH56" s="5">
        <f t="shared" si="70"/>
        <v>1.5839375195240177E-2</v>
      </c>
      <c r="AI56">
        <f t="shared" si="48"/>
        <v>1.5606183161803294E-2</v>
      </c>
      <c r="AJ56">
        <f t="shared" si="49"/>
        <v>2.3319203343688459E-4</v>
      </c>
      <c r="AK56" s="50">
        <f>0</f>
        <v>0</v>
      </c>
      <c r="AL56" s="51">
        <f t="shared" si="50"/>
        <v>2.1393037147499792</v>
      </c>
      <c r="AM56" s="52">
        <f t="shared" si="51"/>
        <v>2.1393037147499792</v>
      </c>
      <c r="AN56" s="14">
        <f t="shared" si="71"/>
        <v>1.1087562636668123E-2</v>
      </c>
      <c r="AO56" s="5">
        <f t="shared" si="72"/>
        <v>1.0003815912783263E-2</v>
      </c>
      <c r="AP56">
        <f t="shared" si="52"/>
        <v>9.8565367337704948E-3</v>
      </c>
      <c r="AQ56">
        <f t="shared" si="53"/>
        <v>1.4727917901276912E-4</v>
      </c>
      <c r="AR56" s="50">
        <f>0</f>
        <v>0</v>
      </c>
      <c r="AS56" s="51">
        <f t="shared" si="54"/>
        <v>1.3511391882631438</v>
      </c>
      <c r="AT56" s="52">
        <f t="shared" si="55"/>
        <v>1.3511391882631438</v>
      </c>
      <c r="AU56" s="14">
        <f t="shared" si="73"/>
        <v>6.1023277067977907E-3</v>
      </c>
      <c r="AV56" s="5">
        <f t="shared" si="74"/>
        <v>5.3353684868177424E-2</v>
      </c>
      <c r="AW56">
        <f t="shared" si="56"/>
        <v>5.256819591344266E-2</v>
      </c>
      <c r="AX56">
        <f t="shared" si="57"/>
        <v>7.8548895473476888E-4</v>
      </c>
      <c r="AY56" s="50">
        <f>0</f>
        <v>0</v>
      </c>
      <c r="AZ56" s="51">
        <f t="shared" si="58"/>
        <v>7.2060756707367695</v>
      </c>
      <c r="BA56" s="52">
        <f t="shared" si="59"/>
        <v>7.2060756707367695</v>
      </c>
      <c r="BB56" s="14">
        <f t="shared" si="75"/>
        <v>3.8414653105087744E-2</v>
      </c>
      <c r="BC56" s="5">
        <f t="shared" si="76"/>
        <v>1.6144321177748115E-2</v>
      </c>
      <c r="BD56">
        <f t="shared" si="60"/>
        <v>1.6104696555849451E-2</v>
      </c>
      <c r="BE56">
        <f t="shared" si="61"/>
        <v>3.9624621898664956E-5</v>
      </c>
      <c r="BF56" s="50">
        <f>0</f>
        <v>0</v>
      </c>
      <c r="BG56" s="51">
        <f t="shared" si="62"/>
        <v>0.36351628129835228</v>
      </c>
      <c r="BH56" s="52">
        <f t="shared" si="63"/>
        <v>0.36351628129835228</v>
      </c>
      <c r="BI56" s="14">
        <f t="shared" si="77"/>
        <v>9.6865927066488685E-4</v>
      </c>
      <c r="BJ56" s="5">
        <f>0 + '1. Strategy Calcs'!V55 + '1. Strategy Calcs'!AC55 + '1. Strategy Calcs'!AJ55 + '1. Strategy Calcs'!AQ55 + '1. Strategy Calcs'!AX55 + '1. Strategy Calcs'!BE55 + BJ55</f>
        <v>0.24524060392842115</v>
      </c>
      <c r="BK56" s="63">
        <f>0</f>
        <v>0</v>
      </c>
    </row>
    <row r="57" spans="2:63" x14ac:dyDescent="0.35">
      <c r="B57" s="14">
        <v>49</v>
      </c>
      <c r="D57" s="5">
        <f>'1. Strategy Calcs'!T57</f>
        <v>0.58728531372049209</v>
      </c>
      <c r="E57">
        <f>'1. Strategy Calcs'!AA57</f>
        <v>6.2424732647213176E-2</v>
      </c>
      <c r="F57">
        <f>'1. Strategy Calcs'!AH57</f>
        <v>1.5606183161803294E-2</v>
      </c>
      <c r="G57">
        <f>'1. Strategy Calcs'!AO57</f>
        <v>9.8565367337704948E-3</v>
      </c>
      <c r="H57">
        <f>'1. Strategy Calcs'!AV57</f>
        <v>5.256819591344266E-2</v>
      </c>
      <c r="I57">
        <f>'1. Strategy Calcs'!BC57</f>
        <v>1.6104696555849451E-2</v>
      </c>
      <c r="J57" s="6">
        <f>'1. Strategy Calcs'!BJ57</f>
        <v>0.25615434126742925</v>
      </c>
      <c r="K57" s="50">
        <f>'1. Strategy Calcs'!Y57 + '1. Strategy Calcs'!AF57 + '1. Strategy Calcs'!AM57 + '1. Strategy Calcs'!AT57 + '1. Strategy Calcs'!BA57 + '1. Strategy Calcs'!BH57 + '1. Strategy Calcs'!BK57</f>
        <v>106.84536570422664</v>
      </c>
      <c r="L57" s="51">
        <f>K57*'Time Discounting'!C54</f>
        <v>25.103349890655252</v>
      </c>
      <c r="M57" s="52">
        <f t="shared" si="64"/>
        <v>135842.63006558816</v>
      </c>
      <c r="N57" s="5">
        <f>'1. Strategy Calcs'!Z57 + '1. Strategy Calcs'!AG57 + '1. Strategy Calcs'!AN57 + '1. Strategy Calcs'!AU57 + '1. Strategy Calcs'!BB57 + '1. Strategy Calcs'!BI57</f>
        <v>0.70546224483959719</v>
      </c>
      <c r="O57">
        <f>N57*'Time Discounting'!D54</f>
        <v>0.1657485605494535</v>
      </c>
      <c r="P57" s="6">
        <f t="shared" si="65"/>
        <v>21.609409942188545</v>
      </c>
      <c r="R57" s="14">
        <f t="shared" si="39"/>
        <v>1.0000000000000004</v>
      </c>
      <c r="T57" s="5">
        <f t="shared" si="66"/>
        <v>0.58728531372049209</v>
      </c>
      <c r="U57">
        <f t="shared" si="40"/>
        <v>0.57791294485588951</v>
      </c>
      <c r="V57">
        <f t="shared" si="41"/>
        <v>9.3723688646025864E-3</v>
      </c>
      <c r="W57" s="50">
        <f>0</f>
        <v>0</v>
      </c>
      <c r="X57" s="51">
        <f t="shared" si="42"/>
        <v>85.982111963864128</v>
      </c>
      <c r="Y57" s="52">
        <f t="shared" si="43"/>
        <v>85.982111963864128</v>
      </c>
      <c r="Z57" s="14">
        <f t="shared" si="67"/>
        <v>0.58728531372049209</v>
      </c>
      <c r="AA57" s="5">
        <f t="shared" si="68"/>
        <v>6.2424732647213176E-2</v>
      </c>
      <c r="AB57">
        <f t="shared" si="44"/>
        <v>6.1428508823842834E-2</v>
      </c>
      <c r="AC57">
        <f t="shared" si="45"/>
        <v>9.9622382337034529E-4</v>
      </c>
      <c r="AD57" s="50">
        <f>0</f>
        <v>0</v>
      </c>
      <c r="AE57" s="51">
        <f t="shared" si="46"/>
        <v>9.1393573555995484</v>
      </c>
      <c r="AF57" s="52">
        <f t="shared" si="47"/>
        <v>9.1393573555995484</v>
      </c>
      <c r="AG57" s="14">
        <f t="shared" si="69"/>
        <v>6.2424732647213176E-2</v>
      </c>
      <c r="AH57" s="5">
        <f t="shared" si="70"/>
        <v>1.5606183161803294E-2</v>
      </c>
      <c r="AI57">
        <f t="shared" si="48"/>
        <v>1.5357127205960708E-2</v>
      </c>
      <c r="AJ57">
        <f t="shared" si="49"/>
        <v>2.4905595584258632E-4</v>
      </c>
      <c r="AK57" s="50">
        <f>0</f>
        <v>0</v>
      </c>
      <c r="AL57" s="51">
        <f t="shared" si="50"/>
        <v>2.2848393388998871</v>
      </c>
      <c r="AM57" s="52">
        <f t="shared" si="51"/>
        <v>2.2848393388998871</v>
      </c>
      <c r="AN57" s="14">
        <f t="shared" si="71"/>
        <v>1.0924328213262306E-2</v>
      </c>
      <c r="AO57" s="5">
        <f t="shared" si="72"/>
        <v>9.8565367337704948E-3</v>
      </c>
      <c r="AP57">
        <f t="shared" si="52"/>
        <v>9.6992382353435994E-3</v>
      </c>
      <c r="AQ57">
        <f t="shared" si="53"/>
        <v>1.5729849842689651E-4</v>
      </c>
      <c r="AR57" s="50">
        <f>0</f>
        <v>0</v>
      </c>
      <c r="AS57" s="51">
        <f t="shared" si="54"/>
        <v>1.4430564245683486</v>
      </c>
      <c r="AT57" s="52">
        <f t="shared" si="55"/>
        <v>1.4430564245683486</v>
      </c>
      <c r="AU57" s="14">
        <f t="shared" si="73"/>
        <v>6.0124874076000019E-3</v>
      </c>
      <c r="AV57" s="5">
        <f t="shared" si="74"/>
        <v>5.256819591344266E-2</v>
      </c>
      <c r="AW57">
        <f t="shared" si="56"/>
        <v>5.1729270588499215E-2</v>
      </c>
      <c r="AX57">
        <f t="shared" si="57"/>
        <v>8.3892532494344847E-4</v>
      </c>
      <c r="AY57" s="50">
        <f>0</f>
        <v>0</v>
      </c>
      <c r="AZ57" s="51">
        <f t="shared" si="58"/>
        <v>7.6963009310311961</v>
      </c>
      <c r="BA57" s="52">
        <f t="shared" si="59"/>
        <v>7.6963009310311961</v>
      </c>
      <c r="BB57" s="14">
        <f t="shared" si="75"/>
        <v>3.7849101057678712E-2</v>
      </c>
      <c r="BC57" s="5">
        <f t="shared" si="76"/>
        <v>1.6104696555849451E-2</v>
      </c>
      <c r="BD57">
        <f t="shared" si="60"/>
        <v>1.6072028178885912E-2</v>
      </c>
      <c r="BE57">
        <f t="shared" si="61"/>
        <v>3.2668376963540596E-5</v>
      </c>
      <c r="BF57" s="50">
        <f>0</f>
        <v>0</v>
      </c>
      <c r="BG57" s="51">
        <f t="shared" si="62"/>
        <v>0.29969969026352145</v>
      </c>
      <c r="BH57" s="52">
        <f t="shared" si="63"/>
        <v>0.29969969026352145</v>
      </c>
      <c r="BI57" s="14">
        <f t="shared" si="77"/>
        <v>9.662817933509671E-4</v>
      </c>
      <c r="BJ57" s="5">
        <f>0 + '1. Strategy Calcs'!V56 + '1. Strategy Calcs'!AC56 + '1. Strategy Calcs'!AJ56 + '1. Strategy Calcs'!AQ56 + '1. Strategy Calcs'!AX56 + '1. Strategy Calcs'!BE56 + BJ56</f>
        <v>0.25615434126742925</v>
      </c>
      <c r="BK57" s="63">
        <f>0</f>
        <v>0</v>
      </c>
    </row>
    <row r="58" spans="2:63" x14ac:dyDescent="0.35">
      <c r="B58" s="14">
        <v>50</v>
      </c>
      <c r="D58" s="5">
        <f>'1. Strategy Calcs'!T58</f>
        <v>0.57791294485588951</v>
      </c>
      <c r="E58">
        <f>'1. Strategy Calcs'!AA58</f>
        <v>6.1428508823842834E-2</v>
      </c>
      <c r="F58">
        <f>'1. Strategy Calcs'!AH58</f>
        <v>1.5357127205960708E-2</v>
      </c>
      <c r="G58">
        <f>'1. Strategy Calcs'!AO58</f>
        <v>9.6992382353435994E-3</v>
      </c>
      <c r="H58">
        <f>'1. Strategy Calcs'!AV58</f>
        <v>5.1729270588499215E-2</v>
      </c>
      <c r="I58">
        <f>'1. Strategy Calcs'!BC58</f>
        <v>1.6072028178885912E-2</v>
      </c>
      <c r="J58" s="6">
        <f>'1. Strategy Calcs'!BJ58</f>
        <v>0.26780088211157865</v>
      </c>
      <c r="K58" s="50">
        <f>'1. Strategy Calcs'!Y58 + '1. Strategy Calcs'!AF58 + '1. Strategy Calcs'!AM58 + '1. Strategy Calcs'!AT58 + '1. Strategy Calcs'!BA58 + '1. Strategy Calcs'!BH58 + '1. Strategy Calcs'!BK58</f>
        <v>113.90831116072543</v>
      </c>
      <c r="L58" s="51">
        <f>K58*'Time Discounting'!C55</f>
        <v>25.98329222265572</v>
      </c>
      <c r="M58" s="52">
        <f t="shared" si="64"/>
        <v>135868.61335781083</v>
      </c>
      <c r="N58" s="5">
        <f>'1. Strategy Calcs'!Z58 + '1. Strategy Calcs'!AG58 + '1. Strategy Calcs'!AN58 + '1. Strategy Calcs'!AU58 + '1. Strategy Calcs'!BB58 + '1. Strategy Calcs'!BI58</f>
        <v>0.69421737456191701</v>
      </c>
      <c r="O58">
        <f>N58*'Time Discounting'!D55</f>
        <v>0.15835589805062872</v>
      </c>
      <c r="P58" s="6">
        <f t="shared" si="65"/>
        <v>21.767765840239175</v>
      </c>
      <c r="R58" s="14">
        <f t="shared" si="39"/>
        <v>1.0000000000000004</v>
      </c>
      <c r="T58" s="5">
        <f t="shared" si="66"/>
        <v>0.57791294485588951</v>
      </c>
      <c r="U58">
        <f t="shared" si="40"/>
        <v>0.56792204365651533</v>
      </c>
      <c r="V58">
        <f t="shared" si="41"/>
        <v>9.99090119937413E-3</v>
      </c>
      <c r="W58" s="50">
        <f>0</f>
        <v>0</v>
      </c>
      <c r="X58" s="51">
        <f t="shared" si="42"/>
        <v>91.656527603058265</v>
      </c>
      <c r="Y58" s="52">
        <f t="shared" si="43"/>
        <v>91.656527603058265</v>
      </c>
      <c r="Z58" s="14">
        <f t="shared" si="67"/>
        <v>0.57791294485588951</v>
      </c>
      <c r="AA58" s="5">
        <f t="shared" si="68"/>
        <v>6.1428508823842834E-2</v>
      </c>
      <c r="AB58">
        <f t="shared" si="44"/>
        <v>6.036653890614712E-2</v>
      </c>
      <c r="AC58">
        <f t="shared" si="45"/>
        <v>1.0619699176957122E-3</v>
      </c>
      <c r="AD58" s="50">
        <f>0</f>
        <v>0</v>
      </c>
      <c r="AE58" s="51">
        <f t="shared" si="46"/>
        <v>9.7425120249404635</v>
      </c>
      <c r="AF58" s="52">
        <f t="shared" si="47"/>
        <v>9.7425120249404635</v>
      </c>
      <c r="AG58" s="14">
        <f t="shared" si="69"/>
        <v>6.1428508823842834E-2</v>
      </c>
      <c r="AH58" s="5">
        <f t="shared" si="70"/>
        <v>1.5357127205960708E-2</v>
      </c>
      <c r="AI58">
        <f t="shared" si="48"/>
        <v>1.509163472653678E-2</v>
      </c>
      <c r="AJ58">
        <f t="shared" si="49"/>
        <v>2.6549247942392806E-4</v>
      </c>
      <c r="AK58" s="50">
        <f>0</f>
        <v>0</v>
      </c>
      <c r="AL58" s="51">
        <f t="shared" si="50"/>
        <v>2.4356280062351159</v>
      </c>
      <c r="AM58" s="52">
        <f t="shared" si="51"/>
        <v>2.4356280062351159</v>
      </c>
      <c r="AN58" s="14">
        <f t="shared" si="71"/>
        <v>1.0749989044172495E-2</v>
      </c>
      <c r="AO58" s="5">
        <f t="shared" si="72"/>
        <v>9.6992382353435994E-3</v>
      </c>
      <c r="AP58">
        <f t="shared" si="52"/>
        <v>9.5315587746548028E-3</v>
      </c>
      <c r="AQ58">
        <f t="shared" si="53"/>
        <v>1.6767946068879655E-4</v>
      </c>
      <c r="AR58" s="50">
        <f>0</f>
        <v>0</v>
      </c>
      <c r="AS58" s="51">
        <f t="shared" si="54"/>
        <v>1.5382913723590195</v>
      </c>
      <c r="AT58" s="52">
        <f t="shared" si="55"/>
        <v>1.5382913723590195</v>
      </c>
      <c r="AU58" s="14">
        <f t="shared" si="73"/>
        <v>5.9165353235595955E-3</v>
      </c>
      <c r="AV58" s="5">
        <f t="shared" si="74"/>
        <v>5.1729270588499215E-2</v>
      </c>
      <c r="AW58">
        <f t="shared" si="56"/>
        <v>5.0834980131492298E-2</v>
      </c>
      <c r="AX58">
        <f t="shared" si="57"/>
        <v>8.9429045700691533E-4</v>
      </c>
      <c r="AY58" s="50">
        <f>0</f>
        <v>0</v>
      </c>
      <c r="AZ58" s="51">
        <f t="shared" si="58"/>
        <v>8.2042206525814407</v>
      </c>
      <c r="BA58" s="52">
        <f t="shared" si="59"/>
        <v>8.2042206525814407</v>
      </c>
      <c r="BB58" s="14">
        <f t="shared" si="75"/>
        <v>3.7245074823719436E-2</v>
      </c>
      <c r="BC58" s="5">
        <f t="shared" si="76"/>
        <v>1.6072028178885912E-2</v>
      </c>
      <c r="BD58">
        <f t="shared" si="60"/>
        <v>1.603593361800177E-2</v>
      </c>
      <c r="BE58">
        <f t="shared" si="61"/>
        <v>3.6094560884141964E-5</v>
      </c>
      <c r="BF58" s="50">
        <f>0</f>
        <v>0</v>
      </c>
      <c r="BG58" s="51">
        <f t="shared" si="62"/>
        <v>0.33113150155111837</v>
      </c>
      <c r="BH58" s="52">
        <f t="shared" si="63"/>
        <v>0.33113150155111837</v>
      </c>
      <c r="BI58" s="14">
        <f t="shared" si="77"/>
        <v>9.6432169073315467E-4</v>
      </c>
      <c r="BJ58" s="5">
        <f>0 + '1. Strategy Calcs'!V57 + '1. Strategy Calcs'!AC57 + '1. Strategy Calcs'!AJ57 + '1. Strategy Calcs'!AQ57 + '1. Strategy Calcs'!AX57 + '1. Strategy Calcs'!BE57 + BJ57</f>
        <v>0.26780088211157865</v>
      </c>
      <c r="BK58" s="63">
        <f>0</f>
        <v>0</v>
      </c>
    </row>
    <row r="59" spans="2:63" x14ac:dyDescent="0.35">
      <c r="B59" s="14">
        <v>51</v>
      </c>
      <c r="D59" s="5">
        <f>'1. Strategy Calcs'!T59</f>
        <v>0.56792204365651533</v>
      </c>
      <c r="E59">
        <f>'1. Strategy Calcs'!AA59</f>
        <v>6.036653890614712E-2</v>
      </c>
      <c r="F59">
        <f>'1. Strategy Calcs'!AH59</f>
        <v>1.509163472653678E-2</v>
      </c>
      <c r="G59">
        <f>'1. Strategy Calcs'!AO59</f>
        <v>9.5315587746548028E-3</v>
      </c>
      <c r="H59">
        <f>'1. Strategy Calcs'!AV59</f>
        <v>5.0834980131492298E-2</v>
      </c>
      <c r="I59">
        <f>'1. Strategy Calcs'!BC59</f>
        <v>1.603593361800177E-2</v>
      </c>
      <c r="J59" s="6">
        <f>'1. Strategy Calcs'!BJ59</f>
        <v>0.2802173101866523</v>
      </c>
      <c r="K59" s="50">
        <f>'1. Strategy Calcs'!Y59 + '1. Strategy Calcs'!AF59 + '1. Strategy Calcs'!AM59 + '1. Strategy Calcs'!AT59 + '1. Strategy Calcs'!BA59 + '1. Strategy Calcs'!BH59 + '1. Strategy Calcs'!BK59</f>
        <v>121.44853237044137</v>
      </c>
      <c r="L59" s="51">
        <f>K59*'Time Discounting'!C56</f>
        <v>26.896378702692029</v>
      </c>
      <c r="M59" s="52">
        <f t="shared" si="64"/>
        <v>135895.50973651352</v>
      </c>
      <c r="N59" s="5">
        <f>'1. Strategy Calcs'!Z59 + '1. Strategy Calcs'!AG59 + '1. Strategy Calcs'!AN59 + '1. Strategy Calcs'!AU59 + '1. Strategy Calcs'!BB59 + '1. Strategy Calcs'!BI59</f>
        <v>0.68223031943553203</v>
      </c>
      <c r="O59">
        <f>N59*'Time Discounting'!D56</f>
        <v>0.15108889894220412</v>
      </c>
      <c r="P59" s="6">
        <f t="shared" si="65"/>
        <v>21.918854739181381</v>
      </c>
      <c r="R59" s="14">
        <f t="shared" si="39"/>
        <v>1.0000000000000004</v>
      </c>
      <c r="T59" s="5">
        <f t="shared" si="66"/>
        <v>0.56792204365651533</v>
      </c>
      <c r="U59">
        <f t="shared" si="40"/>
        <v>0.55727049535112427</v>
      </c>
      <c r="V59">
        <f t="shared" si="41"/>
        <v>1.0651548305391036E-2</v>
      </c>
      <c r="W59" s="50">
        <f>0</f>
        <v>0</v>
      </c>
      <c r="X59" s="51">
        <f t="shared" si="42"/>
        <v>97.717304153657366</v>
      </c>
      <c r="Y59" s="52">
        <f t="shared" si="43"/>
        <v>97.717304153657366</v>
      </c>
      <c r="Z59" s="14">
        <f t="shared" si="67"/>
        <v>0.56792204365651533</v>
      </c>
      <c r="AA59" s="5">
        <f t="shared" si="68"/>
        <v>6.036653890614712E-2</v>
      </c>
      <c r="AB59">
        <f t="shared" si="44"/>
        <v>5.9234346359000656E-2</v>
      </c>
      <c r="AC59">
        <f t="shared" si="45"/>
        <v>1.1321925471464605E-3</v>
      </c>
      <c r="AD59" s="50">
        <f>0</f>
        <v>0</v>
      </c>
      <c r="AE59" s="51">
        <f t="shared" si="46"/>
        <v>10.386734427521629</v>
      </c>
      <c r="AF59" s="52">
        <f t="shared" si="47"/>
        <v>10.386734427521629</v>
      </c>
      <c r="AG59" s="14">
        <f t="shared" si="69"/>
        <v>6.036653890614712E-2</v>
      </c>
      <c r="AH59" s="5">
        <f t="shared" si="70"/>
        <v>1.509163472653678E-2</v>
      </c>
      <c r="AI59">
        <f t="shared" si="48"/>
        <v>1.4808586589750164E-2</v>
      </c>
      <c r="AJ59">
        <f t="shared" si="49"/>
        <v>2.8304813678661512E-4</v>
      </c>
      <c r="AK59" s="50">
        <f>0</f>
        <v>0</v>
      </c>
      <c r="AL59" s="51">
        <f t="shared" si="50"/>
        <v>2.5966836068804073</v>
      </c>
      <c r="AM59" s="52">
        <f t="shared" si="51"/>
        <v>2.5966836068804073</v>
      </c>
      <c r="AN59" s="14">
        <f t="shared" si="71"/>
        <v>1.0564144308575746E-2</v>
      </c>
      <c r="AO59" s="5">
        <f t="shared" si="72"/>
        <v>9.5315587746548028E-3</v>
      </c>
      <c r="AP59">
        <f t="shared" si="52"/>
        <v>9.3527915303685191E-3</v>
      </c>
      <c r="AQ59">
        <f t="shared" si="53"/>
        <v>1.7876724428628313E-4</v>
      </c>
      <c r="AR59" s="50">
        <f>0</f>
        <v>0</v>
      </c>
      <c r="AS59" s="51">
        <f t="shared" si="54"/>
        <v>1.6400106990823615</v>
      </c>
      <c r="AT59" s="52">
        <f t="shared" si="55"/>
        <v>1.6400106990823615</v>
      </c>
      <c r="AU59" s="14">
        <f t="shared" si="73"/>
        <v>5.8142508525394297E-3</v>
      </c>
      <c r="AV59" s="5">
        <f t="shared" si="74"/>
        <v>5.0834980131492298E-2</v>
      </c>
      <c r="AW59">
        <f t="shared" si="56"/>
        <v>4.9881554828632116E-2</v>
      </c>
      <c r="AX59">
        <f t="shared" si="57"/>
        <v>9.5342530286017697E-4</v>
      </c>
      <c r="AY59" s="50">
        <f>0</f>
        <v>0</v>
      </c>
      <c r="AZ59" s="51">
        <f t="shared" si="58"/>
        <v>8.7467237284392638</v>
      </c>
      <c r="BA59" s="52">
        <f t="shared" si="59"/>
        <v>8.7467237284392638</v>
      </c>
      <c r="BB59" s="14">
        <f t="shared" si="75"/>
        <v>3.6601185694674451E-2</v>
      </c>
      <c r="BC59" s="5">
        <f t="shared" si="76"/>
        <v>1.603593361800177E-2</v>
      </c>
      <c r="BD59">
        <f t="shared" si="60"/>
        <v>1.5996575022529748E-2</v>
      </c>
      <c r="BE59">
        <f t="shared" si="61"/>
        <v>3.9358595472023583E-5</v>
      </c>
      <c r="BF59" s="50">
        <f>0</f>
        <v>0</v>
      </c>
      <c r="BG59" s="51">
        <f t="shared" si="62"/>
        <v>0.36107575486034438</v>
      </c>
      <c r="BH59" s="52">
        <f t="shared" si="63"/>
        <v>0.36107575486034438</v>
      </c>
      <c r="BI59" s="14">
        <f t="shared" si="77"/>
        <v>9.6215601708010614E-4</v>
      </c>
      <c r="BJ59" s="5">
        <f>0 + '1. Strategy Calcs'!V58 + '1. Strategy Calcs'!AC58 + '1. Strategy Calcs'!AJ58 + '1. Strategy Calcs'!AQ58 + '1. Strategy Calcs'!AX58 + '1. Strategy Calcs'!BE58 + BJ58</f>
        <v>0.2802173101866523</v>
      </c>
      <c r="BK59" s="63">
        <f>0</f>
        <v>0</v>
      </c>
    </row>
    <row r="60" spans="2:63" x14ac:dyDescent="0.35">
      <c r="B60" s="14">
        <v>52</v>
      </c>
      <c r="D60" s="5">
        <f>'1. Strategy Calcs'!T60</f>
        <v>0.55727049535112427</v>
      </c>
      <c r="E60">
        <f>'1. Strategy Calcs'!AA60</f>
        <v>5.9234346359000656E-2</v>
      </c>
      <c r="F60">
        <f>'1. Strategy Calcs'!AH60</f>
        <v>1.4808586589750164E-2</v>
      </c>
      <c r="G60">
        <f>'1. Strategy Calcs'!AO60</f>
        <v>9.3527915303685191E-3</v>
      </c>
      <c r="H60">
        <f>'1. Strategy Calcs'!AV60</f>
        <v>4.9881554828632116E-2</v>
      </c>
      <c r="I60">
        <f>'1. Strategy Calcs'!BC60</f>
        <v>1.5996575022529748E-2</v>
      </c>
      <c r="J60" s="6">
        <f>'1. Strategy Calcs'!BJ60</f>
        <v>0.29345565031859489</v>
      </c>
      <c r="K60" s="50">
        <f>'1. Strategy Calcs'!Y60 + '1. Strategy Calcs'!AF60 + '1. Strategy Calcs'!AM60 + '1. Strategy Calcs'!AT60 + '1. Strategy Calcs'!BA60 + '1. Strategy Calcs'!BH60 + '1. Strategy Calcs'!BK60</f>
        <v>129.6854694621542</v>
      </c>
      <c r="L60" s="51">
        <f>K60*'Time Discounting'!C57</f>
        <v>27.884035941347264</v>
      </c>
      <c r="M60" s="52">
        <f t="shared" si="64"/>
        <v>135923.39377245487</v>
      </c>
      <c r="N60" s="5">
        <f>'1. Strategy Calcs'!Z60 + '1. Strategy Calcs'!AG60 + '1. Strategy Calcs'!AN60 + '1. Strategy Calcs'!AU60 + '1. Strategy Calcs'!BB60 + '1. Strategy Calcs'!BI60</f>
        <v>0.66945056913444168</v>
      </c>
      <c r="O60">
        <f>N60*'Time Discounting'!D57</f>
        <v>0.14394044150141042</v>
      </c>
      <c r="P60" s="6">
        <f t="shared" si="65"/>
        <v>22.062795180682791</v>
      </c>
      <c r="R60" s="14">
        <f t="shared" si="39"/>
        <v>1.0000000000000002</v>
      </c>
      <c r="T60" s="5">
        <f t="shared" si="66"/>
        <v>0.55727049535112427</v>
      </c>
      <c r="U60">
        <f t="shared" si="40"/>
        <v>0.54588880275407292</v>
      </c>
      <c r="V60">
        <f t="shared" si="41"/>
        <v>1.138169259705136E-2</v>
      </c>
      <c r="W60" s="50">
        <f>0</f>
        <v>0</v>
      </c>
      <c r="X60" s="51">
        <f t="shared" si="42"/>
        <v>104.41564788534917</v>
      </c>
      <c r="Y60" s="52">
        <f t="shared" si="43"/>
        <v>104.41564788534917</v>
      </c>
      <c r="Z60" s="14">
        <f t="shared" si="67"/>
        <v>0.55727049535112427</v>
      </c>
      <c r="AA60" s="5">
        <f t="shared" si="68"/>
        <v>5.9234346359000656E-2</v>
      </c>
      <c r="AB60">
        <f t="shared" si="44"/>
        <v>5.8024544068964429E-2</v>
      </c>
      <c r="AC60">
        <f t="shared" si="45"/>
        <v>1.2098022900362292E-3</v>
      </c>
      <c r="AD60" s="50">
        <f>0</f>
        <v>0</v>
      </c>
      <c r="AE60" s="51">
        <f t="shared" si="46"/>
        <v>11.098726208792367</v>
      </c>
      <c r="AF60" s="52">
        <f t="shared" si="47"/>
        <v>11.098726208792367</v>
      </c>
      <c r="AG60" s="14">
        <f t="shared" si="69"/>
        <v>5.9234346359000656E-2</v>
      </c>
      <c r="AH60" s="5">
        <f t="shared" si="70"/>
        <v>1.4808586589750164E-2</v>
      </c>
      <c r="AI60">
        <f t="shared" si="48"/>
        <v>1.4506136017241107E-2</v>
      </c>
      <c r="AJ60">
        <f t="shared" si="49"/>
        <v>3.0245057250905731E-4</v>
      </c>
      <c r="AK60" s="50">
        <f>0</f>
        <v>0</v>
      </c>
      <c r="AL60" s="51">
        <f t="shared" si="50"/>
        <v>2.7746815521980919</v>
      </c>
      <c r="AM60" s="52">
        <f t="shared" si="51"/>
        <v>2.7746815521980919</v>
      </c>
      <c r="AN60" s="14">
        <f t="shared" si="71"/>
        <v>1.0366010612825114E-2</v>
      </c>
      <c r="AO60" s="5">
        <f t="shared" si="72"/>
        <v>9.3527915303685191E-3</v>
      </c>
      <c r="AP60">
        <f t="shared" si="52"/>
        <v>9.1617701161522732E-3</v>
      </c>
      <c r="AQ60">
        <f t="shared" si="53"/>
        <v>1.910214142162466E-4</v>
      </c>
      <c r="AR60" s="50">
        <f>0</f>
        <v>0</v>
      </c>
      <c r="AS60" s="51">
        <f t="shared" si="54"/>
        <v>1.7524304540198463</v>
      </c>
      <c r="AT60" s="52">
        <f t="shared" si="55"/>
        <v>1.7524304540198463</v>
      </c>
      <c r="AU60" s="14">
        <f t="shared" si="73"/>
        <v>5.7052028335247964E-3</v>
      </c>
      <c r="AV60" s="5">
        <f t="shared" si="74"/>
        <v>4.9881554828632116E-2</v>
      </c>
      <c r="AW60">
        <f t="shared" si="56"/>
        <v>4.8862773952812133E-2</v>
      </c>
      <c r="AX60">
        <f t="shared" si="57"/>
        <v>1.0187808758199822E-3</v>
      </c>
      <c r="AY60" s="50">
        <f>0</f>
        <v>0</v>
      </c>
      <c r="AZ60" s="51">
        <f t="shared" si="58"/>
        <v>9.3462957547725178</v>
      </c>
      <c r="BA60" s="52">
        <f t="shared" si="59"/>
        <v>9.3462957547725178</v>
      </c>
      <c r="BB60" s="14">
        <f t="shared" si="75"/>
        <v>3.591471947661512E-2</v>
      </c>
      <c r="BC60" s="5">
        <f t="shared" si="76"/>
        <v>1.5996575022529748E-2</v>
      </c>
      <c r="BD60">
        <f t="shared" si="60"/>
        <v>1.5964125970096547E-2</v>
      </c>
      <c r="BE60">
        <f t="shared" si="61"/>
        <v>3.244905243320158E-5</v>
      </c>
      <c r="BF60" s="50">
        <f>0</f>
        <v>0</v>
      </c>
      <c r="BG60" s="51">
        <f t="shared" si="62"/>
        <v>0.29768760702219127</v>
      </c>
      <c r="BH60" s="52">
        <f t="shared" si="63"/>
        <v>0.29768760702219127</v>
      </c>
      <c r="BI60" s="14">
        <f t="shared" si="77"/>
        <v>9.5979450135178488E-4</v>
      </c>
      <c r="BJ60" s="5">
        <f>0 + '1. Strategy Calcs'!V59 + '1. Strategy Calcs'!AC59 + '1. Strategy Calcs'!AJ59 + '1. Strategy Calcs'!AQ59 + '1. Strategy Calcs'!AX59 + '1. Strategy Calcs'!BE59 + BJ59</f>
        <v>0.29345565031859489</v>
      </c>
      <c r="BK60" s="63">
        <f>0</f>
        <v>0</v>
      </c>
    </row>
    <row r="61" spans="2:63" x14ac:dyDescent="0.35">
      <c r="B61" s="14">
        <v>53</v>
      </c>
      <c r="D61" s="5">
        <f>'1. Strategy Calcs'!T61</f>
        <v>0.54588880275407292</v>
      </c>
      <c r="E61">
        <f>'1. Strategy Calcs'!AA61</f>
        <v>5.8024544068964429E-2</v>
      </c>
      <c r="F61">
        <f>'1. Strategy Calcs'!AH61</f>
        <v>1.4506136017241107E-2</v>
      </c>
      <c r="G61">
        <f>'1. Strategy Calcs'!AO61</f>
        <v>9.1617701161522732E-3</v>
      </c>
      <c r="H61">
        <f>'1. Strategy Calcs'!AV61</f>
        <v>4.8862773952812133E-2</v>
      </c>
      <c r="I61">
        <f>'1. Strategy Calcs'!BC61</f>
        <v>1.5964125970096547E-2</v>
      </c>
      <c r="J61" s="6">
        <f>'1. Strategy Calcs'!BJ61</f>
        <v>0.30759184712066096</v>
      </c>
      <c r="K61" s="50">
        <f>'1. Strategy Calcs'!Y61 + '1. Strategy Calcs'!AF61 + '1. Strategy Calcs'!AM61 + '1. Strategy Calcs'!AT61 + '1. Strategy Calcs'!BA61 + '1. Strategy Calcs'!BH61 + '1. Strategy Calcs'!BK61</f>
        <v>139.24282642755827</v>
      </c>
      <c r="L61" s="51">
        <f>K61*'Time Discounting'!C58</f>
        <v>29.06698060728975</v>
      </c>
      <c r="M61" s="52">
        <f t="shared" si="64"/>
        <v>135952.46075306216</v>
      </c>
      <c r="N61" s="5">
        <f>'1. Strategy Calcs'!Z61 + '1. Strategy Calcs'!AG61 + '1. Strategy Calcs'!AN61 + '1. Strategy Calcs'!AU61 + '1. Strategy Calcs'!BB61 + '1. Strategy Calcs'!BI61</f>
        <v>0.65579536661018956</v>
      </c>
      <c r="O61">
        <f>N61*'Time Discounting'!D58</f>
        <v>0.136897473950128</v>
      </c>
      <c r="P61" s="6">
        <f t="shared" si="65"/>
        <v>22.199692654632919</v>
      </c>
      <c r="R61" s="14">
        <f t="shared" si="39"/>
        <v>1.0000000000000004</v>
      </c>
      <c r="T61" s="5">
        <f t="shared" si="66"/>
        <v>0.54588880275407292</v>
      </c>
      <c r="U61">
        <f t="shared" si="40"/>
        <v>0.53366913649330328</v>
      </c>
      <c r="V61">
        <f t="shared" si="41"/>
        <v>1.2219666260769639E-2</v>
      </c>
      <c r="W61" s="50">
        <f>0</f>
        <v>0</v>
      </c>
      <c r="X61" s="51">
        <f t="shared" si="42"/>
        <v>112.10321827630067</v>
      </c>
      <c r="Y61" s="52">
        <f t="shared" si="43"/>
        <v>112.10321827630067</v>
      </c>
      <c r="Z61" s="14">
        <f t="shared" si="67"/>
        <v>0.54588880275407292</v>
      </c>
      <c r="AA61" s="5">
        <f t="shared" si="68"/>
        <v>5.8024544068964429E-2</v>
      </c>
      <c r="AB61">
        <f t="shared" si="44"/>
        <v>5.6725670452435067E-2</v>
      </c>
      <c r="AC61">
        <f t="shared" si="45"/>
        <v>1.2988736165293611E-3</v>
      </c>
      <c r="AD61" s="50">
        <f>0</f>
        <v>0</v>
      </c>
      <c r="AE61" s="51">
        <f t="shared" si="46"/>
        <v>11.915866558040358</v>
      </c>
      <c r="AF61" s="52">
        <f t="shared" si="47"/>
        <v>11.915866558040358</v>
      </c>
      <c r="AG61" s="14">
        <f t="shared" si="69"/>
        <v>5.8024544068964429E-2</v>
      </c>
      <c r="AH61" s="5">
        <f t="shared" si="70"/>
        <v>1.4506136017241107E-2</v>
      </c>
      <c r="AI61">
        <f t="shared" si="48"/>
        <v>1.4181417613108767E-2</v>
      </c>
      <c r="AJ61">
        <f t="shared" si="49"/>
        <v>3.2471840413234027E-4</v>
      </c>
      <c r="AK61" s="50">
        <f>0</f>
        <v>0</v>
      </c>
      <c r="AL61" s="51">
        <f t="shared" si="50"/>
        <v>2.9789666395100896</v>
      </c>
      <c r="AM61" s="52">
        <f t="shared" si="51"/>
        <v>2.9789666395100896</v>
      </c>
      <c r="AN61" s="14">
        <f t="shared" si="71"/>
        <v>1.0154295212068775E-2</v>
      </c>
      <c r="AO61" s="5">
        <f t="shared" si="72"/>
        <v>9.1617701161522732E-3</v>
      </c>
      <c r="AP61">
        <f t="shared" si="52"/>
        <v>8.9566848082792156E-3</v>
      </c>
      <c r="AQ61">
        <f t="shared" si="53"/>
        <v>2.0508530787305689E-4</v>
      </c>
      <c r="AR61" s="50">
        <f>0</f>
        <v>0</v>
      </c>
      <c r="AS61" s="51">
        <f t="shared" si="54"/>
        <v>1.881452614427424</v>
      </c>
      <c r="AT61" s="52">
        <f t="shared" si="55"/>
        <v>1.881452614427424</v>
      </c>
      <c r="AU61" s="14">
        <f t="shared" si="73"/>
        <v>5.5886797708528868E-3</v>
      </c>
      <c r="AV61" s="5">
        <f t="shared" si="74"/>
        <v>4.8862773952812133E-2</v>
      </c>
      <c r="AW61">
        <f t="shared" si="56"/>
        <v>4.7768985644155826E-2</v>
      </c>
      <c r="AX61">
        <f t="shared" si="57"/>
        <v>1.0937883086563037E-3</v>
      </c>
      <c r="AY61" s="50">
        <f>0</f>
        <v>0</v>
      </c>
      <c r="AZ61" s="51">
        <f t="shared" si="58"/>
        <v>10.034413943612931</v>
      </c>
      <c r="BA61" s="52">
        <f t="shared" si="59"/>
        <v>10.034413943612931</v>
      </c>
      <c r="BB61" s="14">
        <f t="shared" si="75"/>
        <v>3.5181197246024733E-2</v>
      </c>
      <c r="BC61" s="5">
        <f t="shared" si="76"/>
        <v>1.5964125970096547E-2</v>
      </c>
      <c r="BD61">
        <f t="shared" si="60"/>
        <v>1.5928273735992905E-2</v>
      </c>
      <c r="BE61">
        <f t="shared" si="61"/>
        <v>3.5852234103642811E-5</v>
      </c>
      <c r="BF61" s="50">
        <f>0</f>
        <v>0</v>
      </c>
      <c r="BG61" s="51">
        <f t="shared" si="62"/>
        <v>0.32890839566681912</v>
      </c>
      <c r="BH61" s="52">
        <f t="shared" si="63"/>
        <v>0.32890839566681912</v>
      </c>
      <c r="BI61" s="14">
        <f t="shared" si="77"/>
        <v>9.5784755820579285E-4</v>
      </c>
      <c r="BJ61" s="5">
        <f>0 + '1. Strategy Calcs'!V60 + '1. Strategy Calcs'!AC60 + '1. Strategy Calcs'!AJ60 + '1. Strategy Calcs'!AQ60 + '1. Strategy Calcs'!AX60 + '1. Strategy Calcs'!BE60 + BJ60</f>
        <v>0.30759184712066096</v>
      </c>
      <c r="BK61" s="63">
        <f>0</f>
        <v>0</v>
      </c>
    </row>
    <row r="62" spans="2:63" x14ac:dyDescent="0.35">
      <c r="B62" s="14">
        <v>54</v>
      </c>
      <c r="D62" s="5">
        <f>'1. Strategy Calcs'!T62</f>
        <v>0.53366913649330328</v>
      </c>
      <c r="E62">
        <f>'1. Strategy Calcs'!AA62</f>
        <v>5.6725670452435067E-2</v>
      </c>
      <c r="F62">
        <f>'1. Strategy Calcs'!AH62</f>
        <v>1.4181417613108767E-2</v>
      </c>
      <c r="G62">
        <f>'1. Strategy Calcs'!AO62</f>
        <v>8.9566848082792156E-3</v>
      </c>
      <c r="H62">
        <f>'1. Strategy Calcs'!AV62</f>
        <v>4.7768985644155826E-2</v>
      </c>
      <c r="I62">
        <f>'1. Strategy Calcs'!BC62</f>
        <v>1.5928273735992905E-2</v>
      </c>
      <c r="J62" s="6">
        <f>'1. Strategy Calcs'!BJ62</f>
        <v>0.32276983125272529</v>
      </c>
      <c r="K62" s="50">
        <f>'1. Strategy Calcs'!Y62 + '1. Strategy Calcs'!AF62 + '1. Strategy Calcs'!AM62 + '1. Strategy Calcs'!AT62 + '1. Strategy Calcs'!BA62 + '1. Strategy Calcs'!BH62 + '1. Strategy Calcs'!BK62</f>
        <v>150.07777031161217</v>
      </c>
      <c r="L62" s="51">
        <f>K62*'Time Discounting'!C59</f>
        <v>30.41628961317441</v>
      </c>
      <c r="M62" s="52">
        <f t="shared" si="64"/>
        <v>135982.87704267533</v>
      </c>
      <c r="N62" s="5">
        <f>'1. Strategy Calcs'!Z62 + '1. Strategy Calcs'!AG62 + '1. Strategy Calcs'!AN62 + '1. Strategy Calcs'!AU62 + '1. Strategy Calcs'!BB62 + '1. Strategy Calcs'!BI62</f>
        <v>0.64113474309591656</v>
      </c>
      <c r="O62">
        <f>N62*'Time Discounting'!D59</f>
        <v>0.12993889759011631</v>
      </c>
      <c r="P62" s="6">
        <f t="shared" si="65"/>
        <v>22.329631552223034</v>
      </c>
      <c r="R62" s="14">
        <f t="shared" si="39"/>
        <v>1.0000000000000004</v>
      </c>
      <c r="T62" s="5">
        <f t="shared" si="66"/>
        <v>0.53366913649330328</v>
      </c>
      <c r="U62">
        <f t="shared" si="40"/>
        <v>0.52049898270835326</v>
      </c>
      <c r="V62">
        <f t="shared" si="41"/>
        <v>1.317015378494998E-2</v>
      </c>
      <c r="W62" s="50">
        <f>0</f>
        <v>0</v>
      </c>
      <c r="X62" s="51">
        <f t="shared" si="42"/>
        <v>120.82299082313112</v>
      </c>
      <c r="Y62" s="52">
        <f t="shared" si="43"/>
        <v>120.82299082313112</v>
      </c>
      <c r="Z62" s="14">
        <f t="shared" si="67"/>
        <v>0.53366913649330328</v>
      </c>
      <c r="AA62" s="5">
        <f t="shared" si="68"/>
        <v>5.6725670452435067E-2</v>
      </c>
      <c r="AB62">
        <f t="shared" si="44"/>
        <v>5.5325765994174644E-2</v>
      </c>
      <c r="AC62">
        <f t="shared" si="45"/>
        <v>1.3999044582604183E-3</v>
      </c>
      <c r="AD62" s="50">
        <f>0</f>
        <v>0</v>
      </c>
      <c r="AE62" s="51">
        <f t="shared" si="46"/>
        <v>12.842723500081078</v>
      </c>
      <c r="AF62" s="52">
        <f t="shared" si="47"/>
        <v>12.842723500081078</v>
      </c>
      <c r="AG62" s="14">
        <f t="shared" si="69"/>
        <v>5.6725670452435067E-2</v>
      </c>
      <c r="AH62" s="5">
        <f t="shared" si="70"/>
        <v>1.4181417613108767E-2</v>
      </c>
      <c r="AI62">
        <f t="shared" si="48"/>
        <v>1.3831441498543661E-2</v>
      </c>
      <c r="AJ62">
        <f t="shared" si="49"/>
        <v>3.4997611456510458E-4</v>
      </c>
      <c r="AK62" s="50">
        <f>0</f>
        <v>0</v>
      </c>
      <c r="AL62" s="51">
        <f t="shared" si="50"/>
        <v>3.2106808750202696</v>
      </c>
      <c r="AM62" s="52">
        <f t="shared" si="51"/>
        <v>3.2106808750202696</v>
      </c>
      <c r="AN62" s="14">
        <f t="shared" si="71"/>
        <v>9.9269923291761368E-3</v>
      </c>
      <c r="AO62" s="5">
        <f t="shared" si="72"/>
        <v>8.9566848082792156E-3</v>
      </c>
      <c r="AP62">
        <f t="shared" si="52"/>
        <v>8.7356472622380967E-3</v>
      </c>
      <c r="AQ62">
        <f t="shared" si="53"/>
        <v>2.2103754604111856E-4</v>
      </c>
      <c r="AR62" s="50">
        <f>0</f>
        <v>0</v>
      </c>
      <c r="AS62" s="51">
        <f t="shared" si="54"/>
        <v>2.0277984473812216</v>
      </c>
      <c r="AT62" s="52">
        <f t="shared" si="55"/>
        <v>2.0277984473812216</v>
      </c>
      <c r="AU62" s="14">
        <f t="shared" si="73"/>
        <v>5.4635777330503217E-3</v>
      </c>
      <c r="AV62" s="5">
        <f t="shared" si="74"/>
        <v>4.7768985644155826E-2</v>
      </c>
      <c r="AW62">
        <f t="shared" si="56"/>
        <v>4.6590118731936525E-2</v>
      </c>
      <c r="AX62">
        <f t="shared" si="57"/>
        <v>1.1788669122192992E-3</v>
      </c>
      <c r="AY62" s="50">
        <f>0</f>
        <v>0</v>
      </c>
      <c r="AZ62" s="51">
        <f t="shared" si="58"/>
        <v>10.81492505269985</v>
      </c>
      <c r="BA62" s="52">
        <f t="shared" si="59"/>
        <v>10.81492505269985</v>
      </c>
      <c r="BB62" s="14">
        <f t="shared" si="75"/>
        <v>3.4393669663792197E-2</v>
      </c>
      <c r="BC62" s="5">
        <f t="shared" si="76"/>
        <v>1.5928273735992905E-2</v>
      </c>
      <c r="BD62">
        <f t="shared" si="60"/>
        <v>1.5889179380935283E-2</v>
      </c>
      <c r="BE62">
        <f t="shared" si="61"/>
        <v>3.9094355057621022E-5</v>
      </c>
      <c r="BF62" s="50">
        <f>0</f>
        <v>0</v>
      </c>
      <c r="BG62" s="51">
        <f t="shared" si="62"/>
        <v>0.35865161329861528</v>
      </c>
      <c r="BH62" s="52">
        <f t="shared" si="63"/>
        <v>0.35865161329861528</v>
      </c>
      <c r="BI62" s="14">
        <f t="shared" si="77"/>
        <v>9.5569642415957424E-4</v>
      </c>
      <c r="BJ62" s="5">
        <f>0 + '1. Strategy Calcs'!V61 + '1. Strategy Calcs'!AC61 + '1. Strategy Calcs'!AJ61 + '1. Strategy Calcs'!AQ61 + '1. Strategy Calcs'!AX61 + '1. Strategy Calcs'!BE61 + BJ61</f>
        <v>0.32276983125272529</v>
      </c>
      <c r="BK62" s="63">
        <f>0</f>
        <v>0</v>
      </c>
    </row>
    <row r="63" spans="2:63" x14ac:dyDescent="0.35">
      <c r="B63" s="14">
        <v>55</v>
      </c>
      <c r="D63" s="5">
        <f>'1. Strategy Calcs'!T63</f>
        <v>0.52049898270835326</v>
      </c>
      <c r="E63">
        <f>'1. Strategy Calcs'!AA63</f>
        <v>5.5325765994174644E-2</v>
      </c>
      <c r="F63">
        <f>'1. Strategy Calcs'!AH63</f>
        <v>1.3831441498543661E-2</v>
      </c>
      <c r="G63">
        <f>'1. Strategy Calcs'!AO63</f>
        <v>8.7356472622380967E-3</v>
      </c>
      <c r="H63">
        <f>'1. Strategy Calcs'!AV63</f>
        <v>4.6590118731936525E-2</v>
      </c>
      <c r="I63">
        <f>'1. Strategy Calcs'!BC63</f>
        <v>1.5889179380935283E-2</v>
      </c>
      <c r="J63" s="6">
        <f>'1. Strategy Calcs'!BJ63</f>
        <v>0.33912886442381884</v>
      </c>
      <c r="K63" s="50">
        <f>'1. Strategy Calcs'!Y63 + '1. Strategy Calcs'!AF63 + '1. Strategy Calcs'!AM63 + '1. Strategy Calcs'!AT63 + '1. Strategy Calcs'!BA63 + '1. Strategy Calcs'!BH63 + '1. Strategy Calcs'!BK63</f>
        <v>161.95048195349321</v>
      </c>
      <c r="L63" s="51">
        <f>K63*'Time Discounting'!C60</f>
        <v>31.866538144796486</v>
      </c>
      <c r="M63" s="52">
        <f t="shared" si="64"/>
        <v>136014.74358082013</v>
      </c>
      <c r="N63" s="5">
        <f>'1. Strategy Calcs'!Z63 + '1. Strategy Calcs'!AG63 + '1. Strategy Calcs'!AN63 + '1. Strategy Calcs'!AU63 + '1. Strategy Calcs'!BB63 + '1. Strategy Calcs'!BI63</f>
        <v>0.62533373883132404</v>
      </c>
      <c r="O63">
        <f>N63*'Time Discounting'!D60</f>
        <v>0.12304515059991626</v>
      </c>
      <c r="P63" s="6">
        <f t="shared" si="65"/>
        <v>22.452676702822952</v>
      </c>
      <c r="R63" s="14">
        <f t="shared" si="39"/>
        <v>1.0000000000000002</v>
      </c>
      <c r="T63" s="5">
        <f t="shared" si="66"/>
        <v>0.52049898270835326</v>
      </c>
      <c r="U63">
        <f t="shared" si="40"/>
        <v>0.50627889845086271</v>
      </c>
      <c r="V63">
        <f t="shared" si="41"/>
        <v>1.422008425749049E-2</v>
      </c>
      <c r="W63" s="50">
        <f>0</f>
        <v>0</v>
      </c>
      <c r="X63" s="51">
        <f t="shared" si="42"/>
        <v>130.45505297821776</v>
      </c>
      <c r="Y63" s="52">
        <f t="shared" si="43"/>
        <v>130.45505297821776</v>
      </c>
      <c r="Z63" s="14">
        <f t="shared" si="67"/>
        <v>0.52049898270835326</v>
      </c>
      <c r="AA63" s="5">
        <f t="shared" si="68"/>
        <v>5.5325765994174644E-2</v>
      </c>
      <c r="AB63">
        <f t="shared" si="44"/>
        <v>5.3814260534637191E-2</v>
      </c>
      <c r="AC63">
        <f t="shared" si="45"/>
        <v>1.5115054595374515E-3</v>
      </c>
      <c r="AD63" s="50">
        <f>0</f>
        <v>0</v>
      </c>
      <c r="AE63" s="51">
        <f t="shared" si="46"/>
        <v>13.86655108579658</v>
      </c>
      <c r="AF63" s="52">
        <f t="shared" si="47"/>
        <v>13.86655108579658</v>
      </c>
      <c r="AG63" s="14">
        <f t="shared" si="69"/>
        <v>5.5325765994174644E-2</v>
      </c>
      <c r="AH63" s="5">
        <f t="shared" si="70"/>
        <v>1.3831441498543661E-2</v>
      </c>
      <c r="AI63">
        <f t="shared" si="48"/>
        <v>1.3453565133659298E-2</v>
      </c>
      <c r="AJ63">
        <f t="shared" si="49"/>
        <v>3.7787636488436288E-4</v>
      </c>
      <c r="AK63" s="50">
        <f>0</f>
        <v>0</v>
      </c>
      <c r="AL63" s="51">
        <f t="shared" si="50"/>
        <v>3.466637771449145</v>
      </c>
      <c r="AM63" s="52">
        <f t="shared" si="51"/>
        <v>3.466637771449145</v>
      </c>
      <c r="AN63" s="14">
        <f t="shared" si="71"/>
        <v>9.6820090489805628E-3</v>
      </c>
      <c r="AO63" s="5">
        <f t="shared" si="72"/>
        <v>8.7356472622380967E-3</v>
      </c>
      <c r="AP63">
        <f t="shared" si="52"/>
        <v>8.4969885054690247E-3</v>
      </c>
      <c r="AQ63">
        <f t="shared" si="53"/>
        <v>2.3865875676907115E-4</v>
      </c>
      <c r="AR63" s="50">
        <f>0</f>
        <v>0</v>
      </c>
      <c r="AS63" s="51">
        <f t="shared" si="54"/>
        <v>2.1894554345994588</v>
      </c>
      <c r="AT63" s="52">
        <f t="shared" si="55"/>
        <v>2.1894554345994588</v>
      </c>
      <c r="AU63" s="14">
        <f t="shared" si="73"/>
        <v>5.3287448299652387E-3</v>
      </c>
      <c r="AV63" s="5">
        <f t="shared" si="74"/>
        <v>4.6590118731936525E-2</v>
      </c>
      <c r="AW63">
        <f t="shared" si="56"/>
        <v>4.5317272029168146E-2</v>
      </c>
      <c r="AX63">
        <f t="shared" si="57"/>
        <v>1.2728467027683797E-3</v>
      </c>
      <c r="AY63" s="50">
        <f>0</f>
        <v>0</v>
      </c>
      <c r="AZ63" s="51">
        <f t="shared" si="58"/>
        <v>11.677095651197115</v>
      </c>
      <c r="BA63" s="52">
        <f t="shared" si="59"/>
        <v>11.677095651197115</v>
      </c>
      <c r="BB63" s="14">
        <f t="shared" si="75"/>
        <v>3.3544885486994296E-2</v>
      </c>
      <c r="BC63" s="5">
        <f t="shared" si="76"/>
        <v>1.5889179380935283E-2</v>
      </c>
      <c r="BD63">
        <f t="shared" si="60"/>
        <v>1.5856948180561055E-2</v>
      </c>
      <c r="BE63">
        <f t="shared" si="61"/>
        <v>3.2231200374227265E-5</v>
      </c>
      <c r="BF63" s="50">
        <f>0</f>
        <v>0</v>
      </c>
      <c r="BG63" s="51">
        <f t="shared" si="62"/>
        <v>0.2956890322331609</v>
      </c>
      <c r="BH63" s="52">
        <f t="shared" si="63"/>
        <v>0.2956890322331609</v>
      </c>
      <c r="BI63" s="14">
        <f t="shared" si="77"/>
        <v>9.5335076285611698E-4</v>
      </c>
      <c r="BJ63" s="5">
        <f>0 + '1. Strategy Calcs'!V62 + '1. Strategy Calcs'!AC62 + '1. Strategy Calcs'!AJ62 + '1. Strategy Calcs'!AQ62 + '1. Strategy Calcs'!AX62 + '1. Strategy Calcs'!BE62 + BJ62</f>
        <v>0.33912886442381884</v>
      </c>
      <c r="BK63" s="63">
        <f>0</f>
        <v>0</v>
      </c>
    </row>
    <row r="64" spans="2:63" x14ac:dyDescent="0.35">
      <c r="B64" s="14">
        <v>56</v>
      </c>
      <c r="D64" s="5">
        <f>'1. Strategy Calcs'!T64</f>
        <v>0.50627889845086271</v>
      </c>
      <c r="E64">
        <f>'1. Strategy Calcs'!AA64</f>
        <v>5.3814260534637191E-2</v>
      </c>
      <c r="F64">
        <f>'1. Strategy Calcs'!AH64</f>
        <v>1.3453565133659298E-2</v>
      </c>
      <c r="G64">
        <f>'1. Strategy Calcs'!AO64</f>
        <v>8.4969885054690247E-3</v>
      </c>
      <c r="H64">
        <f>'1. Strategy Calcs'!AV64</f>
        <v>4.5317272029168146E-2</v>
      </c>
      <c r="I64">
        <f>'1. Strategy Calcs'!BC64</f>
        <v>1.5856948180561055E-2</v>
      </c>
      <c r="J64" s="6">
        <f>'1. Strategy Calcs'!BJ64</f>
        <v>0.35678206716564281</v>
      </c>
      <c r="K64" s="50">
        <f>'1. Strategy Calcs'!Y64 + '1. Strategy Calcs'!AF64 + '1. Strategy Calcs'!AM64 + '1. Strategy Calcs'!AT64 + '1. Strategy Calcs'!BA64 + '1. Strategy Calcs'!BH64 + '1. Strategy Calcs'!BK64</f>
        <v>174.71043344464636</v>
      </c>
      <c r="L64" s="51">
        <f>K64*'Time Discounting'!C61</f>
        <v>33.375997766352903</v>
      </c>
      <c r="M64" s="52">
        <f t="shared" si="64"/>
        <v>136048.11957858648</v>
      </c>
      <c r="N64" s="5">
        <f>'1. Strategy Calcs'!Z64 + '1. Strategy Calcs'!AG64 + '1. Strategy Calcs'!AN64 + '1. Strategy Calcs'!AU64 + '1. Strategy Calcs'!BB64 + '1. Strategy Calcs'!BI64</f>
        <v>0.6082736703192323</v>
      </c>
      <c r="O64">
        <f>N64*'Time Discounting'!D61</f>
        <v>0.11620222250972891</v>
      </c>
      <c r="P64" s="6">
        <f t="shared" si="65"/>
        <v>22.56887892533268</v>
      </c>
      <c r="R64" s="14">
        <f t="shared" si="39"/>
        <v>1.0000000000000002</v>
      </c>
      <c r="T64" s="5">
        <f t="shared" si="66"/>
        <v>0.50627889845086271</v>
      </c>
      <c r="U64">
        <f t="shared" si="40"/>
        <v>0.49093910347881015</v>
      </c>
      <c r="V64">
        <f t="shared" si="41"/>
        <v>1.5339794972052546E-2</v>
      </c>
      <c r="W64" s="50">
        <f>0</f>
        <v>0</v>
      </c>
      <c r="X64" s="51">
        <f t="shared" si="42"/>
        <v>140.72727907361005</v>
      </c>
      <c r="Y64" s="52">
        <f t="shared" si="43"/>
        <v>140.72727907361005</v>
      </c>
      <c r="Z64" s="14">
        <f t="shared" si="67"/>
        <v>0.50627889845086271</v>
      </c>
      <c r="AA64" s="5">
        <f t="shared" si="68"/>
        <v>5.3814260534637191E-2</v>
      </c>
      <c r="AB64">
        <f t="shared" si="44"/>
        <v>5.2183736873272164E-2</v>
      </c>
      <c r="AC64">
        <f t="shared" si="45"/>
        <v>1.630523661365027E-3</v>
      </c>
      <c r="AD64" s="50">
        <f>0</f>
        <v>0</v>
      </c>
      <c r="AE64" s="51">
        <f t="shared" si="46"/>
        <v>14.958424069362758</v>
      </c>
      <c r="AF64" s="52">
        <f t="shared" si="47"/>
        <v>14.958424069362758</v>
      </c>
      <c r="AG64" s="14">
        <f t="shared" si="69"/>
        <v>5.3814260534637191E-2</v>
      </c>
      <c r="AH64" s="5">
        <f t="shared" si="70"/>
        <v>1.3453565133659298E-2</v>
      </c>
      <c r="AI64">
        <f t="shared" si="48"/>
        <v>1.3045934218318041E-2</v>
      </c>
      <c r="AJ64">
        <f t="shared" si="49"/>
        <v>4.0763091534125676E-4</v>
      </c>
      <c r="AK64" s="50">
        <f>0</f>
        <v>0</v>
      </c>
      <c r="AL64" s="51">
        <f t="shared" si="50"/>
        <v>3.7396060173406895</v>
      </c>
      <c r="AM64" s="52">
        <f t="shared" si="51"/>
        <v>3.7396060173406895</v>
      </c>
      <c r="AN64" s="14">
        <f t="shared" si="71"/>
        <v>9.4174955935615087E-3</v>
      </c>
      <c r="AO64" s="5">
        <f t="shared" si="72"/>
        <v>8.4969885054690247E-3</v>
      </c>
      <c r="AP64">
        <f t="shared" si="52"/>
        <v>8.2395374010429678E-3</v>
      </c>
      <c r="AQ64">
        <f t="shared" si="53"/>
        <v>2.5745110442605674E-4</v>
      </c>
      <c r="AR64" s="50">
        <f>0</f>
        <v>0</v>
      </c>
      <c r="AS64" s="51">
        <f t="shared" si="54"/>
        <v>2.3618564320046445</v>
      </c>
      <c r="AT64" s="52">
        <f t="shared" si="55"/>
        <v>2.3618564320046445</v>
      </c>
      <c r="AU64" s="14">
        <f t="shared" si="73"/>
        <v>5.1831629883361046E-3</v>
      </c>
      <c r="AV64" s="5">
        <f t="shared" si="74"/>
        <v>4.5317272029168146E-2</v>
      </c>
      <c r="AW64">
        <f t="shared" si="56"/>
        <v>4.3944199472229176E-2</v>
      </c>
      <c r="AX64">
        <f t="shared" si="57"/>
        <v>1.3730725569389697E-3</v>
      </c>
      <c r="AY64" s="50">
        <f>0</f>
        <v>0</v>
      </c>
      <c r="AZ64" s="51">
        <f t="shared" si="58"/>
        <v>12.596567637358108</v>
      </c>
      <c r="BA64" s="52">
        <f t="shared" si="59"/>
        <v>12.596567637358108</v>
      </c>
      <c r="BB64" s="14">
        <f t="shared" si="75"/>
        <v>3.2628435861001066E-2</v>
      </c>
      <c r="BC64" s="5">
        <f t="shared" si="76"/>
        <v>1.5856948180561055E-2</v>
      </c>
      <c r="BD64">
        <f t="shared" si="60"/>
        <v>1.5821336646337152E-2</v>
      </c>
      <c r="BE64">
        <f t="shared" si="61"/>
        <v>3.5611534223904007E-5</v>
      </c>
      <c r="BF64" s="50">
        <f>0</f>
        <v>0</v>
      </c>
      <c r="BG64" s="51">
        <f t="shared" si="62"/>
        <v>0.32670021497009538</v>
      </c>
      <c r="BH64" s="52">
        <f t="shared" si="63"/>
        <v>0.32670021497009538</v>
      </c>
      <c r="BI64" s="14">
        <f t="shared" si="77"/>
        <v>9.5141689083366331E-4</v>
      </c>
      <c r="BJ64" s="5">
        <f>0 + '1. Strategy Calcs'!V63 + '1. Strategy Calcs'!AC63 + '1. Strategy Calcs'!AJ63 + '1. Strategy Calcs'!AQ63 + '1. Strategy Calcs'!AX63 + '1. Strategy Calcs'!BE63 + BJ63</f>
        <v>0.35678206716564281</v>
      </c>
      <c r="BK64" s="63">
        <f>0</f>
        <v>0</v>
      </c>
    </row>
    <row r="65" spans="2:63" x14ac:dyDescent="0.35">
      <c r="B65" s="14">
        <v>57</v>
      </c>
      <c r="D65" s="5">
        <f>'1. Strategy Calcs'!T65</f>
        <v>0.49093910347881015</v>
      </c>
      <c r="E65">
        <f>'1. Strategy Calcs'!AA65</f>
        <v>5.2183736873272164E-2</v>
      </c>
      <c r="F65">
        <f>'1. Strategy Calcs'!AH65</f>
        <v>1.3045934218318041E-2</v>
      </c>
      <c r="G65">
        <f>'1. Strategy Calcs'!AO65</f>
        <v>8.2395374010429678E-3</v>
      </c>
      <c r="H65">
        <f>'1. Strategy Calcs'!AV65</f>
        <v>4.3944199472229176E-2</v>
      </c>
      <c r="I65">
        <f>'1. Strategy Calcs'!BC65</f>
        <v>1.5821336646337152E-2</v>
      </c>
      <c r="J65" s="6">
        <f>'1. Strategy Calcs'!BJ65</f>
        <v>0.37582615190999058</v>
      </c>
      <c r="K65" s="50">
        <f>'1. Strategy Calcs'!Y65 + '1. Strategy Calcs'!AF65 + '1. Strategy Calcs'!AM65 + '1. Strategy Calcs'!AT65 + '1. Strategy Calcs'!BA65 + '1. Strategy Calcs'!BH65 + '1. Strategy Calcs'!BK65</f>
        <v>188.07739985354496</v>
      </c>
      <c r="L65" s="51">
        <f>K65*'Time Discounting'!C62</f>
        <v>34.883078388059964</v>
      </c>
      <c r="M65" s="52">
        <f t="shared" si="64"/>
        <v>136083.00265697454</v>
      </c>
      <c r="N65" s="5">
        <f>'1. Strategy Calcs'!Z65 + '1. Strategy Calcs'!AG65 + '1. Strategy Calcs'!AN65 + '1. Strategy Calcs'!AU65 + '1. Strategy Calcs'!BB65 + '1. Strategy Calcs'!BI65</f>
        <v>0.58987021593832645</v>
      </c>
      <c r="O65">
        <f>N65*'Time Discounting'!D62</f>
        <v>0.10940436754964349</v>
      </c>
      <c r="P65" s="6">
        <f t="shared" si="65"/>
        <v>22.678283292882323</v>
      </c>
      <c r="R65" s="14">
        <f t="shared" si="39"/>
        <v>1.0000000000000002</v>
      </c>
      <c r="T65" s="5">
        <f t="shared" si="66"/>
        <v>0.49093910347881015</v>
      </c>
      <c r="U65">
        <f t="shared" si="40"/>
        <v>0.47442607216983829</v>
      </c>
      <c r="V65">
        <f t="shared" si="41"/>
        <v>1.6513031308971873E-2</v>
      </c>
      <c r="W65" s="50">
        <f>0</f>
        <v>0</v>
      </c>
      <c r="X65" s="51">
        <f t="shared" si="42"/>
        <v>151.49054922850797</v>
      </c>
      <c r="Y65" s="52">
        <f t="shared" si="43"/>
        <v>151.49054922850797</v>
      </c>
      <c r="Z65" s="14">
        <f t="shared" si="67"/>
        <v>0.49093910347881015</v>
      </c>
      <c r="AA65" s="5">
        <f t="shared" si="68"/>
        <v>5.2183736873272164E-2</v>
      </c>
      <c r="AB65">
        <f t="shared" si="44"/>
        <v>5.0428505573297533E-2</v>
      </c>
      <c r="AC65">
        <f t="shared" si="45"/>
        <v>1.755231299974634E-3</v>
      </c>
      <c r="AD65" s="50">
        <f>0</f>
        <v>0</v>
      </c>
      <c r="AE65" s="51">
        <f t="shared" si="46"/>
        <v>16.102491945967291</v>
      </c>
      <c r="AF65" s="52">
        <f t="shared" si="47"/>
        <v>16.102491945967291</v>
      </c>
      <c r="AG65" s="14">
        <f t="shared" si="69"/>
        <v>5.2183736873272164E-2</v>
      </c>
      <c r="AH65" s="5">
        <f t="shared" si="70"/>
        <v>1.3045934218318041E-2</v>
      </c>
      <c r="AI65">
        <f t="shared" si="48"/>
        <v>1.2607126393324383E-2</v>
      </c>
      <c r="AJ65">
        <f t="shared" si="49"/>
        <v>4.388078249936585E-4</v>
      </c>
      <c r="AK65" s="50">
        <f>0</f>
        <v>0</v>
      </c>
      <c r="AL65" s="51">
        <f t="shared" si="50"/>
        <v>4.0256229864918227</v>
      </c>
      <c r="AM65" s="52">
        <f t="shared" si="51"/>
        <v>4.0256229864918227</v>
      </c>
      <c r="AN65" s="14">
        <f t="shared" si="71"/>
        <v>9.1321539528226286E-3</v>
      </c>
      <c r="AO65" s="5">
        <f t="shared" si="72"/>
        <v>8.2395374010429678E-3</v>
      </c>
      <c r="AP65">
        <f t="shared" si="52"/>
        <v>7.9623956168364471E-3</v>
      </c>
      <c r="AQ65">
        <f t="shared" si="53"/>
        <v>2.7714178420652096E-4</v>
      </c>
      <c r="AR65" s="50">
        <f>0</f>
        <v>0</v>
      </c>
      <c r="AS65" s="51">
        <f t="shared" si="54"/>
        <v>2.5424987283106235</v>
      </c>
      <c r="AT65" s="52">
        <f t="shared" si="55"/>
        <v>2.5424987283106235</v>
      </c>
      <c r="AU65" s="14">
        <f t="shared" si="73"/>
        <v>5.0261178146362101E-3</v>
      </c>
      <c r="AV65" s="5">
        <f t="shared" si="74"/>
        <v>4.3944199472229176E-2</v>
      </c>
      <c r="AW65">
        <f t="shared" si="56"/>
        <v>4.2466109956461065E-2</v>
      </c>
      <c r="AX65">
        <f t="shared" si="57"/>
        <v>1.4780895157681124E-3</v>
      </c>
      <c r="AY65" s="50">
        <f>0</f>
        <v>0</v>
      </c>
      <c r="AZ65" s="51">
        <f t="shared" si="58"/>
        <v>13.559993217656663</v>
      </c>
      <c r="BA65" s="52">
        <f t="shared" si="59"/>
        <v>13.559993217656663</v>
      </c>
      <c r="BB65" s="14">
        <f t="shared" si="75"/>
        <v>3.1639823620005003E-2</v>
      </c>
      <c r="BC65" s="5">
        <f t="shared" si="76"/>
        <v>1.5821336646337152E-2</v>
      </c>
      <c r="BD65">
        <f t="shared" si="60"/>
        <v>1.5782504757672382E-2</v>
      </c>
      <c r="BE65">
        <f t="shared" si="61"/>
        <v>3.8831888664769838E-5</v>
      </c>
      <c r="BF65" s="50">
        <f>0</f>
        <v>0</v>
      </c>
      <c r="BG65" s="51">
        <f t="shared" si="62"/>
        <v>0.35624374661059849</v>
      </c>
      <c r="BH65" s="52">
        <f t="shared" si="63"/>
        <v>0.35624374661059849</v>
      </c>
      <c r="BI65" s="14">
        <f t="shared" si="77"/>
        <v>9.4928019878022908E-4</v>
      </c>
      <c r="BJ65" s="5">
        <f>0 + '1. Strategy Calcs'!V64 + '1. Strategy Calcs'!AC64 + '1. Strategy Calcs'!AJ64 + '1. Strategy Calcs'!AQ64 + '1. Strategy Calcs'!AX64 + '1. Strategy Calcs'!BE64 + BJ64</f>
        <v>0.37582615190999058</v>
      </c>
      <c r="BK65" s="63">
        <f>0</f>
        <v>0</v>
      </c>
    </row>
    <row r="66" spans="2:63" x14ac:dyDescent="0.35">
      <c r="B66" s="14">
        <v>58</v>
      </c>
      <c r="D66" s="5">
        <f>'1. Strategy Calcs'!T66</f>
        <v>0.47442607216983829</v>
      </c>
      <c r="E66">
        <f>'1. Strategy Calcs'!AA66</f>
        <v>5.0428505573297533E-2</v>
      </c>
      <c r="F66">
        <f>'1. Strategy Calcs'!AH66</f>
        <v>1.2607126393324383E-2</v>
      </c>
      <c r="G66">
        <f>'1. Strategy Calcs'!AO66</f>
        <v>7.9623956168364471E-3</v>
      </c>
      <c r="H66">
        <f>'1. Strategy Calcs'!AV66</f>
        <v>4.2466109956461065E-2</v>
      </c>
      <c r="I66">
        <f>'1. Strategy Calcs'!BC66</f>
        <v>1.5782504757672382E-2</v>
      </c>
      <c r="J66" s="6">
        <f>'1. Strategy Calcs'!BJ66</f>
        <v>0.39632728553257013</v>
      </c>
      <c r="K66" s="50">
        <f>'1. Strategy Calcs'!Y66 + '1. Strategy Calcs'!AF66 + '1. Strategy Calcs'!AM66 + '1. Strategy Calcs'!AT66 + '1. Strategy Calcs'!BA66 + '1. Strategy Calcs'!BH66 + '1. Strategy Calcs'!BK66</f>
        <v>201.00823805959163</v>
      </c>
      <c r="L66" s="51">
        <f>K66*'Time Discounting'!C63</f>
        <v>36.19552030091495</v>
      </c>
      <c r="M66" s="52">
        <f t="shared" si="64"/>
        <v>136119.19817727545</v>
      </c>
      <c r="N66" s="5">
        <f>'1. Strategy Calcs'!Z66 + '1. Strategy Calcs'!AG66 + '1. Strategy Calcs'!AN66 + '1. Strategy Calcs'!AU66 + '1. Strategy Calcs'!BB66 + '1. Strategy Calcs'!BI66</f>
        <v>0.57005917699884545</v>
      </c>
      <c r="O66">
        <f>N66*'Time Discounting'!D63</f>
        <v>0.10265046205552764</v>
      </c>
      <c r="P66" s="6">
        <f t="shared" si="65"/>
        <v>22.780933754937852</v>
      </c>
      <c r="R66" s="14">
        <f t="shared" si="39"/>
        <v>1.0000000000000002</v>
      </c>
      <c r="T66" s="5">
        <f t="shared" si="66"/>
        <v>0.47442607216983829</v>
      </c>
      <c r="U66">
        <f t="shared" si="40"/>
        <v>0.45677006868100162</v>
      </c>
      <c r="V66">
        <f t="shared" si="41"/>
        <v>1.7656003488836624E-2</v>
      </c>
      <c r="W66" s="50">
        <f>0</f>
        <v>0</v>
      </c>
      <c r="X66" s="51">
        <f t="shared" si="42"/>
        <v>161.9761760065872</v>
      </c>
      <c r="Y66" s="52">
        <f t="shared" si="43"/>
        <v>161.9761760065872</v>
      </c>
      <c r="Z66" s="14">
        <f t="shared" si="67"/>
        <v>0.47442607216983829</v>
      </c>
      <c r="AA66" s="5">
        <f t="shared" si="68"/>
        <v>5.0428505573297533E-2</v>
      </c>
      <c r="AB66">
        <f t="shared" si="44"/>
        <v>4.8551783524134473E-2</v>
      </c>
      <c r="AC66">
        <f t="shared" si="45"/>
        <v>1.8767220491630549E-3</v>
      </c>
      <c r="AD66" s="50">
        <f>0</f>
        <v>0</v>
      </c>
      <c r="AE66" s="51">
        <f t="shared" si="46"/>
        <v>17.217048079021865</v>
      </c>
      <c r="AF66" s="52">
        <f t="shared" si="47"/>
        <v>17.217048079021865</v>
      </c>
      <c r="AG66" s="14">
        <f t="shared" si="69"/>
        <v>5.0428505573297533E-2</v>
      </c>
      <c r="AH66" s="5">
        <f t="shared" si="70"/>
        <v>1.2607126393324383E-2</v>
      </c>
      <c r="AI66">
        <f t="shared" si="48"/>
        <v>1.2137945881033618E-2</v>
      </c>
      <c r="AJ66">
        <f t="shared" si="49"/>
        <v>4.6918051229076371E-4</v>
      </c>
      <c r="AK66" s="50">
        <f>0</f>
        <v>0</v>
      </c>
      <c r="AL66" s="51">
        <f t="shared" si="50"/>
        <v>4.3042620197554662</v>
      </c>
      <c r="AM66" s="52">
        <f t="shared" si="51"/>
        <v>4.3042620197554662</v>
      </c>
      <c r="AN66" s="14">
        <f t="shared" si="71"/>
        <v>8.8249884753270683E-3</v>
      </c>
      <c r="AO66" s="5">
        <f t="shared" si="72"/>
        <v>7.9623956168364471E-3</v>
      </c>
      <c r="AP66">
        <f t="shared" si="52"/>
        <v>7.6660710827580695E-3</v>
      </c>
      <c r="AQ66">
        <f t="shared" si="53"/>
        <v>2.9632453407837689E-4</v>
      </c>
      <c r="AR66" s="50">
        <f>0</f>
        <v>0</v>
      </c>
      <c r="AS66" s="51">
        <f t="shared" si="54"/>
        <v>2.7184812756350296</v>
      </c>
      <c r="AT66" s="52">
        <f t="shared" si="55"/>
        <v>2.7184812756350296</v>
      </c>
      <c r="AU66" s="14">
        <f t="shared" si="73"/>
        <v>4.8570613262702324E-3</v>
      </c>
      <c r="AV66" s="5">
        <f t="shared" si="74"/>
        <v>4.2466109956461065E-2</v>
      </c>
      <c r="AW66">
        <f t="shared" si="56"/>
        <v>4.0885712441376384E-2</v>
      </c>
      <c r="AX66">
        <f t="shared" si="57"/>
        <v>1.5803975150846773E-3</v>
      </c>
      <c r="AY66" s="50">
        <f>0</f>
        <v>0</v>
      </c>
      <c r="AZ66" s="51">
        <f t="shared" si="58"/>
        <v>14.498566803386829</v>
      </c>
      <c r="BA66" s="52">
        <f t="shared" si="59"/>
        <v>14.498566803386829</v>
      </c>
      <c r="BB66" s="14">
        <f t="shared" si="75"/>
        <v>3.0575599168651966E-2</v>
      </c>
      <c r="BC66" s="5">
        <f t="shared" si="76"/>
        <v>1.5782504757672382E-2</v>
      </c>
      <c r="BD66">
        <f t="shared" si="60"/>
        <v>1.5750489946771445E-2</v>
      </c>
      <c r="BE66">
        <f t="shared" si="61"/>
        <v>3.2014810900938413E-5</v>
      </c>
      <c r="BF66" s="50">
        <f>0</f>
        <v>0</v>
      </c>
      <c r="BG66" s="51">
        <f t="shared" si="62"/>
        <v>0.29370387520520902</v>
      </c>
      <c r="BH66" s="52">
        <f t="shared" si="63"/>
        <v>0.29370387520520902</v>
      </c>
      <c r="BI66" s="14">
        <f t="shared" si="77"/>
        <v>9.4695028546034287E-4</v>
      </c>
      <c r="BJ66" s="5">
        <f>0 + '1. Strategy Calcs'!V65 + '1. Strategy Calcs'!AC65 + '1. Strategy Calcs'!AJ65 + '1. Strategy Calcs'!AQ65 + '1. Strategy Calcs'!AX65 + '1. Strategy Calcs'!BE65 + BJ65</f>
        <v>0.39632728553257013</v>
      </c>
      <c r="BK66" s="63">
        <f>0</f>
        <v>0</v>
      </c>
    </row>
    <row r="67" spans="2:63" x14ac:dyDescent="0.35">
      <c r="B67" s="14">
        <v>59</v>
      </c>
      <c r="D67" s="5">
        <f>'1. Strategy Calcs'!T67</f>
        <v>0.45677006868100162</v>
      </c>
      <c r="E67">
        <f>'1. Strategy Calcs'!AA67</f>
        <v>4.8551783524134473E-2</v>
      </c>
      <c r="F67">
        <f>'1. Strategy Calcs'!AH67</f>
        <v>1.2137945881033618E-2</v>
      </c>
      <c r="G67">
        <f>'1. Strategy Calcs'!AO67</f>
        <v>7.6660710827580695E-3</v>
      </c>
      <c r="H67">
        <f>'1. Strategy Calcs'!AV67</f>
        <v>4.0885712441376384E-2</v>
      </c>
      <c r="I67">
        <f>'1. Strategy Calcs'!BC67</f>
        <v>1.5750489946771445E-2</v>
      </c>
      <c r="J67" s="6">
        <f>'1. Strategy Calcs'!BJ67</f>
        <v>0.41823792844292457</v>
      </c>
      <c r="K67" s="50">
        <f>'1. Strategy Calcs'!Y67 + '1. Strategy Calcs'!AF67 + '1. Strategy Calcs'!AM67 + '1. Strategy Calcs'!AT67 + '1. Strategy Calcs'!BA67 + '1. Strategy Calcs'!BH67 + '1. Strategy Calcs'!BK67</f>
        <v>214.05307931369407</v>
      </c>
      <c r="L67" s="51">
        <f>K67*'Time Discounting'!C64</f>
        <v>37.421847296825909</v>
      </c>
      <c r="M67" s="52">
        <f t="shared" si="64"/>
        <v>136156.62002457227</v>
      </c>
      <c r="N67" s="5">
        <f>'1. Strategy Calcs'!Z67 + '1. Strategy Calcs'!AG67 + '1. Strategy Calcs'!AN67 + '1. Strategy Calcs'!AU67 + '1. Strategy Calcs'!BB67 + '1. Strategy Calcs'!BI67</f>
        <v>0.54887746003693938</v>
      </c>
      <c r="O67">
        <f>N67*'Time Discounting'!D64</f>
        <v>9.5957547352405512E-2</v>
      </c>
      <c r="P67" s="6">
        <f t="shared" si="65"/>
        <v>22.876891302290257</v>
      </c>
      <c r="R67" s="14">
        <f t="shared" si="39"/>
        <v>1.0000000000000002</v>
      </c>
      <c r="T67" s="5">
        <f t="shared" si="66"/>
        <v>0.45677006868100162</v>
      </c>
      <c r="U67">
        <f t="shared" si="40"/>
        <v>0.43796927562307097</v>
      </c>
      <c r="V67">
        <f t="shared" si="41"/>
        <v>1.8800793057930622E-2</v>
      </c>
      <c r="W67" s="50">
        <f>0</f>
        <v>0</v>
      </c>
      <c r="X67" s="51">
        <f t="shared" si="42"/>
        <v>172.47847551345552</v>
      </c>
      <c r="Y67" s="52">
        <f t="shared" si="43"/>
        <v>172.47847551345552</v>
      </c>
      <c r="Z67" s="14">
        <f t="shared" si="67"/>
        <v>0.45677006868100162</v>
      </c>
      <c r="AA67" s="5">
        <f t="shared" si="68"/>
        <v>4.8551783524134473E-2</v>
      </c>
      <c r="AB67">
        <f t="shared" si="44"/>
        <v>4.6553377548746042E-2</v>
      </c>
      <c r="AC67">
        <f t="shared" si="45"/>
        <v>1.9984059753884315E-3</v>
      </c>
      <c r="AD67" s="50">
        <f>0</f>
        <v>0</v>
      </c>
      <c r="AE67" s="51">
        <f t="shared" si="46"/>
        <v>18.333376418213469</v>
      </c>
      <c r="AF67" s="52">
        <f t="shared" si="47"/>
        <v>18.333376418213469</v>
      </c>
      <c r="AG67" s="14">
        <f t="shared" si="69"/>
        <v>4.8551783524134473E-2</v>
      </c>
      <c r="AH67" s="5">
        <f t="shared" si="70"/>
        <v>1.2137945881033618E-2</v>
      </c>
      <c r="AI67">
        <f t="shared" si="48"/>
        <v>1.163834438718651E-2</v>
      </c>
      <c r="AJ67">
        <f t="shared" si="49"/>
        <v>4.9960149384710786E-4</v>
      </c>
      <c r="AK67" s="50">
        <f>0</f>
        <v>0</v>
      </c>
      <c r="AL67" s="51">
        <f t="shared" si="50"/>
        <v>4.5833441045533672</v>
      </c>
      <c r="AM67" s="52">
        <f t="shared" si="51"/>
        <v>4.5833441045533672</v>
      </c>
      <c r="AN67" s="14">
        <f t="shared" si="71"/>
        <v>8.4965621167235328E-3</v>
      </c>
      <c r="AO67" s="5">
        <f t="shared" si="72"/>
        <v>7.6660710827580695E-3</v>
      </c>
      <c r="AP67">
        <f t="shared" si="52"/>
        <v>7.3505332971704222E-3</v>
      </c>
      <c r="AQ67">
        <f t="shared" si="53"/>
        <v>3.1553778558764681E-4</v>
      </c>
      <c r="AR67" s="50">
        <f>0</f>
        <v>0</v>
      </c>
      <c r="AS67" s="51">
        <f t="shared" si="54"/>
        <v>2.8947436449810717</v>
      </c>
      <c r="AT67" s="52">
        <f t="shared" si="55"/>
        <v>2.8947436449810717</v>
      </c>
      <c r="AU67" s="14">
        <f t="shared" si="73"/>
        <v>4.6763033604824223E-3</v>
      </c>
      <c r="AV67" s="5">
        <f t="shared" si="74"/>
        <v>4.0885712441376384E-2</v>
      </c>
      <c r="AW67">
        <f t="shared" si="56"/>
        <v>3.9202844251575601E-2</v>
      </c>
      <c r="AX67">
        <f t="shared" si="57"/>
        <v>1.6828681898007837E-3</v>
      </c>
      <c r="AY67" s="50">
        <f>0</f>
        <v>0</v>
      </c>
      <c r="AZ67" s="51">
        <f t="shared" si="58"/>
        <v>15.43863277323239</v>
      </c>
      <c r="BA67" s="52">
        <f t="shared" si="59"/>
        <v>15.43863277323239</v>
      </c>
      <c r="BB67" s="14">
        <f t="shared" si="75"/>
        <v>2.9437712957790997E-2</v>
      </c>
      <c r="BC67" s="5">
        <f t="shared" si="76"/>
        <v>1.5750489946771445E-2</v>
      </c>
      <c r="BD67">
        <f t="shared" si="60"/>
        <v>1.5715117496448987E-2</v>
      </c>
      <c r="BE67">
        <f t="shared" si="61"/>
        <v>3.5372450322459355E-5</v>
      </c>
      <c r="BF67" s="50">
        <f>0</f>
        <v>0</v>
      </c>
      <c r="BG67" s="51">
        <f t="shared" si="62"/>
        <v>0.32450685925824213</v>
      </c>
      <c r="BH67" s="52">
        <f t="shared" si="63"/>
        <v>0.32450685925824213</v>
      </c>
      <c r="BI67" s="14">
        <f t="shared" si="77"/>
        <v>9.4502939680628673E-4</v>
      </c>
      <c r="BJ67" s="5">
        <f>0 + '1. Strategy Calcs'!V66 + '1. Strategy Calcs'!AC66 + '1. Strategy Calcs'!AJ66 + '1. Strategy Calcs'!AQ66 + '1. Strategy Calcs'!AX66 + '1. Strategy Calcs'!BE66 + BJ66</f>
        <v>0.41823792844292457</v>
      </c>
      <c r="BK67" s="63">
        <f>0</f>
        <v>0</v>
      </c>
    </row>
    <row r="68" spans="2:63" x14ac:dyDescent="0.35">
      <c r="B68" s="14">
        <v>60</v>
      </c>
      <c r="D68" s="5">
        <f>'1. Strategy Calcs'!T68</f>
        <v>0.43796927562307097</v>
      </c>
      <c r="E68">
        <f>'1. Strategy Calcs'!AA68</f>
        <v>4.6553377548746042E-2</v>
      </c>
      <c r="F68">
        <f>'1. Strategy Calcs'!AH68</f>
        <v>1.163834438718651E-2</v>
      </c>
      <c r="G68">
        <f>'1. Strategy Calcs'!AO68</f>
        <v>7.3505332971704222E-3</v>
      </c>
      <c r="H68">
        <f>'1. Strategy Calcs'!AV68</f>
        <v>3.9202844251575601E-2</v>
      </c>
      <c r="I68">
        <f>'1. Strategy Calcs'!BC68</f>
        <v>1.5715117496448987E-2</v>
      </c>
      <c r="J68" s="6">
        <f>'1. Strategy Calcs'!BJ68</f>
        <v>0.44157050739580161</v>
      </c>
      <c r="K68" s="50">
        <f>'1. Strategy Calcs'!Y68 + '1. Strategy Calcs'!AF68 + '1. Strategy Calcs'!AM68 + '1. Strategy Calcs'!AT68 + '1. Strategy Calcs'!BA68 + '1. Strategy Calcs'!BH68 + '1. Strategy Calcs'!BK68</f>
        <v>226.90898648958648</v>
      </c>
      <c r="L68" s="51">
        <f>K68*'Time Discounting'!C65</f>
        <v>38.513963429371088</v>
      </c>
      <c r="M68" s="52">
        <f t="shared" si="64"/>
        <v>136195.13398800165</v>
      </c>
      <c r="N68" s="5">
        <f>'1. Strategy Calcs'!Z68 + '1. Strategy Calcs'!AG68 + '1. Strategy Calcs'!AN68 + '1. Strategy Calcs'!AU68 + '1. Strategy Calcs'!BB68 + '1. Strategy Calcs'!BI68</f>
        <v>0.52632227446504287</v>
      </c>
      <c r="O68">
        <f>N68*'Time Discounting'!D65</f>
        <v>8.9334305989420826E-2</v>
      </c>
      <c r="P68" s="6">
        <f t="shared" si="65"/>
        <v>22.966225608279679</v>
      </c>
      <c r="R68" s="14">
        <f t="shared" si="39"/>
        <v>1</v>
      </c>
      <c r="T68" s="5">
        <f t="shared" si="66"/>
        <v>0.43796927562307097</v>
      </c>
      <c r="U68">
        <f t="shared" si="40"/>
        <v>0.41804018448668406</v>
      </c>
      <c r="V68">
        <f t="shared" si="41"/>
        <v>1.992909113638686E-2</v>
      </c>
      <c r="W68" s="50">
        <f>0</f>
        <v>0</v>
      </c>
      <c r="X68" s="51">
        <f t="shared" si="42"/>
        <v>182.82948208521304</v>
      </c>
      <c r="Y68" s="52">
        <f t="shared" si="43"/>
        <v>182.82948208521304</v>
      </c>
      <c r="Z68" s="14">
        <f t="shared" si="67"/>
        <v>0.43796927562307097</v>
      </c>
      <c r="AA68" s="5">
        <f t="shared" si="68"/>
        <v>4.6553377548746042E-2</v>
      </c>
      <c r="AB68">
        <f t="shared" si="44"/>
        <v>4.4435040588794425E-2</v>
      </c>
      <c r="AC68">
        <f t="shared" si="45"/>
        <v>2.1183369599516119E-3</v>
      </c>
      <c r="AD68" s="50">
        <f>0</f>
        <v>0</v>
      </c>
      <c r="AE68" s="51">
        <f t="shared" si="46"/>
        <v>19.433623270596087</v>
      </c>
      <c r="AF68" s="52">
        <f t="shared" si="47"/>
        <v>19.433623270596087</v>
      </c>
      <c r="AG68" s="14">
        <f t="shared" si="69"/>
        <v>4.6553377548746042E-2</v>
      </c>
      <c r="AH68" s="5">
        <f t="shared" si="70"/>
        <v>1.163834438718651E-2</v>
      </c>
      <c r="AI68">
        <f t="shared" si="48"/>
        <v>1.1108760147198606E-2</v>
      </c>
      <c r="AJ68">
        <f t="shared" si="49"/>
        <v>5.2958423998790297E-4</v>
      </c>
      <c r="AK68" s="50">
        <f>0</f>
        <v>0</v>
      </c>
      <c r="AL68" s="51">
        <f t="shared" si="50"/>
        <v>4.8584058176490217</v>
      </c>
      <c r="AM68" s="52">
        <f t="shared" si="51"/>
        <v>4.8584058176490217</v>
      </c>
      <c r="AN68" s="14">
        <f t="shared" si="71"/>
        <v>8.1468410710305566E-3</v>
      </c>
      <c r="AO68" s="5">
        <f t="shared" si="72"/>
        <v>7.3505332971704222E-3</v>
      </c>
      <c r="AP68">
        <f t="shared" si="52"/>
        <v>7.0160590403359566E-3</v>
      </c>
      <c r="AQ68">
        <f t="shared" si="53"/>
        <v>3.344742568344648E-4</v>
      </c>
      <c r="AR68" s="50">
        <f>0</f>
        <v>0</v>
      </c>
      <c r="AS68" s="51">
        <f t="shared" si="54"/>
        <v>3.06846683219938</v>
      </c>
      <c r="AT68" s="52">
        <f t="shared" si="55"/>
        <v>3.06846683219938</v>
      </c>
      <c r="AU68" s="14">
        <f t="shared" si="73"/>
        <v>4.4838253112739574E-3</v>
      </c>
      <c r="AV68" s="5">
        <f t="shared" si="74"/>
        <v>3.9202844251575601E-2</v>
      </c>
      <c r="AW68">
        <f t="shared" si="56"/>
        <v>3.7418981548458456E-2</v>
      </c>
      <c r="AX68">
        <f t="shared" si="57"/>
        <v>1.7838627031171463E-3</v>
      </c>
      <c r="AY68" s="50">
        <f>0</f>
        <v>0</v>
      </c>
      <c r="AZ68" s="51">
        <f t="shared" si="58"/>
        <v>16.365156438396699</v>
      </c>
      <c r="BA68" s="52">
        <f t="shared" si="59"/>
        <v>16.365156438396699</v>
      </c>
      <c r="BB68" s="14">
        <f t="shared" si="75"/>
        <v>2.8226047861134432E-2</v>
      </c>
      <c r="BC68" s="5">
        <f t="shared" si="76"/>
        <v>1.5715117496448987E-2</v>
      </c>
      <c r="BD68">
        <f t="shared" si="60"/>
        <v>1.5676546312065703E-2</v>
      </c>
      <c r="BE68">
        <f t="shared" si="61"/>
        <v>3.8571184383284432E-5</v>
      </c>
      <c r="BF68" s="50">
        <f>0</f>
        <v>0</v>
      </c>
      <c r="BG68" s="51">
        <f t="shared" si="62"/>
        <v>0.35385204553225136</v>
      </c>
      <c r="BH68" s="52">
        <f t="shared" si="63"/>
        <v>0.35385204553225136</v>
      </c>
      <c r="BI68" s="14">
        <f t="shared" si="77"/>
        <v>9.4290704978693921E-4</v>
      </c>
      <c r="BJ68" s="5">
        <f>0 + '1. Strategy Calcs'!V67 + '1. Strategy Calcs'!AC67 + '1. Strategy Calcs'!AJ67 + '1. Strategy Calcs'!AQ67 + '1. Strategy Calcs'!AX67 + '1. Strategy Calcs'!BE67 + BJ67</f>
        <v>0.44157050739580161</v>
      </c>
      <c r="BK68" s="63">
        <f>0</f>
        <v>0</v>
      </c>
    </row>
    <row r="69" spans="2:63" x14ac:dyDescent="0.35">
      <c r="B69" s="14">
        <v>61</v>
      </c>
      <c r="D69" s="5">
        <f>'1. Strategy Calcs'!T69</f>
        <v>0.41804018448668406</v>
      </c>
      <c r="E69">
        <f>'1. Strategy Calcs'!AA69</f>
        <v>4.4435040588794425E-2</v>
      </c>
      <c r="F69">
        <f>'1. Strategy Calcs'!AH69</f>
        <v>1.1108760147198606E-2</v>
      </c>
      <c r="G69">
        <f>'1. Strategy Calcs'!AO69</f>
        <v>7.0160590403359566E-3</v>
      </c>
      <c r="H69">
        <f>'1. Strategy Calcs'!AV69</f>
        <v>3.7418981548458456E-2</v>
      </c>
      <c r="I69">
        <f>'1. Strategy Calcs'!BC69</f>
        <v>1.5676546312065703E-2</v>
      </c>
      <c r="J69" s="6">
        <f>'1. Strategy Calcs'!BJ69</f>
        <v>0.46630442787646287</v>
      </c>
      <c r="K69" s="50">
        <f>'1. Strategy Calcs'!Y69 + '1. Strategy Calcs'!AF69 + '1. Strategy Calcs'!AM69 + '1. Strategy Calcs'!AT69 + '1. Strategy Calcs'!BA69 + '1. Strategy Calcs'!BH69 + '1. Strategy Calcs'!BK69</f>
        <v>239.24150686279469</v>
      </c>
      <c r="L69" s="51">
        <f>K69*'Time Discounting'!C66</f>
        <v>39.424466233015679</v>
      </c>
      <c r="M69" s="52">
        <f t="shared" si="64"/>
        <v>136234.55845423465</v>
      </c>
      <c r="N69" s="5">
        <f>'1. Strategy Calcs'!Z69 + '1. Strategy Calcs'!AG69 + '1. Strategy Calcs'!AN69 + '1. Strategy Calcs'!AU69 + '1. Strategy Calcs'!BB69 + '1. Strategy Calcs'!BI69</f>
        <v>0.50241341268673645</v>
      </c>
      <c r="O69">
        <f>N69*'Time Discounting'!D66</f>
        <v>8.2792408738848022E-2</v>
      </c>
      <c r="P69" s="6">
        <f t="shared" si="65"/>
        <v>23.049018017018525</v>
      </c>
      <c r="R69" s="14">
        <f t="shared" si="39"/>
        <v>1</v>
      </c>
      <c r="T69" s="5">
        <f t="shared" si="66"/>
        <v>0.41804018448668406</v>
      </c>
      <c r="U69">
        <f t="shared" si="40"/>
        <v>0.39702078957854597</v>
      </c>
      <c r="V69">
        <f t="shared" si="41"/>
        <v>2.1019394908138068E-2</v>
      </c>
      <c r="W69" s="50">
        <f>0</f>
        <v>0</v>
      </c>
      <c r="X69" s="51">
        <f t="shared" si="42"/>
        <v>192.83192888725864</v>
      </c>
      <c r="Y69" s="52">
        <f t="shared" si="43"/>
        <v>192.83192888725864</v>
      </c>
      <c r="Z69" s="14">
        <f t="shared" si="67"/>
        <v>0.41804018448668406</v>
      </c>
      <c r="AA69" s="5">
        <f t="shared" si="68"/>
        <v>4.4435040588794425E-2</v>
      </c>
      <c r="AB69">
        <f t="shared" si="44"/>
        <v>4.2200811199957368E-2</v>
      </c>
      <c r="AC69">
        <f t="shared" si="45"/>
        <v>2.2342293888370553E-3</v>
      </c>
      <c r="AD69" s="50">
        <f>0</f>
        <v>0</v>
      </c>
      <c r="AE69" s="51">
        <f t="shared" si="46"/>
        <v>20.496820413191145</v>
      </c>
      <c r="AF69" s="52">
        <f t="shared" si="47"/>
        <v>20.496820413191145</v>
      </c>
      <c r="AG69" s="14">
        <f t="shared" si="69"/>
        <v>4.4435040588794425E-2</v>
      </c>
      <c r="AH69" s="5">
        <f t="shared" si="70"/>
        <v>1.1108760147198606E-2</v>
      </c>
      <c r="AI69">
        <f t="shared" si="48"/>
        <v>1.0550202799989342E-2</v>
      </c>
      <c r="AJ69">
        <f t="shared" si="49"/>
        <v>5.5855734720926383E-4</v>
      </c>
      <c r="AK69" s="50">
        <f>0</f>
        <v>0</v>
      </c>
      <c r="AL69" s="51">
        <f t="shared" si="50"/>
        <v>5.1242051032977862</v>
      </c>
      <c r="AM69" s="52">
        <f t="shared" si="51"/>
        <v>5.1242051032977862</v>
      </c>
      <c r="AN69" s="14">
        <f t="shared" si="71"/>
        <v>7.7761321030390242E-3</v>
      </c>
      <c r="AO69" s="5">
        <f t="shared" si="72"/>
        <v>7.0160590403359566E-3</v>
      </c>
      <c r="AP69">
        <f t="shared" si="52"/>
        <v>6.6632859789406322E-3</v>
      </c>
      <c r="AQ69">
        <f t="shared" si="53"/>
        <v>3.5277306139532428E-4</v>
      </c>
      <c r="AR69" s="50">
        <f>0</f>
        <v>0</v>
      </c>
      <c r="AS69" s="51">
        <f t="shared" si="54"/>
        <v>3.2363400652407051</v>
      </c>
      <c r="AT69" s="52">
        <f t="shared" si="55"/>
        <v>3.2363400652407051</v>
      </c>
      <c r="AU69" s="14">
        <f t="shared" si="73"/>
        <v>4.2797960146049334E-3</v>
      </c>
      <c r="AV69" s="5">
        <f t="shared" si="74"/>
        <v>3.7418981548458456E-2</v>
      </c>
      <c r="AW69">
        <f t="shared" si="56"/>
        <v>3.5537525221016726E-2</v>
      </c>
      <c r="AX69">
        <f t="shared" si="57"/>
        <v>1.8814563274417305E-3</v>
      </c>
      <c r="AY69" s="50">
        <f>0</f>
        <v>0</v>
      </c>
      <c r="AZ69" s="51">
        <f t="shared" si="58"/>
        <v>17.260480347950434</v>
      </c>
      <c r="BA69" s="52">
        <f t="shared" si="59"/>
        <v>17.260480347950434</v>
      </c>
      <c r="BB69" s="14">
        <f t="shared" si="75"/>
        <v>2.6941666714890088E-2</v>
      </c>
      <c r="BC69" s="5">
        <f t="shared" si="76"/>
        <v>1.5676546312065703E-2</v>
      </c>
      <c r="BD69">
        <f t="shared" si="60"/>
        <v>1.5644746437871677E-2</v>
      </c>
      <c r="BE69">
        <f t="shared" si="61"/>
        <v>3.179987419402532E-5</v>
      </c>
      <c r="BF69" s="50">
        <f>0</f>
        <v>0</v>
      </c>
      <c r="BG69" s="51">
        <f t="shared" si="62"/>
        <v>0.29173204585598828</v>
      </c>
      <c r="BH69" s="52">
        <f t="shared" si="63"/>
        <v>0.29173204585598828</v>
      </c>
      <c r="BI69" s="14">
        <f t="shared" si="77"/>
        <v>9.4059277872394218E-4</v>
      </c>
      <c r="BJ69" s="5">
        <f>0 + '1. Strategy Calcs'!V68 + '1. Strategy Calcs'!AC68 + '1. Strategy Calcs'!AJ68 + '1. Strategy Calcs'!AQ68 + '1. Strategy Calcs'!AX68 + '1. Strategy Calcs'!BE68 + BJ68</f>
        <v>0.46630442787646287</v>
      </c>
      <c r="BK69" s="63">
        <f>0</f>
        <v>0</v>
      </c>
    </row>
    <row r="70" spans="2:63" x14ac:dyDescent="0.35">
      <c r="B70" s="14">
        <v>62</v>
      </c>
      <c r="D70" s="5">
        <f>'1. Strategy Calcs'!T70</f>
        <v>0.39702078957854597</v>
      </c>
      <c r="E70">
        <f>'1. Strategy Calcs'!AA70</f>
        <v>4.2200811199957368E-2</v>
      </c>
      <c r="F70">
        <f>'1. Strategy Calcs'!AH70</f>
        <v>1.0550202799989342E-2</v>
      </c>
      <c r="G70">
        <f>'1. Strategy Calcs'!AO70</f>
        <v>6.6632859789406322E-3</v>
      </c>
      <c r="H70">
        <f>'1. Strategy Calcs'!AV70</f>
        <v>3.5537525221016726E-2</v>
      </c>
      <c r="I70">
        <f>'1. Strategy Calcs'!BC70</f>
        <v>1.5644746437871677E-2</v>
      </c>
      <c r="J70" s="6">
        <f>'1. Strategy Calcs'!BJ70</f>
        <v>0.49238263878367833</v>
      </c>
      <c r="K70" s="50">
        <f>'1. Strategy Calcs'!Y70 + '1. Strategy Calcs'!AF70 + '1. Strategy Calcs'!AM70 + '1. Strategy Calcs'!AT70 + '1. Strategy Calcs'!BA70 + '1. Strategy Calcs'!BH70 + '1. Strategy Calcs'!BK70</f>
        <v>250.95173756885268</v>
      </c>
      <c r="L70" s="51">
        <f>K70*'Time Discounting'!C67</f>
        <v>40.149697297153843</v>
      </c>
      <c r="M70" s="52">
        <f t="shared" si="64"/>
        <v>136274.70815153181</v>
      </c>
      <c r="N70" s="5">
        <f>'1. Strategy Calcs'!Z70 + '1. Strategy Calcs'!AG70 + '1. Strategy Calcs'!AN70 + '1. Strategy Calcs'!AU70 + '1. Strategy Calcs'!BB70 + '1. Strategy Calcs'!BI70</f>
        <v>0.47719705013105401</v>
      </c>
      <c r="O70">
        <f>N70*'Time Discounting'!D67</f>
        <v>7.6346620666851911E-2</v>
      </c>
      <c r="P70" s="6">
        <f t="shared" si="65"/>
        <v>23.125364637685376</v>
      </c>
      <c r="R70" s="14">
        <f t="shared" si="39"/>
        <v>1</v>
      </c>
      <c r="T70" s="5">
        <f t="shared" si="66"/>
        <v>0.39702078957854597</v>
      </c>
      <c r="U70">
        <f t="shared" si="40"/>
        <v>0.37497398692077555</v>
      </c>
      <c r="V70">
        <f t="shared" si="41"/>
        <v>2.2046802657770405E-2</v>
      </c>
      <c r="W70" s="50">
        <f>0</f>
        <v>0</v>
      </c>
      <c r="X70" s="51">
        <f t="shared" si="42"/>
        <v>202.25736758238568</v>
      </c>
      <c r="Y70" s="52">
        <f t="shared" si="43"/>
        <v>202.25736758238568</v>
      </c>
      <c r="Z70" s="14">
        <f t="shared" si="67"/>
        <v>0.39702078957854597</v>
      </c>
      <c r="AA70" s="5">
        <f t="shared" si="68"/>
        <v>4.2200811199957368E-2</v>
      </c>
      <c r="AB70">
        <f t="shared" si="44"/>
        <v>3.9857374833537018E-2</v>
      </c>
      <c r="AC70">
        <f t="shared" si="45"/>
        <v>2.3434363664203528E-3</v>
      </c>
      <c r="AD70" s="50">
        <f>0</f>
        <v>0</v>
      </c>
      <c r="AE70" s="51">
        <f t="shared" si="46"/>
        <v>21.498685225540317</v>
      </c>
      <c r="AF70" s="52">
        <f t="shared" si="47"/>
        <v>21.498685225540317</v>
      </c>
      <c r="AG70" s="14">
        <f t="shared" si="69"/>
        <v>4.2200811199957368E-2</v>
      </c>
      <c r="AH70" s="5">
        <f t="shared" si="70"/>
        <v>1.0550202799989342E-2</v>
      </c>
      <c r="AI70">
        <f t="shared" si="48"/>
        <v>9.9643437083842545E-3</v>
      </c>
      <c r="AJ70">
        <f t="shared" si="49"/>
        <v>5.858590916050882E-4</v>
      </c>
      <c r="AK70" s="50">
        <f>0</f>
        <v>0</v>
      </c>
      <c r="AL70" s="51">
        <f t="shared" si="50"/>
        <v>5.3746713063850793</v>
      </c>
      <c r="AM70" s="52">
        <f t="shared" si="51"/>
        <v>5.3746713063850793</v>
      </c>
      <c r="AN70" s="14">
        <f t="shared" si="71"/>
        <v>7.385141959992539E-3</v>
      </c>
      <c r="AO70" s="5">
        <f t="shared" si="72"/>
        <v>6.6632859789406322E-3</v>
      </c>
      <c r="AP70">
        <f t="shared" si="52"/>
        <v>6.2932697105584721E-3</v>
      </c>
      <c r="AQ70">
        <f t="shared" si="53"/>
        <v>3.7001626838216065E-4</v>
      </c>
      <c r="AR70" s="50">
        <f>0</f>
        <v>0</v>
      </c>
      <c r="AS70" s="51">
        <f t="shared" si="54"/>
        <v>3.3945292461379419</v>
      </c>
      <c r="AT70" s="52">
        <f t="shared" si="55"/>
        <v>3.3945292461379419</v>
      </c>
      <c r="AU70" s="14">
        <f t="shared" si="73"/>
        <v>4.0646044471537857E-3</v>
      </c>
      <c r="AV70" s="5">
        <f t="shared" si="74"/>
        <v>3.5537525221016726E-2</v>
      </c>
      <c r="AW70">
        <f t="shared" si="56"/>
        <v>3.3564105122978534E-2</v>
      </c>
      <c r="AX70">
        <f t="shared" si="57"/>
        <v>1.9734200980381913E-3</v>
      </c>
      <c r="AY70" s="50">
        <f>0</f>
        <v>0</v>
      </c>
      <c r="AZ70" s="51">
        <f t="shared" si="58"/>
        <v>18.104155979402368</v>
      </c>
      <c r="BA70" s="52">
        <f t="shared" si="59"/>
        <v>18.104155979402368</v>
      </c>
      <c r="BB70" s="14">
        <f t="shared" si="75"/>
        <v>2.558701815913204E-2</v>
      </c>
      <c r="BC70" s="5">
        <f t="shared" si="76"/>
        <v>1.5644746437871677E-2</v>
      </c>
      <c r="BD70">
        <f t="shared" si="60"/>
        <v>1.5609611466321506E-2</v>
      </c>
      <c r="BE70">
        <f t="shared" si="61"/>
        <v>3.5134971550172215E-5</v>
      </c>
      <c r="BF70" s="50">
        <f>0</f>
        <v>0</v>
      </c>
      <c r="BG70" s="51">
        <f t="shared" si="62"/>
        <v>0.32232822900127989</v>
      </c>
      <c r="BH70" s="52">
        <f t="shared" si="63"/>
        <v>0.32232822900127989</v>
      </c>
      <c r="BI70" s="14">
        <f t="shared" si="77"/>
        <v>9.3868478627230059E-4</v>
      </c>
      <c r="BJ70" s="5">
        <f>0 + '1. Strategy Calcs'!V69 + '1. Strategy Calcs'!AC69 + '1. Strategy Calcs'!AJ69 + '1. Strategy Calcs'!AQ69 + '1. Strategy Calcs'!AX69 + '1. Strategy Calcs'!BE69 + BJ69</f>
        <v>0.49238263878367833</v>
      </c>
      <c r="BK70" s="63">
        <f>0</f>
        <v>0</v>
      </c>
    </row>
    <row r="71" spans="2:63" x14ac:dyDescent="0.35">
      <c r="B71" s="14">
        <v>63</v>
      </c>
      <c r="D71" s="5">
        <f>'1. Strategy Calcs'!T71</f>
        <v>0.37497398692077555</v>
      </c>
      <c r="E71">
        <f>'1. Strategy Calcs'!AA71</f>
        <v>3.9857374833537018E-2</v>
      </c>
      <c r="F71">
        <f>'1. Strategy Calcs'!AH71</f>
        <v>9.9643437083842545E-3</v>
      </c>
      <c r="G71">
        <f>'1. Strategy Calcs'!AO71</f>
        <v>6.2932697105584721E-3</v>
      </c>
      <c r="H71">
        <f>'1. Strategy Calcs'!AV71</f>
        <v>3.3564105122978534E-2</v>
      </c>
      <c r="I71">
        <f>'1. Strategy Calcs'!BC71</f>
        <v>1.5609611466321506E-2</v>
      </c>
      <c r="J71" s="6">
        <f>'1. Strategy Calcs'!BJ71</f>
        <v>0.51973730823744468</v>
      </c>
      <c r="K71" s="50">
        <f>'1. Strategy Calcs'!Y71 + '1. Strategy Calcs'!AF71 + '1. Strategy Calcs'!AM71 + '1. Strategy Calcs'!AT71 + '1. Strategy Calcs'!BA71 + '1. Strategy Calcs'!BH71 + '1. Strategy Calcs'!BK71</f>
        <v>237.03341220582845</v>
      </c>
      <c r="L71" s="51">
        <f>K71*'Time Discounting'!C68</f>
        <v>36.818357641781084</v>
      </c>
      <c r="M71" s="52">
        <f t="shared" si="64"/>
        <v>136311.52650917359</v>
      </c>
      <c r="N71" s="5">
        <f>'1. Strategy Calcs'!Z71 + '1. Strategy Calcs'!AG71 + '1. Strategy Calcs'!AN71 + '1. Strategy Calcs'!AU71 + '1. Strategy Calcs'!BB71 + '1. Strategy Calcs'!BI71</f>
        <v>0.45074802925014601</v>
      </c>
      <c r="O71">
        <f>N71*'Time Discounting'!D68</f>
        <v>7.0014610990153908E-2</v>
      </c>
      <c r="P71" s="6">
        <f t="shared" si="65"/>
        <v>23.195379248675529</v>
      </c>
      <c r="R71" s="14">
        <f t="shared" si="39"/>
        <v>1</v>
      </c>
      <c r="T71" s="5">
        <f t="shared" si="66"/>
        <v>0.37497398692077555</v>
      </c>
      <c r="U71">
        <f t="shared" si="40"/>
        <v>0.35415145644267271</v>
      </c>
      <c r="V71">
        <f t="shared" si="41"/>
        <v>2.082253047810282E-2</v>
      </c>
      <c r="W71" s="50">
        <f>0</f>
        <v>0</v>
      </c>
      <c r="X71" s="51">
        <f t="shared" si="42"/>
        <v>191.02589460611526</v>
      </c>
      <c r="Y71" s="52">
        <f t="shared" si="43"/>
        <v>191.02589460611526</v>
      </c>
      <c r="Z71" s="14">
        <f t="shared" si="67"/>
        <v>0.37497398692077555</v>
      </c>
      <c r="AA71" s="5">
        <f t="shared" si="68"/>
        <v>3.9857374833537018E-2</v>
      </c>
      <c r="AB71">
        <f t="shared" si="44"/>
        <v>3.7644070894605808E-2</v>
      </c>
      <c r="AC71">
        <f t="shared" si="45"/>
        <v>2.2133039389312108E-3</v>
      </c>
      <c r="AD71" s="50">
        <f>0</f>
        <v>0</v>
      </c>
      <c r="AE71" s="51">
        <f t="shared" si="46"/>
        <v>20.304850335754928</v>
      </c>
      <c r="AF71" s="52">
        <f t="shared" si="47"/>
        <v>20.304850335754928</v>
      </c>
      <c r="AG71" s="14">
        <f t="shared" si="69"/>
        <v>3.9857374833537018E-2</v>
      </c>
      <c r="AH71" s="5">
        <f t="shared" si="70"/>
        <v>9.9643437083842545E-3</v>
      </c>
      <c r="AI71">
        <f t="shared" si="48"/>
        <v>9.4110177236514519E-3</v>
      </c>
      <c r="AJ71">
        <f t="shared" si="49"/>
        <v>5.533259847328027E-4</v>
      </c>
      <c r="AK71" s="50">
        <f>0</f>
        <v>0</v>
      </c>
      <c r="AL71" s="51">
        <f t="shared" si="50"/>
        <v>5.076212583938732</v>
      </c>
      <c r="AM71" s="52">
        <f t="shared" si="51"/>
        <v>5.076212583938732</v>
      </c>
      <c r="AN71" s="14">
        <f t="shared" si="71"/>
        <v>6.9750405958689775E-3</v>
      </c>
      <c r="AO71" s="5">
        <f t="shared" si="72"/>
        <v>6.2932697105584721E-3</v>
      </c>
      <c r="AP71">
        <f t="shared" si="52"/>
        <v>5.943800667569334E-3</v>
      </c>
      <c r="AQ71">
        <f t="shared" si="53"/>
        <v>3.4946904298913827E-4</v>
      </c>
      <c r="AR71" s="50">
        <f>0</f>
        <v>0</v>
      </c>
      <c r="AS71" s="51">
        <f t="shared" si="54"/>
        <v>3.2060290003823546</v>
      </c>
      <c r="AT71" s="52">
        <f t="shared" si="55"/>
        <v>3.2060290003823546</v>
      </c>
      <c r="AU71" s="14">
        <f t="shared" si="73"/>
        <v>3.8388945234406678E-3</v>
      </c>
      <c r="AV71" s="5">
        <f t="shared" si="74"/>
        <v>3.3564105122978534E-2</v>
      </c>
      <c r="AW71">
        <f t="shared" si="56"/>
        <v>3.1700270227036462E-2</v>
      </c>
      <c r="AX71">
        <f t="shared" si="57"/>
        <v>1.8638348959420718E-3</v>
      </c>
      <c r="AY71" s="50">
        <f>0</f>
        <v>0</v>
      </c>
      <c r="AZ71" s="51">
        <f t="shared" si="58"/>
        <v>17.098821335372566</v>
      </c>
      <c r="BA71" s="52">
        <f t="shared" si="59"/>
        <v>17.098821335372566</v>
      </c>
      <c r="BB71" s="14">
        <f t="shared" si="75"/>
        <v>2.4166155688544542E-2</v>
      </c>
      <c r="BC71" s="5">
        <f t="shared" si="76"/>
        <v>1.5609611466321506E-2</v>
      </c>
      <c r="BD71">
        <f t="shared" si="60"/>
        <v>1.5574555400890443E-2</v>
      </c>
      <c r="BE71">
        <f t="shared" si="61"/>
        <v>3.5056065431064841E-5</v>
      </c>
      <c r="BF71" s="50">
        <f>0</f>
        <v>0</v>
      </c>
      <c r="BG71" s="51">
        <f t="shared" si="62"/>
        <v>0.32160434426458884</v>
      </c>
      <c r="BH71" s="52">
        <f t="shared" si="63"/>
        <v>0.32160434426458884</v>
      </c>
      <c r="BI71" s="14">
        <f t="shared" si="77"/>
        <v>9.3657668797929034E-4</v>
      </c>
      <c r="BJ71" s="5">
        <f>0 + '1. Strategy Calcs'!V70 + '1. Strategy Calcs'!AC70 + '1. Strategy Calcs'!AJ70 + '1. Strategy Calcs'!AQ70 + '1. Strategy Calcs'!AX70 + '1. Strategy Calcs'!BE70 + BJ70</f>
        <v>0.51973730823744468</v>
      </c>
      <c r="BK71" s="63">
        <f>0</f>
        <v>0</v>
      </c>
    </row>
    <row r="72" spans="2:63" x14ac:dyDescent="0.35">
      <c r="B72" s="14">
        <v>64</v>
      </c>
      <c r="D72" s="5">
        <f>'1. Strategy Calcs'!T72</f>
        <v>0.35415145644267271</v>
      </c>
      <c r="E72">
        <f>'1. Strategy Calcs'!AA72</f>
        <v>3.7644070894605808E-2</v>
      </c>
      <c r="F72">
        <f>'1. Strategy Calcs'!AH72</f>
        <v>9.4110177236514519E-3</v>
      </c>
      <c r="G72">
        <f>'1. Strategy Calcs'!AO72</f>
        <v>5.943800667569334E-3</v>
      </c>
      <c r="H72">
        <f>'1. Strategy Calcs'!AV72</f>
        <v>3.1700270227036462E-2</v>
      </c>
      <c r="I72">
        <f>'1. Strategy Calcs'!BC72</f>
        <v>1.5574555400890443E-2</v>
      </c>
      <c r="J72" s="6">
        <f>'1. Strategy Calcs'!BJ72</f>
        <v>0.54557482864357376</v>
      </c>
      <c r="K72" s="50">
        <f>'1. Strategy Calcs'!Y72 + '1. Strategy Calcs'!AF72 + '1. Strategy Calcs'!AM72 + '1. Strategy Calcs'!AT72 + '1. Strategy Calcs'!BA72 + '1. Strategy Calcs'!BH72 + '1. Strategy Calcs'!BK72</f>
        <v>223.88794122915473</v>
      </c>
      <c r="L72" s="51">
        <f>K72*'Time Discounting'!C69</f>
        <v>33.763566970425195</v>
      </c>
      <c r="M72" s="52">
        <f t="shared" si="64"/>
        <v>136345.29007614401</v>
      </c>
      <c r="N72" s="5">
        <f>'1. Strategy Calcs'!Z72 + '1. Strategy Calcs'!AG72 + '1. Strategy Calcs'!AN72 + '1. Strategy Calcs'!AU72 + '1. Strategy Calcs'!BB72 + '1. Strategy Calcs'!BI72</f>
        <v>0.42576762603857154</v>
      </c>
      <c r="O72">
        <f>N72*'Time Discounting'!D69</f>
        <v>6.4208164480277455E-2</v>
      </c>
      <c r="P72" s="6">
        <f t="shared" si="65"/>
        <v>23.259587413155806</v>
      </c>
      <c r="R72" s="14">
        <f t="shared" ref="R72:R90" si="78">SUM(D72:J72)</f>
        <v>1</v>
      </c>
      <c r="T72" s="5">
        <f t="shared" si="66"/>
        <v>0.35415145644267271</v>
      </c>
      <c r="U72">
        <f t="shared" ref="U72:U89" si="79">T72*(1-(InterpolateTable(tdead,cycle+18,1)))</f>
        <v>0.33448521357553723</v>
      </c>
      <c r="V72">
        <f t="shared" ref="V72:V89" si="80">T72*(InterpolateTable(tdead,cycle+18,1))</f>
        <v>1.9666242867135482E-2</v>
      </c>
      <c r="W72" s="50">
        <f>0</f>
        <v>0</v>
      </c>
      <c r="X72" s="51">
        <f t="shared" ref="X72:X89" si="81">V72*(cDead)</f>
        <v>180.41811206310092</v>
      </c>
      <c r="Y72" s="52">
        <f t="shared" ref="Y72:Y90" si="82">SUM(W72:X72)</f>
        <v>180.41811206310092</v>
      </c>
      <c r="Z72" s="14">
        <f t="shared" si="67"/>
        <v>0.35415145644267271</v>
      </c>
      <c r="AA72" s="5">
        <f t="shared" si="68"/>
        <v>3.7644070894605808E-2</v>
      </c>
      <c r="AB72">
        <f t="shared" ref="AB72:AB89" si="83">AA72*(1-(InterpolateTable(tdead,cycle+18,1)))</f>
        <v>3.5553673051385813E-2</v>
      </c>
      <c r="AC72">
        <f t="shared" ref="AC72:AC89" si="84">AA72*(InterpolateTable(tdead,cycle+18,1))</f>
        <v>2.0903978432199972E-3</v>
      </c>
      <c r="AD72" s="50">
        <f>0</f>
        <v>0</v>
      </c>
      <c r="AE72" s="51">
        <f t="shared" ref="AE72:AE89" si="85">AC72*(cDead)</f>
        <v>19.177309813700255</v>
      </c>
      <c r="AF72" s="52">
        <f t="shared" ref="AF72:AF90" si="86">SUM(AD72:AE72)</f>
        <v>19.177309813700255</v>
      </c>
      <c r="AG72" s="14">
        <f t="shared" si="69"/>
        <v>3.7644070894605808E-2</v>
      </c>
      <c r="AH72" s="5">
        <f t="shared" si="70"/>
        <v>9.4110177236514519E-3</v>
      </c>
      <c r="AI72">
        <f t="shared" ref="AI72:AI89" si="87">AH72*(1-(InterpolateTable(tdead,cycle+18,1)))</f>
        <v>8.8884182628464533E-3</v>
      </c>
      <c r="AJ72">
        <f t="shared" ref="AJ72:AJ89" si="88">AH72*(InterpolateTable(tdead,cycle+18,1))</f>
        <v>5.225994608049993E-4</v>
      </c>
      <c r="AK72" s="50">
        <f>0</f>
        <v>0</v>
      </c>
      <c r="AL72" s="51">
        <f t="shared" ref="AL72:AL89" si="89">AJ72*(cDead)</f>
        <v>4.7943274534250637</v>
      </c>
      <c r="AM72" s="52">
        <f t="shared" ref="AM72:AM90" si="90">SUM(AK72:AL72)</f>
        <v>4.7943274534250637</v>
      </c>
      <c r="AN72" s="14">
        <f t="shared" si="71"/>
        <v>6.5877124065560162E-3</v>
      </c>
      <c r="AO72" s="5">
        <f t="shared" si="72"/>
        <v>5.943800667569334E-3</v>
      </c>
      <c r="AP72">
        <f t="shared" ref="AP72:AP89" si="91">AO72*(1-(InterpolateTable(tdead,cycle+18,1)))</f>
        <v>5.6137378502188083E-3</v>
      </c>
      <c r="AQ72">
        <f t="shared" ref="AQ72:AQ89" si="92">AO72*(InterpolateTable(tdead,cycle+18,1))</f>
        <v>3.3006281735052564E-4</v>
      </c>
      <c r="AR72" s="50">
        <f>0</f>
        <v>0</v>
      </c>
      <c r="AS72" s="51">
        <f t="shared" ref="AS72:AS89" si="93">AQ72*(cDead)</f>
        <v>3.0279962863737224</v>
      </c>
      <c r="AT72" s="52">
        <f t="shared" ref="AT72:AT90" si="94">SUM(AR72:AS72)</f>
        <v>3.0279962863737224</v>
      </c>
      <c r="AU72" s="14">
        <f t="shared" si="73"/>
        <v>3.6257184072172937E-3</v>
      </c>
      <c r="AV72" s="5">
        <f t="shared" si="74"/>
        <v>3.1700270227036462E-2</v>
      </c>
      <c r="AW72">
        <f t="shared" ref="AW72:AW89" si="95">AV72*(1-(InterpolateTable(tdead,cycle+18,1)))</f>
        <v>2.993993520116699E-2</v>
      </c>
      <c r="AX72">
        <f t="shared" ref="AX72:AX89" si="96">AV72*(InterpolateTable(tdead,cycle+18,1))</f>
        <v>1.7603350258694709E-3</v>
      </c>
      <c r="AY72" s="50">
        <f>0</f>
        <v>0</v>
      </c>
      <c r="AZ72" s="51">
        <f t="shared" ref="AZ72:AZ89" si="97">AX72*(cDead)</f>
        <v>16.149313527326527</v>
      </c>
      <c r="BA72" s="52">
        <f t="shared" ref="BA72:BA90" si="98">SUM(AY72:AZ72)</f>
        <v>16.149313527326527</v>
      </c>
      <c r="BB72" s="14">
        <f t="shared" si="75"/>
        <v>2.2824194563466252E-2</v>
      </c>
      <c r="BC72" s="5">
        <f t="shared" si="76"/>
        <v>1.5574555400890443E-2</v>
      </c>
      <c r="BD72">
        <f t="shared" ref="BD72:BD89" si="99">BC72*(1-(InterpolateTable(tdead_inc,cycle+18,1)))</f>
        <v>1.5539578064371123E-2</v>
      </c>
      <c r="BE72">
        <f t="shared" ref="BE72:BE89" si="100">BC72*(InterpolateTable(tdead_inc,cycle+18,1))</f>
        <v>3.4977336519319755E-5</v>
      </c>
      <c r="BF72" s="50">
        <f>0</f>
        <v>0</v>
      </c>
      <c r="BG72" s="51">
        <f t="shared" ref="BG72:BG89" si="101">BE72*(cDead)</f>
        <v>0.32088208522823941</v>
      </c>
      <c r="BH72" s="52">
        <f t="shared" ref="BH72:BH90" si="102">SUM(BF72:BG72)</f>
        <v>0.32088208522823941</v>
      </c>
      <c r="BI72" s="14">
        <f t="shared" si="77"/>
        <v>9.3447332405342657E-4</v>
      </c>
      <c r="BJ72" s="5">
        <f>0 + '1. Strategy Calcs'!V71 + '1. Strategy Calcs'!AC71 + '1. Strategy Calcs'!AJ71 + '1. Strategy Calcs'!AQ71 + '1. Strategy Calcs'!AX71 + '1. Strategy Calcs'!BE71 + BJ71</f>
        <v>0.54557482864357376</v>
      </c>
      <c r="BK72" s="63">
        <f>0</f>
        <v>0</v>
      </c>
    </row>
    <row r="73" spans="2:63" x14ac:dyDescent="0.35">
      <c r="B73" s="14">
        <v>65</v>
      </c>
      <c r="D73" s="5">
        <f>'1. Strategy Calcs'!T73</f>
        <v>0.33448521357553723</v>
      </c>
      <c r="E73">
        <f>'1. Strategy Calcs'!AA73</f>
        <v>3.5553673051385813E-2</v>
      </c>
      <c r="F73">
        <f>'1. Strategy Calcs'!AH73</f>
        <v>8.8884182628464533E-3</v>
      </c>
      <c r="G73">
        <f>'1. Strategy Calcs'!AO73</f>
        <v>5.6137378502188083E-3</v>
      </c>
      <c r="H73">
        <f>'1. Strategy Calcs'!AV73</f>
        <v>2.993993520116699E-2</v>
      </c>
      <c r="I73">
        <f>'1. Strategy Calcs'!BC73</f>
        <v>1.5539578064371123E-2</v>
      </c>
      <c r="J73" s="6">
        <f>'1. Strategy Calcs'!BJ73</f>
        <v>0.56997944399447353</v>
      </c>
      <c r="K73" s="50">
        <f>'1. Strategy Calcs'!Y73 + '1. Strategy Calcs'!AF73 + '1. Strategy Calcs'!AM73 + '1. Strategy Calcs'!AT73 + '1. Strategy Calcs'!BA73 + '1. Strategy Calcs'!BH73 + '1. Strategy Calcs'!BK73</f>
        <v>211.47240765766998</v>
      </c>
      <c r="L73" s="51">
        <f>K73*'Time Discounting'!C70</f>
        <v>30.962363431289138</v>
      </c>
      <c r="M73" s="52">
        <f t="shared" ref="M73:M90" si="103">M72 + L73</f>
        <v>136376.2524395753</v>
      </c>
      <c r="N73" s="5">
        <f>'1. Strategy Calcs'!Z73 + '1. Strategy Calcs'!AG73 + '1. Strategy Calcs'!AN73 + '1. Strategy Calcs'!AU73 + '1. Strategy Calcs'!BB73 + '1. Strategy Calcs'!BI73</f>
        <v>0.40217428752825157</v>
      </c>
      <c r="O73">
        <f>N73*'Time Discounting'!D70</f>
        <v>5.8883646292650811E-2</v>
      </c>
      <c r="P73" s="6">
        <f t="shared" ref="P73:P90" si="104">P72 + O73</f>
        <v>23.318471059448456</v>
      </c>
      <c r="R73" s="14">
        <f t="shared" si="78"/>
        <v>1</v>
      </c>
      <c r="T73" s="5">
        <f t="shared" ref="T73:T90" si="105">0 + U72</f>
        <v>0.33448521357553723</v>
      </c>
      <c r="U73">
        <f t="shared" si="79"/>
        <v>0.31591104897455952</v>
      </c>
      <c r="V73">
        <f t="shared" si="80"/>
        <v>1.8574164600977727E-2</v>
      </c>
      <c r="W73" s="50">
        <f>0</f>
        <v>0</v>
      </c>
      <c r="X73" s="51">
        <f t="shared" si="81"/>
        <v>170.39938604936967</v>
      </c>
      <c r="Y73" s="52">
        <f t="shared" si="82"/>
        <v>170.39938604936967</v>
      </c>
      <c r="Z73" s="14">
        <f t="shared" ref="Z73:Z89" si="106">T73*(uAlive)</f>
        <v>0.33448521357553723</v>
      </c>
      <c r="AA73" s="5">
        <f t="shared" ref="AA73:AA90" si="107">0 + AB72</f>
        <v>3.5553673051385813E-2</v>
      </c>
      <c r="AB73">
        <f t="shared" si="83"/>
        <v>3.357935625463853E-2</v>
      </c>
      <c r="AC73">
        <f t="shared" si="84"/>
        <v>1.9743167967472852E-3</v>
      </c>
      <c r="AD73" s="50">
        <f>0</f>
        <v>0</v>
      </c>
      <c r="AE73" s="51">
        <f t="shared" si="85"/>
        <v>18.112382293359595</v>
      </c>
      <c r="AF73" s="52">
        <f t="shared" si="86"/>
        <v>18.112382293359595</v>
      </c>
      <c r="AG73" s="14">
        <f t="shared" ref="AG73:AG89" si="108">AA73*(uSkinScarring_Node4)</f>
        <v>3.5553673051385813E-2</v>
      </c>
      <c r="AH73" s="5">
        <f t="shared" ref="AH73:AH90" si="109">0 + AI72</f>
        <v>8.8884182628464533E-3</v>
      </c>
      <c r="AI73">
        <f t="shared" si="87"/>
        <v>8.3948390636596325E-3</v>
      </c>
      <c r="AJ73">
        <f t="shared" si="88"/>
        <v>4.9357919918682129E-4</v>
      </c>
      <c r="AK73" s="50">
        <f>0</f>
        <v>0</v>
      </c>
      <c r="AL73" s="51">
        <f t="shared" si="89"/>
        <v>4.5280955733398986</v>
      </c>
      <c r="AM73" s="52">
        <f t="shared" si="90"/>
        <v>4.5280955733398986</v>
      </c>
      <c r="AN73" s="14">
        <f t="shared" ref="AN73:AN89" si="110">AH73*(uSingleAmp_Node6)</f>
        <v>6.2218927839925173E-3</v>
      </c>
      <c r="AO73" s="5">
        <f t="shared" ref="AO73:AO90" si="111">0 + AP72</f>
        <v>5.6137378502188083E-3</v>
      </c>
      <c r="AP73">
        <f t="shared" si="91"/>
        <v>5.3020036191534477E-3</v>
      </c>
      <c r="AQ73">
        <f t="shared" si="92"/>
        <v>3.1173423106536056E-4</v>
      </c>
      <c r="AR73" s="50">
        <f>0</f>
        <v>0</v>
      </c>
      <c r="AS73" s="51">
        <f t="shared" si="93"/>
        <v>2.859849835793618</v>
      </c>
      <c r="AT73" s="52">
        <f t="shared" si="94"/>
        <v>2.859849835793618</v>
      </c>
      <c r="AU73" s="14">
        <f t="shared" ref="AU73:AU89" si="112">AO73*(uMultipleAmp_Node7)</f>
        <v>3.4243800886334728E-3</v>
      </c>
      <c r="AV73" s="5">
        <f t="shared" ref="AV73:AV90" si="113">0 + AW72</f>
        <v>2.993993520116699E-2</v>
      </c>
      <c r="AW73">
        <f t="shared" si="95"/>
        <v>2.8277352635485066E-2</v>
      </c>
      <c r="AX73">
        <f t="shared" si="96"/>
        <v>1.6625825656819237E-3</v>
      </c>
      <c r="AY73" s="50">
        <f>0</f>
        <v>0</v>
      </c>
      <c r="AZ73" s="51">
        <f t="shared" si="97"/>
        <v>15.252532457565968</v>
      </c>
      <c r="BA73" s="52">
        <f t="shared" si="98"/>
        <v>15.252532457565968</v>
      </c>
      <c r="BB73" s="14">
        <f t="shared" ref="BB73:BB89" si="114">AV73*(uHearingLoss_Node10)</f>
        <v>2.1556753344840231E-2</v>
      </c>
      <c r="BC73" s="5">
        <f t="shared" ref="BC73:BC90" si="115">0 + BD72</f>
        <v>1.5539578064371123E-2</v>
      </c>
      <c r="BD73">
        <f t="shared" si="99"/>
        <v>1.5504679279954159E-2</v>
      </c>
      <c r="BE73">
        <f t="shared" si="100"/>
        <v>3.4898784416964669E-5</v>
      </c>
      <c r="BF73" s="50">
        <f>0</f>
        <v>0</v>
      </c>
      <c r="BG73" s="51">
        <f t="shared" si="101"/>
        <v>0.32016144824123388</v>
      </c>
      <c r="BH73" s="52">
        <f t="shared" si="102"/>
        <v>0.32016144824123388</v>
      </c>
      <c r="BI73" s="14">
        <f t="shared" ref="BI73:BI89" si="116">BC73*(uNeuroDis_Node11)</f>
        <v>9.323746838622673E-4</v>
      </c>
      <c r="BJ73" s="5">
        <f>0 + '1. Strategy Calcs'!V72 + '1. Strategy Calcs'!AC72 + '1. Strategy Calcs'!AJ72 + '1. Strategy Calcs'!AQ72 + '1. Strategy Calcs'!AX72 + '1. Strategy Calcs'!BE72 + BJ72</f>
        <v>0.56997944399447353</v>
      </c>
      <c r="BK73" s="63">
        <f>0</f>
        <v>0</v>
      </c>
    </row>
    <row r="74" spans="2:63" x14ac:dyDescent="0.35">
      <c r="B74" s="14">
        <v>66</v>
      </c>
      <c r="D74" s="5">
        <f>'1. Strategy Calcs'!T74</f>
        <v>0.31591104897455952</v>
      </c>
      <c r="E74">
        <f>'1. Strategy Calcs'!AA74</f>
        <v>3.357935625463853E-2</v>
      </c>
      <c r="F74">
        <f>'1. Strategy Calcs'!AH74</f>
        <v>8.3948390636596325E-3</v>
      </c>
      <c r="G74">
        <f>'1. Strategy Calcs'!AO74</f>
        <v>5.3020036191534477E-3</v>
      </c>
      <c r="H74">
        <f>'1. Strategy Calcs'!AV74</f>
        <v>2.8277352635485066E-2</v>
      </c>
      <c r="I74">
        <f>'1. Strategy Calcs'!BC74</f>
        <v>1.5504679279954159E-2</v>
      </c>
      <c r="J74" s="6">
        <f>'1. Strategy Calcs'!BJ74</f>
        <v>0.59303072017254965</v>
      </c>
      <c r="K74" s="50">
        <f>'1. Strategy Calcs'!Y74 + '1. Strategy Calcs'!AF74 + '1. Strategy Calcs'!AM74 + '1. Strategy Calcs'!AT74 + '1. Strategy Calcs'!BA74 + '1. Strategy Calcs'!BH74 + '1. Strategy Calcs'!BK74</f>
        <v>199.74627771573225</v>
      </c>
      <c r="L74" s="51">
        <f>K74*'Time Discounting'!C71</f>
        <v>28.393691829514726</v>
      </c>
      <c r="M74" s="52">
        <f t="shared" si="103"/>
        <v>136404.64613140482</v>
      </c>
      <c r="N74" s="5">
        <f>'1. Strategy Calcs'!Z74 + '1. Strategy Calcs'!AG74 + '1. Strategy Calcs'!AN74 + '1. Strategy Calcs'!AU74 + '1. Strategy Calcs'!BB74 + '1. Strategy Calcs'!BI74</f>
        <v>0.37989098943578992</v>
      </c>
      <c r="O74">
        <f>N74*'Time Discounting'!D71</f>
        <v>5.4001044756388443E-2</v>
      </c>
      <c r="P74" s="6">
        <f t="shared" si="104"/>
        <v>23.372472104204846</v>
      </c>
      <c r="R74" s="14">
        <f t="shared" si="78"/>
        <v>1</v>
      </c>
      <c r="T74" s="5">
        <f t="shared" si="105"/>
        <v>0.31591104897455952</v>
      </c>
      <c r="U74">
        <f t="shared" si="79"/>
        <v>0.29836831887837284</v>
      </c>
      <c r="V74">
        <f t="shared" si="80"/>
        <v>1.7542730096186676E-2</v>
      </c>
      <c r="W74" s="50">
        <f>0</f>
        <v>0</v>
      </c>
      <c r="X74" s="51">
        <f t="shared" si="81"/>
        <v>160.93700590241656</v>
      </c>
      <c r="Y74" s="52">
        <f t="shared" si="82"/>
        <v>160.93700590241656</v>
      </c>
      <c r="Z74" s="14">
        <f t="shared" si="106"/>
        <v>0.31591104897455952</v>
      </c>
      <c r="AA74" s="5">
        <f t="shared" si="107"/>
        <v>3.357935625463853E-2</v>
      </c>
      <c r="AB74">
        <f t="shared" si="83"/>
        <v>3.17146744542047E-2</v>
      </c>
      <c r="AC74">
        <f t="shared" si="84"/>
        <v>1.8646818004338303E-3</v>
      </c>
      <c r="AD74" s="50">
        <f>0</f>
        <v>0</v>
      </c>
      <c r="AE74" s="51">
        <f t="shared" si="85"/>
        <v>17.106590837179958</v>
      </c>
      <c r="AF74" s="52">
        <f t="shared" si="86"/>
        <v>17.106590837179958</v>
      </c>
      <c r="AG74" s="14">
        <f t="shared" si="108"/>
        <v>3.357935625463853E-2</v>
      </c>
      <c r="AH74" s="5">
        <f t="shared" si="109"/>
        <v>8.3948390636596325E-3</v>
      </c>
      <c r="AI74">
        <f t="shared" si="87"/>
        <v>7.928668613551175E-3</v>
      </c>
      <c r="AJ74">
        <f t="shared" si="88"/>
        <v>4.6617045010845758E-4</v>
      </c>
      <c r="AK74" s="50">
        <f>0</f>
        <v>0</v>
      </c>
      <c r="AL74" s="51">
        <f t="shared" si="89"/>
        <v>4.2766477092949895</v>
      </c>
      <c r="AM74" s="52">
        <f t="shared" si="90"/>
        <v>4.2766477092949895</v>
      </c>
      <c r="AN74" s="14">
        <f t="shared" si="110"/>
        <v>5.8763873445617423E-3</v>
      </c>
      <c r="AO74" s="5">
        <f t="shared" si="111"/>
        <v>5.3020036191534477E-3</v>
      </c>
      <c r="AP74">
        <f t="shared" si="91"/>
        <v>5.0075801769796854E-3</v>
      </c>
      <c r="AQ74">
        <f t="shared" si="92"/>
        <v>2.9442344217376243E-4</v>
      </c>
      <c r="AR74" s="50">
        <f>0</f>
        <v>0</v>
      </c>
      <c r="AS74" s="51">
        <f t="shared" si="93"/>
        <v>2.7010406585020967</v>
      </c>
      <c r="AT74" s="52">
        <f t="shared" si="94"/>
        <v>2.7010406585020967</v>
      </c>
      <c r="AU74" s="14">
        <f t="shared" si="112"/>
        <v>3.2342222076836031E-3</v>
      </c>
      <c r="AV74" s="5">
        <f t="shared" si="113"/>
        <v>2.8277352635485066E-2</v>
      </c>
      <c r="AW74">
        <f t="shared" si="95"/>
        <v>2.6707094277225001E-2</v>
      </c>
      <c r="AX74">
        <f t="shared" si="96"/>
        <v>1.570258358260067E-3</v>
      </c>
      <c r="AY74" s="50">
        <f>0</f>
        <v>0</v>
      </c>
      <c r="AZ74" s="51">
        <f t="shared" si="97"/>
        <v>14.405550178677855</v>
      </c>
      <c r="BA74" s="52">
        <f t="shared" si="98"/>
        <v>14.405550178677855</v>
      </c>
      <c r="BB74" s="14">
        <f t="shared" si="114"/>
        <v>2.0359693897549248E-2</v>
      </c>
      <c r="BC74" s="5">
        <f t="shared" si="115"/>
        <v>1.5504679279954159E-2</v>
      </c>
      <c r="BD74">
        <f t="shared" si="99"/>
        <v>1.5469858871227239E-2</v>
      </c>
      <c r="BE74">
        <f t="shared" si="100"/>
        <v>3.4820408726921051E-5</v>
      </c>
      <c r="BF74" s="50">
        <f>0</f>
        <v>0</v>
      </c>
      <c r="BG74" s="51">
        <f t="shared" si="101"/>
        <v>0.31944242966077374</v>
      </c>
      <c r="BH74" s="52">
        <f t="shared" si="102"/>
        <v>0.31944242966077374</v>
      </c>
      <c r="BI74" s="14">
        <f t="shared" si="116"/>
        <v>9.3028075679724956E-4</v>
      </c>
      <c r="BJ74" s="5">
        <f>0 + '1. Strategy Calcs'!V73 + '1. Strategy Calcs'!AC73 + '1. Strategy Calcs'!AJ73 + '1. Strategy Calcs'!AQ73 + '1. Strategy Calcs'!AX73 + '1. Strategy Calcs'!BE73 + BJ73</f>
        <v>0.59303072017254965</v>
      </c>
      <c r="BK74" s="63">
        <f>0</f>
        <v>0</v>
      </c>
    </row>
    <row r="75" spans="2:63" x14ac:dyDescent="0.35">
      <c r="B75" s="14">
        <v>67</v>
      </c>
      <c r="D75" s="5">
        <f>'1. Strategy Calcs'!T75</f>
        <v>0.29836831887837284</v>
      </c>
      <c r="E75">
        <f>'1. Strategy Calcs'!AA75</f>
        <v>3.17146744542047E-2</v>
      </c>
      <c r="F75">
        <f>'1. Strategy Calcs'!AH75</f>
        <v>7.928668613551175E-3</v>
      </c>
      <c r="G75">
        <f>'1. Strategy Calcs'!AO75</f>
        <v>5.0075801769796854E-3</v>
      </c>
      <c r="H75">
        <f>'1. Strategy Calcs'!AV75</f>
        <v>2.6707094277225001E-2</v>
      </c>
      <c r="I75">
        <f>'1. Strategy Calcs'!BC75</f>
        <v>1.5469858871227239E-2</v>
      </c>
      <c r="J75" s="6">
        <f>'1. Strategy Calcs'!BJ75</f>
        <v>0.61480380472843932</v>
      </c>
      <c r="K75" s="50">
        <f>'1. Strategy Calcs'!Y75 + '1. Strategy Calcs'!AF75 + '1. Strategy Calcs'!AM75 + '1. Strategy Calcs'!AT75 + '1. Strategy Calcs'!BA75 + '1. Strategy Calcs'!BH75 + '1. Strategy Calcs'!BK75</f>
        <v>188.67126849238696</v>
      </c>
      <c r="L75" s="51">
        <f>K75*'Time Discounting'!C72</f>
        <v>26.038245302063689</v>
      </c>
      <c r="M75" s="52">
        <f t="shared" si="103"/>
        <v>136430.68437670689</v>
      </c>
      <c r="N75" s="5">
        <f>'1. Strategy Calcs'!Z75 + '1. Strategy Calcs'!AG75 + '1. Strategy Calcs'!AN75 + '1. Strategy Calcs'!AU75 + '1. Strategy Calcs'!BB75 + '1. Strategy Calcs'!BI75</f>
        <v>0.35884498468189663</v>
      </c>
      <c r="O75">
        <f>N75*'Time Discounting'!D72</f>
        <v>4.9523670515521749E-2</v>
      </c>
      <c r="P75" s="6">
        <f t="shared" si="104"/>
        <v>23.421995774720369</v>
      </c>
      <c r="R75" s="14">
        <f t="shared" si="78"/>
        <v>1</v>
      </c>
      <c r="T75" s="5">
        <f t="shared" si="105"/>
        <v>0.29836831887837284</v>
      </c>
      <c r="U75">
        <f t="shared" si="79"/>
        <v>0.28179974711006545</v>
      </c>
      <c r="V75">
        <f t="shared" si="80"/>
        <v>1.656857176830737E-2</v>
      </c>
      <c r="W75" s="50">
        <f>0</f>
        <v>0</v>
      </c>
      <c r="X75" s="51">
        <f t="shared" si="81"/>
        <v>152.00007740245181</v>
      </c>
      <c r="Y75" s="52">
        <f t="shared" si="82"/>
        <v>152.00007740245181</v>
      </c>
      <c r="Z75" s="14">
        <f t="shared" si="106"/>
        <v>0.29836831887837284</v>
      </c>
      <c r="AA75" s="5">
        <f t="shared" si="107"/>
        <v>3.17146744542047E-2</v>
      </c>
      <c r="AB75">
        <f t="shared" si="83"/>
        <v>2.9953539552958042E-2</v>
      </c>
      <c r="AC75">
        <f t="shared" si="84"/>
        <v>1.7611349012466595E-3</v>
      </c>
      <c r="AD75" s="50">
        <f>0</f>
        <v>0</v>
      </c>
      <c r="AE75" s="51">
        <f t="shared" si="85"/>
        <v>16.156651584036855</v>
      </c>
      <c r="AF75" s="52">
        <f t="shared" si="86"/>
        <v>16.156651584036855</v>
      </c>
      <c r="AG75" s="14">
        <f t="shared" si="108"/>
        <v>3.17146744542047E-2</v>
      </c>
      <c r="AH75" s="5">
        <f t="shared" si="109"/>
        <v>7.928668613551175E-3</v>
      </c>
      <c r="AI75">
        <f t="shared" si="87"/>
        <v>7.4883848882395104E-3</v>
      </c>
      <c r="AJ75">
        <f t="shared" si="88"/>
        <v>4.4028372531166487E-4</v>
      </c>
      <c r="AK75" s="50">
        <f>0</f>
        <v>0</v>
      </c>
      <c r="AL75" s="51">
        <f t="shared" si="89"/>
        <v>4.0391628960092136</v>
      </c>
      <c r="AM75" s="52">
        <f t="shared" si="90"/>
        <v>4.0391628960092136</v>
      </c>
      <c r="AN75" s="14">
        <f t="shared" si="110"/>
        <v>5.5500680294858218E-3</v>
      </c>
      <c r="AO75" s="5">
        <f t="shared" si="111"/>
        <v>5.0075801769796854E-3</v>
      </c>
      <c r="AP75">
        <f t="shared" si="91"/>
        <v>4.7295062452038976E-3</v>
      </c>
      <c r="AQ75">
        <f t="shared" si="92"/>
        <v>2.7807393177578814E-4</v>
      </c>
      <c r="AR75" s="50">
        <f>0</f>
        <v>0</v>
      </c>
      <c r="AS75" s="51">
        <f t="shared" si="93"/>
        <v>2.5510502501110803</v>
      </c>
      <c r="AT75" s="52">
        <f t="shared" si="94"/>
        <v>2.5510502501110803</v>
      </c>
      <c r="AU75" s="14">
        <f t="shared" si="112"/>
        <v>3.0546239079576082E-3</v>
      </c>
      <c r="AV75" s="5">
        <f t="shared" si="113"/>
        <v>2.6707094277225001E-2</v>
      </c>
      <c r="AW75">
        <f t="shared" si="95"/>
        <v>2.5224033307754131E-2</v>
      </c>
      <c r="AX75">
        <f t="shared" si="96"/>
        <v>1.4830609694708706E-3</v>
      </c>
      <c r="AY75" s="50">
        <f>0</f>
        <v>0</v>
      </c>
      <c r="AZ75" s="51">
        <f t="shared" si="97"/>
        <v>13.605601333925767</v>
      </c>
      <c r="BA75" s="52">
        <f t="shared" si="98"/>
        <v>13.605601333925767</v>
      </c>
      <c r="BB75" s="14">
        <f t="shared" si="114"/>
        <v>1.9229107879602001E-2</v>
      </c>
      <c r="BC75" s="5">
        <f t="shared" si="115"/>
        <v>1.5469858871227239E-2</v>
      </c>
      <c r="BD75">
        <f t="shared" si="99"/>
        <v>1.5435116662174238E-2</v>
      </c>
      <c r="BE75">
        <f t="shared" si="100"/>
        <v>3.4742209053002137E-5</v>
      </c>
      <c r="BF75" s="50">
        <f>0</f>
        <v>0</v>
      </c>
      <c r="BG75" s="51">
        <f t="shared" si="101"/>
        <v>0.31872502585224161</v>
      </c>
      <c r="BH75" s="52">
        <f t="shared" si="102"/>
        <v>0.31872502585224161</v>
      </c>
      <c r="BI75" s="14">
        <f t="shared" si="116"/>
        <v>9.2819153227363432E-4</v>
      </c>
      <c r="BJ75" s="5">
        <f>0 + '1. Strategy Calcs'!V74 + '1. Strategy Calcs'!AC74 + '1. Strategy Calcs'!AJ74 + '1. Strategy Calcs'!AQ74 + '1. Strategy Calcs'!AX74 + '1. Strategy Calcs'!BE74 + BJ74</f>
        <v>0.61480380472843932</v>
      </c>
      <c r="BK75" s="63">
        <f>0</f>
        <v>0</v>
      </c>
    </row>
    <row r="76" spans="2:63" x14ac:dyDescent="0.35">
      <c r="B76" s="14">
        <v>68</v>
      </c>
      <c r="D76" s="5">
        <f>'1. Strategy Calcs'!T76</f>
        <v>0.28179974711006545</v>
      </c>
      <c r="E76">
        <f>'1. Strategy Calcs'!AA76</f>
        <v>2.9953539552958042E-2</v>
      </c>
      <c r="F76">
        <f>'1. Strategy Calcs'!AH76</f>
        <v>7.4883848882395104E-3</v>
      </c>
      <c r="G76">
        <f>'1. Strategy Calcs'!AO76</f>
        <v>4.7295062452038976E-3</v>
      </c>
      <c r="H76">
        <f>'1. Strategy Calcs'!AV76</f>
        <v>2.5224033307754131E-2</v>
      </c>
      <c r="I76">
        <f>'1. Strategy Calcs'!BC76</f>
        <v>1.5435116662174238E-2</v>
      </c>
      <c r="J76" s="6">
        <f>'1. Strategy Calcs'!BJ76</f>
        <v>0.63536967223360463</v>
      </c>
      <c r="K76" s="50">
        <f>'1. Strategy Calcs'!Y76 + '1. Strategy Calcs'!AF76 + '1. Strategy Calcs'!AM76 + '1. Strategy Calcs'!AT76 + '1. Strategy Calcs'!BA76 + '1. Strategy Calcs'!BH76 + '1. Strategy Calcs'!BK76</f>
        <v>178.21122294950112</v>
      </c>
      <c r="L76" s="51">
        <f>K76*'Time Discounting'!C73</f>
        <v>23.8783201397444</v>
      </c>
      <c r="M76" s="52">
        <f t="shared" si="103"/>
        <v>136454.56269684664</v>
      </c>
      <c r="N76" s="5">
        <f>'1. Strategy Calcs'!Z76 + '1. Strategy Calcs'!AG76 + '1. Strategy Calcs'!AN76 + '1. Strategy Calcs'!AU76 + '1. Strategy Calcs'!BB76 + '1. Strategy Calcs'!BI76</f>
        <v>0.33896756587567894</v>
      </c>
      <c r="O76">
        <f>N76*'Time Discounting'!D73</f>
        <v>4.5417880653133236E-2</v>
      </c>
      <c r="P76" s="6">
        <f t="shared" si="104"/>
        <v>23.467413655373502</v>
      </c>
      <c r="R76" s="14">
        <f t="shared" si="78"/>
        <v>0.99999999999999989</v>
      </c>
      <c r="T76" s="5">
        <f t="shared" si="105"/>
        <v>0.28179974711006545</v>
      </c>
      <c r="U76">
        <f t="shared" si="79"/>
        <v>0.26615123807319524</v>
      </c>
      <c r="V76">
        <f t="shared" si="80"/>
        <v>1.5648509036870199E-2</v>
      </c>
      <c r="W76" s="50">
        <f>0</f>
        <v>0</v>
      </c>
      <c r="X76" s="51">
        <f t="shared" si="81"/>
        <v>143.55942190424722</v>
      </c>
      <c r="Y76" s="52">
        <f t="shared" si="82"/>
        <v>143.55942190424722</v>
      </c>
      <c r="Z76" s="14">
        <f t="shared" si="106"/>
        <v>0.28179974711006545</v>
      </c>
      <c r="AA76" s="5">
        <f t="shared" si="107"/>
        <v>2.9953539552958042E-2</v>
      </c>
      <c r="AB76">
        <f t="shared" si="83"/>
        <v>2.8290201529458551E-2</v>
      </c>
      <c r="AC76">
        <f t="shared" si="84"/>
        <v>1.6633380234994917E-3</v>
      </c>
      <c r="AD76" s="50">
        <f>0</f>
        <v>0</v>
      </c>
      <c r="AE76" s="51">
        <f t="shared" si="85"/>
        <v>15.259463027584337</v>
      </c>
      <c r="AF76" s="52">
        <f t="shared" si="86"/>
        <v>15.259463027584337</v>
      </c>
      <c r="AG76" s="14">
        <f t="shared" si="108"/>
        <v>2.9953539552958042E-2</v>
      </c>
      <c r="AH76" s="5">
        <f t="shared" si="109"/>
        <v>7.4883848882395104E-3</v>
      </c>
      <c r="AI76">
        <f t="shared" si="87"/>
        <v>7.0725503823646377E-3</v>
      </c>
      <c r="AJ76">
        <f t="shared" si="88"/>
        <v>4.1583450587487293E-4</v>
      </c>
      <c r="AK76" s="50">
        <f>0</f>
        <v>0</v>
      </c>
      <c r="AL76" s="51">
        <f t="shared" si="89"/>
        <v>3.8148657568960842</v>
      </c>
      <c r="AM76" s="52">
        <f t="shared" si="90"/>
        <v>3.8148657568960842</v>
      </c>
      <c r="AN76" s="14">
        <f t="shared" si="110"/>
        <v>5.241869421767657E-3</v>
      </c>
      <c r="AO76" s="5">
        <f t="shared" si="111"/>
        <v>4.7295062452038976E-3</v>
      </c>
      <c r="AP76">
        <f t="shared" si="91"/>
        <v>4.4668739257039784E-3</v>
      </c>
      <c r="AQ76">
        <f t="shared" si="92"/>
        <v>2.6263231949991958E-4</v>
      </c>
      <c r="AR76" s="50">
        <f>0</f>
        <v>0</v>
      </c>
      <c r="AS76" s="51">
        <f t="shared" si="93"/>
        <v>2.4093888990922623</v>
      </c>
      <c r="AT76" s="52">
        <f t="shared" si="94"/>
        <v>2.4093888990922623</v>
      </c>
      <c r="AU76" s="14">
        <f t="shared" si="112"/>
        <v>2.8849988095743773E-3</v>
      </c>
      <c r="AV76" s="5">
        <f t="shared" si="113"/>
        <v>2.5224033307754131E-2</v>
      </c>
      <c r="AW76">
        <f t="shared" si="95"/>
        <v>2.3823327603754559E-2</v>
      </c>
      <c r="AX76">
        <f t="shared" si="96"/>
        <v>1.4007057039995714E-3</v>
      </c>
      <c r="AY76" s="50">
        <f>0</f>
        <v>0</v>
      </c>
      <c r="AZ76" s="51">
        <f t="shared" si="97"/>
        <v>12.850074128492068</v>
      </c>
      <c r="BA76" s="52">
        <f t="shared" si="98"/>
        <v>12.850074128492068</v>
      </c>
      <c r="BB76" s="14">
        <f t="shared" si="114"/>
        <v>1.8161303981582975E-2</v>
      </c>
      <c r="BC76" s="5">
        <f t="shared" si="115"/>
        <v>1.5435116662174238E-2</v>
      </c>
      <c r="BD76">
        <f t="shared" si="99"/>
        <v>1.5400452477174328E-2</v>
      </c>
      <c r="BE76">
        <f t="shared" si="100"/>
        <v>3.4664184999910904E-5</v>
      </c>
      <c r="BF76" s="50">
        <f>0</f>
        <v>0</v>
      </c>
      <c r="BG76" s="51">
        <f t="shared" si="101"/>
        <v>0.31800923318918262</v>
      </c>
      <c r="BH76" s="52">
        <f t="shared" si="102"/>
        <v>0.31800923318918262</v>
      </c>
      <c r="BI76" s="14">
        <f t="shared" si="116"/>
        <v>9.2610699973045424E-4</v>
      </c>
      <c r="BJ76" s="5">
        <f>0 + '1. Strategy Calcs'!V75 + '1. Strategy Calcs'!AC75 + '1. Strategy Calcs'!AJ75 + '1. Strategy Calcs'!AQ75 + '1. Strategy Calcs'!AX75 + '1. Strategy Calcs'!BE75 + BJ75</f>
        <v>0.63536967223360463</v>
      </c>
      <c r="BK76" s="63">
        <f>0</f>
        <v>0</v>
      </c>
    </row>
    <row r="77" spans="2:63" x14ac:dyDescent="0.35">
      <c r="B77" s="14">
        <v>69</v>
      </c>
      <c r="D77" s="5">
        <f>'1. Strategy Calcs'!T77</f>
        <v>0.26615123807319524</v>
      </c>
      <c r="E77">
        <f>'1. Strategy Calcs'!AA77</f>
        <v>2.8290201529458551E-2</v>
      </c>
      <c r="F77">
        <f>'1. Strategy Calcs'!AH77</f>
        <v>7.0725503823646377E-3</v>
      </c>
      <c r="G77">
        <f>'1. Strategy Calcs'!AO77</f>
        <v>4.4668739257039784E-3</v>
      </c>
      <c r="H77">
        <f>'1. Strategy Calcs'!AV77</f>
        <v>2.3823327603754559E-2</v>
      </c>
      <c r="I77">
        <f>'1. Strategy Calcs'!BC77</f>
        <v>1.5400452477174328E-2</v>
      </c>
      <c r="J77" s="6">
        <f>'1. Strategy Calcs'!BJ77</f>
        <v>0.65479535600834859</v>
      </c>
      <c r="K77" s="50">
        <f>'1. Strategy Calcs'!Y77 + '1. Strategy Calcs'!AF77 + '1. Strategy Calcs'!AM77 + '1. Strategy Calcs'!AT77 + '1. Strategy Calcs'!BA77 + '1. Strategy Calcs'!BH77 + '1. Strategy Calcs'!BK77</f>
        <v>168.33199187077022</v>
      </c>
      <c r="L77" s="51">
        <f>K77*'Time Discounting'!C74</f>
        <v>21.897682664654987</v>
      </c>
      <c r="M77" s="52">
        <f t="shared" si="103"/>
        <v>136476.46037951129</v>
      </c>
      <c r="N77" s="5">
        <f>'1. Strategy Calcs'!Z77 + '1. Strategy Calcs'!AG77 + '1. Strategy Calcs'!AN77 + '1. Strategy Calcs'!AU77 + '1. Strategy Calcs'!BB77 + '1. Strategy Calcs'!BI77</f>
        <v>0.32019384098832221</v>
      </c>
      <c r="O77">
        <f>N77*'Time Discounting'!D74</f>
        <v>4.1652825723835454E-2</v>
      </c>
      <c r="P77" s="6">
        <f t="shared" si="104"/>
        <v>23.509066481097339</v>
      </c>
      <c r="R77" s="14">
        <f t="shared" si="78"/>
        <v>0.99999999999999989</v>
      </c>
      <c r="T77" s="5">
        <f t="shared" si="105"/>
        <v>0.26615123807319524</v>
      </c>
      <c r="U77">
        <f t="shared" si="79"/>
        <v>0.25137170013224786</v>
      </c>
      <c r="V77">
        <f t="shared" si="80"/>
        <v>1.4779537940947376E-2</v>
      </c>
      <c r="W77" s="50">
        <f>0</f>
        <v>0</v>
      </c>
      <c r="X77" s="51">
        <f t="shared" si="81"/>
        <v>135.58748107025121</v>
      </c>
      <c r="Y77" s="52">
        <f t="shared" si="82"/>
        <v>135.58748107025121</v>
      </c>
      <c r="Z77" s="14">
        <f t="shared" si="106"/>
        <v>0.26615123807319524</v>
      </c>
      <c r="AA77" s="5">
        <f t="shared" si="107"/>
        <v>2.8290201529458551E-2</v>
      </c>
      <c r="AB77">
        <f t="shared" si="83"/>
        <v>2.6719229664406801E-2</v>
      </c>
      <c r="AC77">
        <f t="shared" si="84"/>
        <v>1.5709718650517509E-3</v>
      </c>
      <c r="AD77" s="50">
        <f>0</f>
        <v>0</v>
      </c>
      <c r="AE77" s="51">
        <f t="shared" si="85"/>
        <v>14.412095889984762</v>
      </c>
      <c r="AF77" s="52">
        <f t="shared" si="86"/>
        <v>14.412095889984762</v>
      </c>
      <c r="AG77" s="14">
        <f t="shared" si="108"/>
        <v>2.8290201529458551E-2</v>
      </c>
      <c r="AH77" s="5">
        <f t="shared" si="109"/>
        <v>7.0725503823646377E-3</v>
      </c>
      <c r="AI77">
        <f t="shared" si="87"/>
        <v>6.6798074161017003E-3</v>
      </c>
      <c r="AJ77">
        <f t="shared" si="88"/>
        <v>3.9274296626293773E-4</v>
      </c>
      <c r="AK77" s="50">
        <f>0</f>
        <v>0</v>
      </c>
      <c r="AL77" s="51">
        <f t="shared" si="89"/>
        <v>3.6030239724961906</v>
      </c>
      <c r="AM77" s="52">
        <f t="shared" si="90"/>
        <v>3.6030239724961906</v>
      </c>
      <c r="AN77" s="14">
        <f t="shared" si="110"/>
        <v>4.9507852676552461E-3</v>
      </c>
      <c r="AO77" s="5">
        <f t="shared" si="111"/>
        <v>4.4668739257039784E-3</v>
      </c>
      <c r="AP77">
        <f t="shared" si="91"/>
        <v>4.2188257364852814E-3</v>
      </c>
      <c r="AQ77">
        <f t="shared" si="92"/>
        <v>2.4804818921869736E-4</v>
      </c>
      <c r="AR77" s="50">
        <f>0</f>
        <v>0</v>
      </c>
      <c r="AS77" s="51">
        <f t="shared" si="93"/>
        <v>2.2755940878923298</v>
      </c>
      <c r="AT77" s="52">
        <f t="shared" si="94"/>
        <v>2.2755940878923298</v>
      </c>
      <c r="AU77" s="14">
        <f t="shared" si="112"/>
        <v>2.7247930946794267E-3</v>
      </c>
      <c r="AV77" s="5">
        <f t="shared" si="113"/>
        <v>2.3823327603754559E-2</v>
      </c>
      <c r="AW77">
        <f t="shared" si="95"/>
        <v>2.2500403927921506E-2</v>
      </c>
      <c r="AX77">
        <f t="shared" si="96"/>
        <v>1.3229236758330529E-3</v>
      </c>
      <c r="AY77" s="50">
        <f>0</f>
        <v>0</v>
      </c>
      <c r="AZ77" s="51">
        <f t="shared" si="97"/>
        <v>12.136501802092427</v>
      </c>
      <c r="BA77" s="52">
        <f t="shared" si="98"/>
        <v>12.136501802092427</v>
      </c>
      <c r="BB77" s="14">
        <f t="shared" si="114"/>
        <v>1.715279587470328E-2</v>
      </c>
      <c r="BC77" s="5">
        <f t="shared" si="115"/>
        <v>1.5400452477174328E-2</v>
      </c>
      <c r="BD77">
        <f t="shared" si="99"/>
        <v>1.536586614100109E-2</v>
      </c>
      <c r="BE77">
        <f t="shared" si="100"/>
        <v>3.4586336173238109E-5</v>
      </c>
      <c r="BF77" s="50">
        <f>0</f>
        <v>0</v>
      </c>
      <c r="BG77" s="51">
        <f t="shared" si="101"/>
        <v>0.3172950480532864</v>
      </c>
      <c r="BH77" s="52">
        <f t="shared" si="102"/>
        <v>0.3172950480532864</v>
      </c>
      <c r="BI77" s="14">
        <f t="shared" si="116"/>
        <v>9.2402714863045962E-4</v>
      </c>
      <c r="BJ77" s="5">
        <f>0 + '1. Strategy Calcs'!V76 + '1. Strategy Calcs'!AC76 + '1. Strategy Calcs'!AJ76 + '1. Strategy Calcs'!AQ76 + '1. Strategy Calcs'!AX76 + '1. Strategy Calcs'!BE76 + BJ76</f>
        <v>0.65479535600834859</v>
      </c>
      <c r="BK77" s="63">
        <f>0</f>
        <v>0</v>
      </c>
    </row>
    <row r="78" spans="2:63" x14ac:dyDescent="0.35">
      <c r="B78" s="14">
        <v>70</v>
      </c>
      <c r="D78" s="5">
        <f>'1. Strategy Calcs'!T78</f>
        <v>0.25137170013224786</v>
      </c>
      <c r="E78">
        <f>'1. Strategy Calcs'!AA78</f>
        <v>2.6719229664406801E-2</v>
      </c>
      <c r="F78">
        <f>'1. Strategy Calcs'!AH78</f>
        <v>6.6798074161017003E-3</v>
      </c>
      <c r="G78">
        <f>'1. Strategy Calcs'!AO78</f>
        <v>4.2188257364852814E-3</v>
      </c>
      <c r="H78">
        <f>'1. Strategy Calcs'!AV78</f>
        <v>2.2500403927921506E-2</v>
      </c>
      <c r="I78">
        <f>'1. Strategy Calcs'!BC78</f>
        <v>1.536586614100109E-2</v>
      </c>
      <c r="J78" s="6">
        <f>'1. Strategy Calcs'!BJ78</f>
        <v>0.67314416698183566</v>
      </c>
      <c r="K78" s="50">
        <f>'1. Strategy Calcs'!Y78 + '1. Strategy Calcs'!AF78 + '1. Strategy Calcs'!AM78 + '1. Strategy Calcs'!AT78 + '1. Strategy Calcs'!BA78 + '1. Strategy Calcs'!BH78 + '1. Strategy Calcs'!BK78</f>
        <v>159.00132236616776</v>
      </c>
      <c r="L78" s="51">
        <f>K78*'Time Discounting'!C75</f>
        <v>20.081447161970889</v>
      </c>
      <c r="M78" s="52">
        <f t="shared" si="103"/>
        <v>136496.54182667326</v>
      </c>
      <c r="N78" s="5">
        <f>'1. Strategy Calcs'!Z78 + '1. Strategy Calcs'!AG78 + '1. Strategy Calcs'!AN78 + '1. Strategy Calcs'!AU78 + '1. Strategy Calcs'!BB78 + '1. Strategy Calcs'!BI78</f>
        <v>0.30246252148374542</v>
      </c>
      <c r="O78">
        <f>N78*'Time Discounting'!D75</f>
        <v>3.8200217792306347E-2</v>
      </c>
      <c r="P78" s="6">
        <f t="shared" si="104"/>
        <v>23.547266698889644</v>
      </c>
      <c r="R78" s="14">
        <f t="shared" si="78"/>
        <v>1</v>
      </c>
      <c r="T78" s="5">
        <f t="shared" si="105"/>
        <v>0.25137170013224786</v>
      </c>
      <c r="U78">
        <f t="shared" si="79"/>
        <v>0.23741287880088405</v>
      </c>
      <c r="V78">
        <f t="shared" si="80"/>
        <v>1.3958821331363802E-2</v>
      </c>
      <c r="W78" s="50">
        <f>0</f>
        <v>0</v>
      </c>
      <c r="X78" s="51">
        <f t="shared" si="81"/>
        <v>128.05822689393153</v>
      </c>
      <c r="Y78" s="52">
        <f t="shared" si="82"/>
        <v>128.05822689393153</v>
      </c>
      <c r="Z78" s="14">
        <f t="shared" si="106"/>
        <v>0.25137170013224786</v>
      </c>
      <c r="AA78" s="5">
        <f t="shared" si="107"/>
        <v>2.6719229664406801E-2</v>
      </c>
      <c r="AB78">
        <f t="shared" si="83"/>
        <v>2.5235494809604492E-2</v>
      </c>
      <c r="AC78">
        <f t="shared" si="84"/>
        <v>1.4837348548023084E-3</v>
      </c>
      <c r="AD78" s="50">
        <f>0</f>
        <v>0</v>
      </c>
      <c r="AE78" s="51">
        <f t="shared" si="85"/>
        <v>13.611783557956377</v>
      </c>
      <c r="AF78" s="52">
        <f t="shared" si="86"/>
        <v>13.611783557956377</v>
      </c>
      <c r="AG78" s="14">
        <f t="shared" si="108"/>
        <v>2.6719229664406801E-2</v>
      </c>
      <c r="AH78" s="5">
        <f t="shared" si="109"/>
        <v>6.6798074161017003E-3</v>
      </c>
      <c r="AI78">
        <f t="shared" si="87"/>
        <v>6.3088737024011229E-3</v>
      </c>
      <c r="AJ78">
        <f t="shared" si="88"/>
        <v>3.7093371370057709E-4</v>
      </c>
      <c r="AK78" s="50">
        <f>0</f>
        <v>0</v>
      </c>
      <c r="AL78" s="51">
        <f t="shared" si="89"/>
        <v>3.4029458894890943</v>
      </c>
      <c r="AM78" s="52">
        <f t="shared" si="90"/>
        <v>3.4029458894890943</v>
      </c>
      <c r="AN78" s="14">
        <f t="shared" si="110"/>
        <v>4.6758651912711903E-3</v>
      </c>
      <c r="AO78" s="5">
        <f t="shared" si="111"/>
        <v>4.2188257364852814E-3</v>
      </c>
      <c r="AP78">
        <f t="shared" si="91"/>
        <v>3.9845518120428117E-3</v>
      </c>
      <c r="AQ78">
        <f t="shared" si="92"/>
        <v>2.3427392444246958E-4</v>
      </c>
      <c r="AR78" s="50">
        <f>0</f>
        <v>0</v>
      </c>
      <c r="AS78" s="51">
        <f t="shared" si="93"/>
        <v>2.1492289828352158</v>
      </c>
      <c r="AT78" s="52">
        <f t="shared" si="94"/>
        <v>2.1492289828352158</v>
      </c>
      <c r="AU78" s="14">
        <f t="shared" si="112"/>
        <v>2.5734836992560217E-3</v>
      </c>
      <c r="AV78" s="5">
        <f t="shared" si="113"/>
        <v>2.2500403927921506E-2</v>
      </c>
      <c r="AW78">
        <f t="shared" si="95"/>
        <v>2.1250942997561667E-2</v>
      </c>
      <c r="AX78">
        <f t="shared" si="96"/>
        <v>1.249460930359838E-3</v>
      </c>
      <c r="AY78" s="50">
        <f>0</f>
        <v>0</v>
      </c>
      <c r="AZ78" s="51">
        <f t="shared" si="97"/>
        <v>11.462554575121153</v>
      </c>
      <c r="BA78" s="52">
        <f t="shared" si="98"/>
        <v>11.462554575121153</v>
      </c>
      <c r="BB78" s="14">
        <f t="shared" si="114"/>
        <v>1.6200290828103484E-2</v>
      </c>
      <c r="BC78" s="5">
        <f t="shared" si="115"/>
        <v>1.536586614100109E-2</v>
      </c>
      <c r="BD78">
        <f t="shared" si="99"/>
        <v>1.533135747882163E-2</v>
      </c>
      <c r="BE78">
        <f t="shared" si="100"/>
        <v>3.4508662179460247E-5</v>
      </c>
      <c r="BF78" s="50">
        <f>0</f>
        <v>0</v>
      </c>
      <c r="BG78" s="51">
        <f t="shared" si="101"/>
        <v>0.3165824668343683</v>
      </c>
      <c r="BH78" s="52">
        <f t="shared" si="102"/>
        <v>0.3165824668343683</v>
      </c>
      <c r="BI78" s="14">
        <f t="shared" si="116"/>
        <v>9.2195196846006535E-4</v>
      </c>
      <c r="BJ78" s="5">
        <f>0 + '1. Strategy Calcs'!V77 + '1. Strategy Calcs'!AC77 + '1. Strategy Calcs'!AJ77 + '1. Strategy Calcs'!AQ77 + '1. Strategy Calcs'!AX77 + '1. Strategy Calcs'!BE77 + BJ77</f>
        <v>0.67314416698183566</v>
      </c>
      <c r="BK78" s="63">
        <f>0</f>
        <v>0</v>
      </c>
    </row>
    <row r="79" spans="2:63" x14ac:dyDescent="0.35">
      <c r="B79" s="14">
        <v>71</v>
      </c>
      <c r="D79" s="5">
        <f>'1. Strategy Calcs'!T79</f>
        <v>0.23741287880088405</v>
      </c>
      <c r="E79">
        <f>'1. Strategy Calcs'!AA79</f>
        <v>2.5235494809604492E-2</v>
      </c>
      <c r="F79">
        <f>'1. Strategy Calcs'!AH79</f>
        <v>6.3088737024011229E-3</v>
      </c>
      <c r="G79">
        <f>'1. Strategy Calcs'!AO79</f>
        <v>3.9845518120428117E-3</v>
      </c>
      <c r="H79">
        <f>'1. Strategy Calcs'!AV79</f>
        <v>2.1250942997561667E-2</v>
      </c>
      <c r="I79">
        <f>'1. Strategy Calcs'!BC79</f>
        <v>1.533135747882163E-2</v>
      </c>
      <c r="J79" s="6">
        <f>'1. Strategy Calcs'!BJ79</f>
        <v>0.69047590039868412</v>
      </c>
      <c r="K79" s="50">
        <f>'1. Strategy Calcs'!Y79 + '1. Strategy Calcs'!AF79 + '1. Strategy Calcs'!AM79 + '1. Strategy Calcs'!AT79 + '1. Strategy Calcs'!BA79 + '1. Strategy Calcs'!BH79 + '1. Strategy Calcs'!BK79</f>
        <v>150.18875256780979</v>
      </c>
      <c r="L79" s="51">
        <f>K79*'Time Discounting'!C76</f>
        <v>18.415963948132685</v>
      </c>
      <c r="M79" s="52">
        <f t="shared" si="103"/>
        <v>136514.95779062138</v>
      </c>
      <c r="N79" s="5">
        <f>'1. Strategy Calcs'!Z79 + '1. Strategy Calcs'!AG79 + '1. Strategy Calcs'!AN79 + '1. Strategy Calcs'!AU79 + '1. Strategy Calcs'!BB79 + '1. Strategy Calcs'!BI79</f>
        <v>0.2857157222144891</v>
      </c>
      <c r="O79">
        <f>N79*'Time Discounting'!D76</f>
        <v>3.5034117733557101E-2</v>
      </c>
      <c r="P79" s="6">
        <f t="shared" si="104"/>
        <v>23.582300816623199</v>
      </c>
      <c r="R79" s="14">
        <f t="shared" si="78"/>
        <v>0.99999999999999989</v>
      </c>
      <c r="T79" s="5">
        <f t="shared" si="105"/>
        <v>0.23741287880088405</v>
      </c>
      <c r="U79">
        <f t="shared" si="79"/>
        <v>0.22422919919334369</v>
      </c>
      <c r="V79">
        <f t="shared" si="80"/>
        <v>1.3183679607540371E-2</v>
      </c>
      <c r="W79" s="50">
        <f>0</f>
        <v>0</v>
      </c>
      <c r="X79" s="51">
        <f t="shared" si="81"/>
        <v>120.94707671957536</v>
      </c>
      <c r="Y79" s="52">
        <f t="shared" si="82"/>
        <v>120.94707671957536</v>
      </c>
      <c r="Z79" s="14">
        <f t="shared" si="106"/>
        <v>0.23741287880088405</v>
      </c>
      <c r="AA79" s="5">
        <f t="shared" si="107"/>
        <v>2.5235494809604492E-2</v>
      </c>
      <c r="AB79">
        <f t="shared" si="83"/>
        <v>2.3834152641530267E-2</v>
      </c>
      <c r="AC79">
        <f t="shared" si="84"/>
        <v>1.4013421680742232E-3</v>
      </c>
      <c r="AD79" s="50">
        <f>0</f>
        <v>0</v>
      </c>
      <c r="AE79" s="51">
        <f t="shared" si="85"/>
        <v>12.855913049912925</v>
      </c>
      <c r="AF79" s="52">
        <f t="shared" si="86"/>
        <v>12.855913049912925</v>
      </c>
      <c r="AG79" s="14">
        <f t="shared" si="108"/>
        <v>2.5235494809604492E-2</v>
      </c>
      <c r="AH79" s="5">
        <f t="shared" si="109"/>
        <v>6.3088737024011229E-3</v>
      </c>
      <c r="AI79">
        <f t="shared" si="87"/>
        <v>5.9585381603825668E-3</v>
      </c>
      <c r="AJ79">
        <f t="shared" si="88"/>
        <v>3.5033554201855581E-4</v>
      </c>
      <c r="AK79" s="50">
        <f>0</f>
        <v>0</v>
      </c>
      <c r="AL79" s="51">
        <f t="shared" si="89"/>
        <v>3.2139782624782312</v>
      </c>
      <c r="AM79" s="52">
        <f t="shared" si="90"/>
        <v>3.2139782624782312</v>
      </c>
      <c r="AN79" s="14">
        <f t="shared" si="110"/>
        <v>4.4162115916807857E-3</v>
      </c>
      <c r="AO79" s="5">
        <f t="shared" si="111"/>
        <v>3.9845518120428117E-3</v>
      </c>
      <c r="AP79">
        <f t="shared" si="91"/>
        <v>3.7632872591889873E-3</v>
      </c>
      <c r="AQ79">
        <f t="shared" si="92"/>
        <v>2.2126455285382456E-4</v>
      </c>
      <c r="AR79" s="50">
        <f>0</f>
        <v>0</v>
      </c>
      <c r="AS79" s="51">
        <f t="shared" si="93"/>
        <v>2.0298810078809866</v>
      </c>
      <c r="AT79" s="52">
        <f t="shared" si="94"/>
        <v>2.0298810078809866</v>
      </c>
      <c r="AU79" s="14">
        <f t="shared" si="112"/>
        <v>2.4305766053461151E-3</v>
      </c>
      <c r="AV79" s="5">
        <f t="shared" si="113"/>
        <v>2.1250942997561667E-2</v>
      </c>
      <c r="AW79">
        <f t="shared" si="95"/>
        <v>2.007086538234127E-2</v>
      </c>
      <c r="AX79">
        <f t="shared" si="96"/>
        <v>1.1800776152203979E-3</v>
      </c>
      <c r="AY79" s="50">
        <f>0</f>
        <v>0</v>
      </c>
      <c r="AZ79" s="51">
        <f t="shared" si="97"/>
        <v>10.826032042031931</v>
      </c>
      <c r="BA79" s="52">
        <f t="shared" si="98"/>
        <v>10.826032042031931</v>
      </c>
      <c r="BB79" s="14">
        <f t="shared" si="114"/>
        <v>1.53006789582444E-2</v>
      </c>
      <c r="BC79" s="5">
        <f t="shared" si="115"/>
        <v>1.533135747882163E-2</v>
      </c>
      <c r="BD79">
        <f t="shared" si="99"/>
        <v>1.5296926316195694E-2</v>
      </c>
      <c r="BE79">
        <f t="shared" si="100"/>
        <v>3.4431162625937615E-5</v>
      </c>
      <c r="BF79" s="50">
        <f>0</f>
        <v>0</v>
      </c>
      <c r="BG79" s="51">
        <f t="shared" si="101"/>
        <v>0.31587148593035169</v>
      </c>
      <c r="BH79" s="52">
        <f t="shared" si="102"/>
        <v>0.31587148593035169</v>
      </c>
      <c r="BI79" s="14">
        <f t="shared" si="116"/>
        <v>9.1988144872929775E-4</v>
      </c>
      <c r="BJ79" s="5">
        <f>0 + '1. Strategy Calcs'!V78 + '1. Strategy Calcs'!AC78 + '1. Strategy Calcs'!AJ78 + '1. Strategy Calcs'!AQ78 + '1. Strategy Calcs'!AX78 + '1. Strategy Calcs'!BE78 + BJ78</f>
        <v>0.69047590039868412</v>
      </c>
      <c r="BK79" s="63">
        <f>0</f>
        <v>0</v>
      </c>
    </row>
    <row r="80" spans="2:63" x14ac:dyDescent="0.35">
      <c r="B80" s="14">
        <v>72</v>
      </c>
      <c r="D80" s="5">
        <f>'1. Strategy Calcs'!T80</f>
        <v>0.22422919919334369</v>
      </c>
      <c r="E80">
        <f>'1. Strategy Calcs'!AA80</f>
        <v>2.3834152641530267E-2</v>
      </c>
      <c r="F80">
        <f>'1. Strategy Calcs'!AH80</f>
        <v>5.9585381603825668E-3</v>
      </c>
      <c r="G80">
        <f>'1. Strategy Calcs'!AO80</f>
        <v>3.7632872591889873E-3</v>
      </c>
      <c r="H80">
        <f>'1. Strategy Calcs'!AV80</f>
        <v>2.007086538234127E-2</v>
      </c>
      <c r="I80">
        <f>'1. Strategy Calcs'!BC80</f>
        <v>1.5296926316195694E-2</v>
      </c>
      <c r="J80" s="6">
        <f>'1. Strategy Calcs'!BJ80</f>
        <v>0.7068470310470174</v>
      </c>
      <c r="K80" s="50">
        <f>'1. Strategy Calcs'!Y80 + '1. Strategy Calcs'!AF80 + '1. Strategy Calcs'!AM80 + '1. Strategy Calcs'!AT80 + '1. Strategy Calcs'!BA80 + '1. Strategy Calcs'!BH80 + '1. Strategy Calcs'!BK80</f>
        <v>141.86551217342128</v>
      </c>
      <c r="L80" s="51">
        <f>K80*'Time Discounting'!C77</f>
        <v>16.888716733715786</v>
      </c>
      <c r="M80" s="52">
        <f t="shared" si="103"/>
        <v>136531.84650735511</v>
      </c>
      <c r="N80" s="5">
        <f>'1. Strategy Calcs'!Z80 + '1. Strategy Calcs'!AG80 + '1. Strategy Calcs'!AN80 + '1. Strategy Calcs'!AU80 + '1. Strategy Calcs'!BB80 + '1. Strategy Calcs'!BI80</f>
        <v>0.26989877242950455</v>
      </c>
      <c r="O80">
        <f>N80*'Time Discounting'!D77</f>
        <v>3.2130740195456163E-2</v>
      </c>
      <c r="P80" s="6">
        <f t="shared" si="104"/>
        <v>23.614431556818655</v>
      </c>
      <c r="R80" s="14">
        <f t="shared" si="78"/>
        <v>0.99999999999999989</v>
      </c>
      <c r="T80" s="5">
        <f t="shared" si="105"/>
        <v>0.22422919919334369</v>
      </c>
      <c r="U80">
        <f t="shared" si="79"/>
        <v>0.2117776172246178</v>
      </c>
      <c r="V80">
        <f t="shared" si="80"/>
        <v>1.2451581968725891E-2</v>
      </c>
      <c r="W80" s="50">
        <f>0</f>
        <v>0</v>
      </c>
      <c r="X80" s="51">
        <f t="shared" si="81"/>
        <v>114.23081298109132</v>
      </c>
      <c r="Y80" s="52">
        <f t="shared" si="82"/>
        <v>114.23081298109132</v>
      </c>
      <c r="Z80" s="14">
        <f t="shared" si="106"/>
        <v>0.22422919919334369</v>
      </c>
      <c r="AA80" s="5">
        <f t="shared" si="107"/>
        <v>2.3834152641530267E-2</v>
      </c>
      <c r="AB80">
        <f t="shared" si="83"/>
        <v>2.2510627844854508E-2</v>
      </c>
      <c r="AC80">
        <f t="shared" si="84"/>
        <v>1.3235247966757607E-3</v>
      </c>
      <c r="AD80" s="50">
        <f>0</f>
        <v>0</v>
      </c>
      <c r="AE80" s="51">
        <f t="shared" si="85"/>
        <v>12.142016484703429</v>
      </c>
      <c r="AF80" s="52">
        <f t="shared" si="86"/>
        <v>12.142016484703429</v>
      </c>
      <c r="AG80" s="14">
        <f t="shared" si="108"/>
        <v>2.3834152641530267E-2</v>
      </c>
      <c r="AH80" s="5">
        <f t="shared" si="109"/>
        <v>5.9585381603825668E-3</v>
      </c>
      <c r="AI80">
        <f t="shared" si="87"/>
        <v>5.6276569612136269E-3</v>
      </c>
      <c r="AJ80">
        <f t="shared" si="88"/>
        <v>3.3088119916894018E-4</v>
      </c>
      <c r="AK80" s="50">
        <f>0</f>
        <v>0</v>
      </c>
      <c r="AL80" s="51">
        <f t="shared" si="89"/>
        <v>3.0355041211758573</v>
      </c>
      <c r="AM80" s="52">
        <f t="shared" si="90"/>
        <v>3.0355041211758573</v>
      </c>
      <c r="AN80" s="14">
        <f t="shared" si="110"/>
        <v>4.1709767122677967E-3</v>
      </c>
      <c r="AO80" s="5">
        <f t="shared" si="111"/>
        <v>3.7632872591889873E-3</v>
      </c>
      <c r="AP80">
        <f t="shared" si="91"/>
        <v>3.5543096597138672E-3</v>
      </c>
      <c r="AQ80">
        <f t="shared" si="92"/>
        <v>2.0897759947511996E-4</v>
      </c>
      <c r="AR80" s="50">
        <f>0</f>
        <v>0</v>
      </c>
      <c r="AS80" s="51">
        <f t="shared" si="93"/>
        <v>1.9171604975847505</v>
      </c>
      <c r="AT80" s="52">
        <f t="shared" si="94"/>
        <v>1.9171604975847505</v>
      </c>
      <c r="AU80" s="14">
        <f t="shared" si="112"/>
        <v>2.2956052281052821E-3</v>
      </c>
      <c r="AV80" s="5">
        <f t="shared" si="113"/>
        <v>2.007086538234127E-2</v>
      </c>
      <c r="AW80">
        <f t="shared" si="95"/>
        <v>1.8956318185140632E-2</v>
      </c>
      <c r="AX80">
        <f t="shared" si="96"/>
        <v>1.1145471972006402E-3</v>
      </c>
      <c r="AY80" s="50">
        <f>0</f>
        <v>0</v>
      </c>
      <c r="AZ80" s="51">
        <f t="shared" si="97"/>
        <v>10.224855987118673</v>
      </c>
      <c r="BA80" s="52">
        <f t="shared" si="98"/>
        <v>10.224855987118673</v>
      </c>
      <c r="BB80" s="14">
        <f t="shared" si="114"/>
        <v>1.4451023075285714E-2</v>
      </c>
      <c r="BC80" s="5">
        <f t="shared" si="115"/>
        <v>1.5296926316195694E-2</v>
      </c>
      <c r="BD80">
        <f t="shared" si="99"/>
        <v>1.5262572479074782E-2</v>
      </c>
      <c r="BE80">
        <f t="shared" si="100"/>
        <v>3.4353837120912291E-5</v>
      </c>
      <c r="BF80" s="50">
        <f>0</f>
        <v>0</v>
      </c>
      <c r="BG80" s="51">
        <f t="shared" si="101"/>
        <v>0.31516210174724935</v>
      </c>
      <c r="BH80" s="52">
        <f t="shared" si="102"/>
        <v>0.31516210174724935</v>
      </c>
      <c r="BI80" s="14">
        <f t="shared" si="116"/>
        <v>9.1781557897174153E-4</v>
      </c>
      <c r="BJ80" s="5">
        <f>0 + '1. Strategy Calcs'!V79 + '1. Strategy Calcs'!AC79 + '1. Strategy Calcs'!AJ79 + '1. Strategy Calcs'!AQ79 + '1. Strategy Calcs'!AX79 + '1. Strategy Calcs'!BE79 + BJ79</f>
        <v>0.7068470310470174</v>
      </c>
      <c r="BK80" s="63">
        <f>0</f>
        <v>0</v>
      </c>
    </row>
    <row r="81" spans="2:63" x14ac:dyDescent="0.35">
      <c r="B81" s="14">
        <v>73</v>
      </c>
      <c r="D81" s="5">
        <f>'1. Strategy Calcs'!T81</f>
        <v>0.2117776172246178</v>
      </c>
      <c r="E81">
        <f>'1. Strategy Calcs'!AA81</f>
        <v>2.2510627844854508E-2</v>
      </c>
      <c r="F81">
        <f>'1. Strategy Calcs'!AH81</f>
        <v>5.6276569612136269E-3</v>
      </c>
      <c r="G81">
        <f>'1. Strategy Calcs'!AO81</f>
        <v>3.5543096597138672E-3</v>
      </c>
      <c r="H81">
        <f>'1. Strategy Calcs'!AV81</f>
        <v>1.8956318185140632E-2</v>
      </c>
      <c r="I81">
        <f>'1. Strategy Calcs'!BC81</f>
        <v>1.5262572479074782E-2</v>
      </c>
      <c r="J81" s="6">
        <f>'1. Strategy Calcs'!BJ81</f>
        <v>0.7223108976453847</v>
      </c>
      <c r="K81" s="50">
        <f>'1. Strategy Calcs'!Y81 + '1. Strategy Calcs'!AF81 + '1. Strategy Calcs'!AM81 + '1. Strategy Calcs'!AT81 + '1. Strategy Calcs'!BA81 + '1. Strategy Calcs'!BH81 + '1. Strategy Calcs'!BK81</f>
        <v>134.00442851268309</v>
      </c>
      <c r="L81" s="51">
        <f>K81*'Time Discounting'!C78</f>
        <v>15.488228509159139</v>
      </c>
      <c r="M81" s="52">
        <f t="shared" si="103"/>
        <v>136547.33473586428</v>
      </c>
      <c r="N81" s="5">
        <f>'1. Strategy Calcs'!Z81 + '1. Strategy Calcs'!AG81 + '1. Strategy Calcs'!AN81 + '1. Strategy Calcs'!AU81 + '1. Strategy Calcs'!BB81 + '1. Strategy Calcs'!BI81</f>
        <v>0.25496003727679301</v>
      </c>
      <c r="O81">
        <f>N81*'Time Discounting'!D78</f>
        <v>2.9468274756852184E-2</v>
      </c>
      <c r="P81" s="6">
        <f t="shared" si="104"/>
        <v>23.643899831575506</v>
      </c>
      <c r="R81" s="14">
        <f t="shared" si="78"/>
        <v>0.99999999999999989</v>
      </c>
      <c r="T81" s="5">
        <f t="shared" si="105"/>
        <v>0.2117776172246178</v>
      </c>
      <c r="U81">
        <f t="shared" si="79"/>
        <v>0.20001747907356443</v>
      </c>
      <c r="V81">
        <f t="shared" si="80"/>
        <v>1.1760138151053361E-2</v>
      </c>
      <c r="W81" s="50">
        <f>0</f>
        <v>0</v>
      </c>
      <c r="X81" s="51">
        <f t="shared" si="81"/>
        <v>107.88750739776353</v>
      </c>
      <c r="Y81" s="52">
        <f t="shared" si="82"/>
        <v>107.88750739776353</v>
      </c>
      <c r="Z81" s="14">
        <f t="shared" si="106"/>
        <v>0.2117776172246178</v>
      </c>
      <c r="AA81" s="5">
        <f t="shared" si="107"/>
        <v>2.2510627844854508E-2</v>
      </c>
      <c r="AB81">
        <f t="shared" si="83"/>
        <v>2.126059917425303E-2</v>
      </c>
      <c r="AC81">
        <f t="shared" si="84"/>
        <v>1.2500286706014778E-3</v>
      </c>
      <c r="AD81" s="50">
        <f>0</f>
        <v>0</v>
      </c>
      <c r="AE81" s="51">
        <f t="shared" si="85"/>
        <v>11.467763024097957</v>
      </c>
      <c r="AF81" s="52">
        <f t="shared" si="86"/>
        <v>11.467763024097957</v>
      </c>
      <c r="AG81" s="14">
        <f t="shared" si="108"/>
        <v>2.2510627844854508E-2</v>
      </c>
      <c r="AH81" s="5">
        <f t="shared" si="109"/>
        <v>5.6276569612136269E-3</v>
      </c>
      <c r="AI81">
        <f t="shared" si="87"/>
        <v>5.3151497935632576E-3</v>
      </c>
      <c r="AJ81">
        <f t="shared" si="88"/>
        <v>3.1250716765036945E-4</v>
      </c>
      <c r="AK81" s="50">
        <f>0</f>
        <v>0</v>
      </c>
      <c r="AL81" s="51">
        <f t="shared" si="89"/>
        <v>2.8669407560244893</v>
      </c>
      <c r="AM81" s="52">
        <f t="shared" si="90"/>
        <v>2.8669407560244893</v>
      </c>
      <c r="AN81" s="14">
        <f t="shared" si="110"/>
        <v>3.9393598728495382E-3</v>
      </c>
      <c r="AO81" s="5">
        <f t="shared" si="111"/>
        <v>3.5543096597138672E-3</v>
      </c>
      <c r="AP81">
        <f t="shared" si="91"/>
        <v>3.3569367117241605E-3</v>
      </c>
      <c r="AQ81">
        <f t="shared" si="92"/>
        <v>1.9737294798970688E-4</v>
      </c>
      <c r="AR81" s="50">
        <f>0</f>
        <v>0</v>
      </c>
      <c r="AS81" s="51">
        <f t="shared" si="93"/>
        <v>1.810699424857571</v>
      </c>
      <c r="AT81" s="52">
        <f t="shared" si="94"/>
        <v>1.810699424857571</v>
      </c>
      <c r="AU81" s="14">
        <f t="shared" si="112"/>
        <v>2.1681288924254591E-3</v>
      </c>
      <c r="AV81" s="5">
        <f t="shared" si="113"/>
        <v>1.8956318185140632E-2</v>
      </c>
      <c r="AW81">
        <f t="shared" si="95"/>
        <v>1.7903662462528863E-2</v>
      </c>
      <c r="AX81">
        <f t="shared" si="96"/>
        <v>1.0526557226117703E-3</v>
      </c>
      <c r="AY81" s="50">
        <f>0</f>
        <v>0</v>
      </c>
      <c r="AZ81" s="51">
        <f t="shared" si="97"/>
        <v>9.6570635992403808</v>
      </c>
      <c r="BA81" s="52">
        <f t="shared" si="98"/>
        <v>9.6570635992403808</v>
      </c>
      <c r="BB81" s="14">
        <f t="shared" si="114"/>
        <v>1.3648549093301255E-2</v>
      </c>
      <c r="BC81" s="5">
        <f t="shared" si="115"/>
        <v>1.5262572479074782E-2</v>
      </c>
      <c r="BD81">
        <f t="shared" si="99"/>
        <v>1.5228295793801276E-2</v>
      </c>
      <c r="BE81">
        <f t="shared" si="100"/>
        <v>3.4276685273506148E-5</v>
      </c>
      <c r="BF81" s="50">
        <f>0</f>
        <v>0</v>
      </c>
      <c r="BG81" s="51">
        <f t="shared" si="101"/>
        <v>0.31445431069914542</v>
      </c>
      <c r="BH81" s="52">
        <f t="shared" si="102"/>
        <v>0.31445431069914542</v>
      </c>
      <c r="BI81" s="14">
        <f t="shared" si="116"/>
        <v>9.1575434874448692E-4</v>
      </c>
      <c r="BJ81" s="5">
        <f>0 + '1. Strategy Calcs'!V80 + '1. Strategy Calcs'!AC80 + '1. Strategy Calcs'!AJ80 + '1. Strategy Calcs'!AQ80 + '1. Strategy Calcs'!AX80 + '1. Strategy Calcs'!BE80 + BJ80</f>
        <v>0.7223108976453847</v>
      </c>
      <c r="BK81" s="63">
        <f>0</f>
        <v>0</v>
      </c>
    </row>
    <row r="82" spans="2:63" x14ac:dyDescent="0.35">
      <c r="B82" s="14">
        <v>74</v>
      </c>
      <c r="D82" s="5">
        <f>'1. Strategy Calcs'!T82</f>
        <v>0.20001747907356443</v>
      </c>
      <c r="E82">
        <f>'1. Strategy Calcs'!AA82</f>
        <v>2.126059917425303E-2</v>
      </c>
      <c r="F82">
        <f>'1. Strategy Calcs'!AH82</f>
        <v>5.3151497935632576E-3</v>
      </c>
      <c r="G82">
        <f>'1. Strategy Calcs'!AO82</f>
        <v>3.3569367117241605E-3</v>
      </c>
      <c r="H82">
        <f>'1. Strategy Calcs'!AV82</f>
        <v>1.7903662462528863E-2</v>
      </c>
      <c r="I82">
        <f>'1. Strategy Calcs'!BC82</f>
        <v>1.5228295793801276E-2</v>
      </c>
      <c r="J82" s="6">
        <f>'1. Strategy Calcs'!BJ82</f>
        <v>0.73691787699056488</v>
      </c>
      <c r="K82" s="50">
        <f>'1. Strategy Calcs'!Y82 + '1. Strategy Calcs'!AF82 + '1. Strategy Calcs'!AM82 + '1. Strategy Calcs'!AT82 + '1. Strategy Calcs'!BA82 + '1. Strategy Calcs'!BH82 + '1. Strategy Calcs'!BK82</f>
        <v>126.57983782977141</v>
      </c>
      <c r="L82" s="51">
        <f>K82*'Time Discounting'!C79</f>
        <v>14.203975245621974</v>
      </c>
      <c r="M82" s="52">
        <f t="shared" si="103"/>
        <v>136561.5387111099</v>
      </c>
      <c r="N82" s="5">
        <f>'1. Strategy Calcs'!Z82 + '1. Strategy Calcs'!AG82 + '1. Strategy Calcs'!AN82 + '1. Strategy Calcs'!AU82 + '1. Strategy Calcs'!BB82 + '1. Strategy Calcs'!BI82</f>
        <v>0.24085074921811234</v>
      </c>
      <c r="O82">
        <f>N82*'Time Discounting'!D79</f>
        <v>2.7026721936429517E-2</v>
      </c>
      <c r="P82" s="6">
        <f t="shared" si="104"/>
        <v>23.670926553511936</v>
      </c>
      <c r="R82" s="14">
        <f t="shared" si="78"/>
        <v>0.99999999999999989</v>
      </c>
      <c r="T82" s="5">
        <f t="shared" si="105"/>
        <v>0.20001747907356443</v>
      </c>
      <c r="U82">
        <f t="shared" si="79"/>
        <v>0.18891038845012195</v>
      </c>
      <c r="V82">
        <f t="shared" si="80"/>
        <v>1.1107090623442476E-2</v>
      </c>
      <c r="W82" s="50">
        <f>0</f>
        <v>0</v>
      </c>
      <c r="X82" s="51">
        <f t="shared" si="81"/>
        <v>101.89644937946127</v>
      </c>
      <c r="Y82" s="52">
        <f t="shared" si="82"/>
        <v>101.89644937946127</v>
      </c>
      <c r="Z82" s="14">
        <f t="shared" si="106"/>
        <v>0.20001747907356443</v>
      </c>
      <c r="AA82" s="5">
        <f t="shared" si="107"/>
        <v>2.126059917425303E-2</v>
      </c>
      <c r="AB82">
        <f t="shared" si="83"/>
        <v>2.0079985345747255E-2</v>
      </c>
      <c r="AC82">
        <f t="shared" si="84"/>
        <v>1.1806138285057753E-3</v>
      </c>
      <c r="AD82" s="50">
        <f>0</f>
        <v>0</v>
      </c>
      <c r="AE82" s="51">
        <f t="shared" si="85"/>
        <v>10.830951262711983</v>
      </c>
      <c r="AF82" s="52">
        <f t="shared" si="86"/>
        <v>10.830951262711983</v>
      </c>
      <c r="AG82" s="14">
        <f t="shared" si="108"/>
        <v>2.126059917425303E-2</v>
      </c>
      <c r="AH82" s="5">
        <f t="shared" si="109"/>
        <v>5.3151497935632576E-3</v>
      </c>
      <c r="AI82">
        <f t="shared" si="87"/>
        <v>5.0199963364368138E-3</v>
      </c>
      <c r="AJ82">
        <f t="shared" si="88"/>
        <v>2.9515345712644383E-4</v>
      </c>
      <c r="AK82" s="50">
        <f>0</f>
        <v>0</v>
      </c>
      <c r="AL82" s="51">
        <f t="shared" si="89"/>
        <v>2.7077378156779957</v>
      </c>
      <c r="AM82" s="52">
        <f t="shared" si="90"/>
        <v>2.7077378156779957</v>
      </c>
      <c r="AN82" s="14">
        <f t="shared" si="110"/>
        <v>3.7206048554942802E-3</v>
      </c>
      <c r="AO82" s="5">
        <f t="shared" si="111"/>
        <v>3.3569367117241605E-3</v>
      </c>
      <c r="AP82">
        <f t="shared" si="91"/>
        <v>3.170524001960091E-3</v>
      </c>
      <c r="AQ82">
        <f t="shared" si="92"/>
        <v>1.8641270976406968E-4</v>
      </c>
      <c r="AR82" s="50">
        <f>0</f>
        <v>0</v>
      </c>
      <c r="AS82" s="51">
        <f t="shared" si="93"/>
        <v>1.7101501993755752</v>
      </c>
      <c r="AT82" s="52">
        <f t="shared" si="94"/>
        <v>1.7101501993755752</v>
      </c>
      <c r="AU82" s="14">
        <f t="shared" si="112"/>
        <v>2.0477313941517378E-3</v>
      </c>
      <c r="AV82" s="5">
        <f t="shared" si="113"/>
        <v>1.7903662462528863E-2</v>
      </c>
      <c r="AW82">
        <f t="shared" si="95"/>
        <v>1.6909461343787159E-2</v>
      </c>
      <c r="AX82">
        <f t="shared" si="96"/>
        <v>9.9420111874170538E-4</v>
      </c>
      <c r="AY82" s="50">
        <f>0</f>
        <v>0</v>
      </c>
      <c r="AZ82" s="51">
        <f t="shared" si="97"/>
        <v>9.1208010633364047</v>
      </c>
      <c r="BA82" s="52">
        <f t="shared" si="98"/>
        <v>9.1208010633364047</v>
      </c>
      <c r="BB82" s="14">
        <f t="shared" si="114"/>
        <v>1.2890636973020781E-2</v>
      </c>
      <c r="BC82" s="5">
        <f t="shared" si="115"/>
        <v>1.5228295793801276E-2</v>
      </c>
      <c r="BD82">
        <f t="shared" si="99"/>
        <v>1.5194096087107558E-2</v>
      </c>
      <c r="BE82">
        <f t="shared" si="100"/>
        <v>3.4199706693718907E-5</v>
      </c>
      <c r="BF82" s="50">
        <f>0</f>
        <v>0</v>
      </c>
      <c r="BG82" s="51">
        <f t="shared" si="101"/>
        <v>0.31374810920817725</v>
      </c>
      <c r="BH82" s="52">
        <f t="shared" si="102"/>
        <v>0.31374810920817725</v>
      </c>
      <c r="BI82" s="14">
        <f t="shared" si="116"/>
        <v>9.1369774762807652E-4</v>
      </c>
      <c r="BJ82" s="5">
        <f>0 + '1. Strategy Calcs'!V81 + '1. Strategy Calcs'!AC81 + '1. Strategy Calcs'!AJ81 + '1. Strategy Calcs'!AQ81 + '1. Strategy Calcs'!AX81 + '1. Strategy Calcs'!BE81 + BJ81</f>
        <v>0.73691787699056488</v>
      </c>
      <c r="BK82" s="63">
        <f>0</f>
        <v>0</v>
      </c>
    </row>
    <row r="83" spans="2:63" x14ac:dyDescent="0.35">
      <c r="B83" s="14">
        <v>75</v>
      </c>
      <c r="D83" s="5">
        <f>'1. Strategy Calcs'!T83</f>
        <v>0.18891038845012195</v>
      </c>
      <c r="E83">
        <f>'1. Strategy Calcs'!AA83</f>
        <v>2.0079985345747255E-2</v>
      </c>
      <c r="F83">
        <f>'1. Strategy Calcs'!AH83</f>
        <v>5.0199963364368138E-3</v>
      </c>
      <c r="G83">
        <f>'1. Strategy Calcs'!AO83</f>
        <v>3.170524001960091E-3</v>
      </c>
      <c r="H83">
        <f>'1. Strategy Calcs'!AV83</f>
        <v>1.6909461343787159E-2</v>
      </c>
      <c r="I83">
        <f>'1. Strategy Calcs'!BC83</f>
        <v>1.5194096087107558E-2</v>
      </c>
      <c r="J83" s="6">
        <f>'1. Strategy Calcs'!BJ83</f>
        <v>0.75071554843483912</v>
      </c>
      <c r="K83" s="50">
        <f>'1. Strategy Calcs'!Y83 + '1. Strategy Calcs'!AF83 + '1. Strategy Calcs'!AM83 + '1. Strategy Calcs'!AT83 + '1. Strategy Calcs'!BA83 + '1. Strategy Calcs'!BH83 + '1. Strategy Calcs'!BK83</f>
        <v>119.56750149243103</v>
      </c>
      <c r="L83" s="51">
        <f>K83*'Time Discounting'!C80</f>
        <v>13.026306762006898</v>
      </c>
      <c r="M83" s="52">
        <f t="shared" si="103"/>
        <v>136574.56501787191</v>
      </c>
      <c r="N83" s="5">
        <f>'1. Strategy Calcs'!Z83 + '1. Strategy Calcs'!AG83 + '1. Strategy Calcs'!AN83 + '1. Strategy Calcs'!AU83 + '1. Strategy Calcs'!BB83 + '1. Strategy Calcs'!BI83</f>
        <v>0.22752484880532384</v>
      </c>
      <c r="O83">
        <f>N83*'Time Discounting'!D80</f>
        <v>2.4787742819105448E-2</v>
      </c>
      <c r="P83" s="6">
        <f t="shared" si="104"/>
        <v>23.69571429633104</v>
      </c>
      <c r="R83" s="14">
        <f t="shared" si="78"/>
        <v>1</v>
      </c>
      <c r="T83" s="5">
        <f t="shared" si="105"/>
        <v>0.18891038845012195</v>
      </c>
      <c r="U83">
        <f t="shared" si="79"/>
        <v>0.17842008123325362</v>
      </c>
      <c r="V83">
        <f t="shared" si="80"/>
        <v>1.0490307216868342E-2</v>
      </c>
      <c r="W83" s="50">
        <f>0</f>
        <v>0</v>
      </c>
      <c r="X83" s="51">
        <f t="shared" si="81"/>
        <v>96.238078407550162</v>
      </c>
      <c r="Y83" s="52">
        <f t="shared" si="82"/>
        <v>96.238078407550162</v>
      </c>
      <c r="Z83" s="14">
        <f t="shared" si="106"/>
        <v>0.18891038845012195</v>
      </c>
      <c r="AA83" s="5">
        <f t="shared" si="107"/>
        <v>2.0079985345747255E-2</v>
      </c>
      <c r="AB83">
        <f t="shared" si="83"/>
        <v>1.8964931711506702E-2</v>
      </c>
      <c r="AC83">
        <f t="shared" si="84"/>
        <v>1.1150536342405526E-3</v>
      </c>
      <c r="AD83" s="50">
        <f>0</f>
        <v>0</v>
      </c>
      <c r="AE83" s="51">
        <f t="shared" si="85"/>
        <v>10.22950204052283</v>
      </c>
      <c r="AF83" s="52">
        <f t="shared" si="86"/>
        <v>10.22950204052283</v>
      </c>
      <c r="AG83" s="14">
        <f t="shared" si="108"/>
        <v>2.0079985345747255E-2</v>
      </c>
      <c r="AH83" s="5">
        <f t="shared" si="109"/>
        <v>5.0199963364368138E-3</v>
      </c>
      <c r="AI83">
        <f t="shared" si="87"/>
        <v>4.7412329278766754E-3</v>
      </c>
      <c r="AJ83">
        <f t="shared" si="88"/>
        <v>2.7876340856013815E-4</v>
      </c>
      <c r="AK83" s="50">
        <f>0</f>
        <v>0</v>
      </c>
      <c r="AL83" s="51">
        <f t="shared" si="89"/>
        <v>2.5573755101307074</v>
      </c>
      <c r="AM83" s="52">
        <f t="shared" si="90"/>
        <v>2.5573755101307074</v>
      </c>
      <c r="AN83" s="14">
        <f t="shared" si="110"/>
        <v>3.5139974355057695E-3</v>
      </c>
      <c r="AO83" s="5">
        <f t="shared" si="111"/>
        <v>3.170524001960091E-3</v>
      </c>
      <c r="AP83">
        <f t="shared" si="91"/>
        <v>2.9944629018168458E-3</v>
      </c>
      <c r="AQ83">
        <f t="shared" si="92"/>
        <v>1.7606110014324502E-4</v>
      </c>
      <c r="AR83" s="50">
        <f>0</f>
        <v>0</v>
      </c>
      <c r="AS83" s="51">
        <f t="shared" si="93"/>
        <v>1.6151845327141299</v>
      </c>
      <c r="AT83" s="52">
        <f t="shared" si="94"/>
        <v>1.6151845327141299</v>
      </c>
      <c r="AU83" s="14">
        <f t="shared" si="112"/>
        <v>1.9340196411956555E-3</v>
      </c>
      <c r="AV83" s="5">
        <f t="shared" si="113"/>
        <v>1.6909461343787159E-2</v>
      </c>
      <c r="AW83">
        <f t="shared" si="95"/>
        <v>1.5970468809689851E-2</v>
      </c>
      <c r="AX83">
        <f t="shared" si="96"/>
        <v>9.3899253409730722E-4</v>
      </c>
      <c r="AY83" s="50">
        <f>0</f>
        <v>0</v>
      </c>
      <c r="AZ83" s="51">
        <f t="shared" si="97"/>
        <v>8.6143175078086962</v>
      </c>
      <c r="BA83" s="52">
        <f t="shared" si="98"/>
        <v>8.6143175078086962</v>
      </c>
      <c r="BB83" s="14">
        <f t="shared" si="114"/>
        <v>1.2174812167526755E-2</v>
      </c>
      <c r="BC83" s="5">
        <f t="shared" si="115"/>
        <v>1.5194096087107558E-2</v>
      </c>
      <c r="BD83">
        <f t="shared" si="99"/>
        <v>1.5159973186115132E-2</v>
      </c>
      <c r="BE83">
        <f t="shared" si="100"/>
        <v>3.4122900992426158E-5</v>
      </c>
      <c r="BF83" s="50">
        <f>0</f>
        <v>0</v>
      </c>
      <c r="BG83" s="51">
        <f t="shared" si="101"/>
        <v>0.31304349370451756</v>
      </c>
      <c r="BH83" s="52">
        <f t="shared" si="102"/>
        <v>0.31304349370451756</v>
      </c>
      <c r="BI83" s="14">
        <f t="shared" si="116"/>
        <v>9.1164576522645348E-4</v>
      </c>
      <c r="BJ83" s="5">
        <f>0 + '1. Strategy Calcs'!V82 + '1. Strategy Calcs'!AC82 + '1. Strategy Calcs'!AJ82 + '1. Strategy Calcs'!AQ82 + '1. Strategy Calcs'!AX82 + '1. Strategy Calcs'!BE82 + BJ82</f>
        <v>0.75071554843483912</v>
      </c>
      <c r="BK83" s="63">
        <f>0</f>
        <v>0</v>
      </c>
    </row>
    <row r="84" spans="2:63" x14ac:dyDescent="0.35">
      <c r="B84" s="14">
        <v>76</v>
      </c>
      <c r="D84" s="5">
        <f>'1. Strategy Calcs'!T84</f>
        <v>0.17842008123325362</v>
      </c>
      <c r="E84">
        <f>'1. Strategy Calcs'!AA84</f>
        <v>1.8964931711506702E-2</v>
      </c>
      <c r="F84">
        <f>'1. Strategy Calcs'!AH84</f>
        <v>4.7412329278766754E-3</v>
      </c>
      <c r="G84">
        <f>'1. Strategy Calcs'!AO84</f>
        <v>2.9944629018168458E-3</v>
      </c>
      <c r="H84">
        <f>'1. Strategy Calcs'!AV84</f>
        <v>1.5970468809689851E-2</v>
      </c>
      <c r="I84">
        <f>'1. Strategy Calcs'!BC84</f>
        <v>1.5159973186115132E-2</v>
      </c>
      <c r="J84" s="6">
        <f>'1. Strategy Calcs'!BJ84</f>
        <v>0.76374884922974118</v>
      </c>
      <c r="K84" s="50">
        <f>'1. Strategy Calcs'!Y84 + '1. Strategy Calcs'!AF84 + '1. Strategy Calcs'!AM84 + '1. Strategy Calcs'!AT84 + '1. Strategy Calcs'!BA84 + '1. Strategy Calcs'!BH84 + '1. Strategy Calcs'!BK84</f>
        <v>112.94452685400881</v>
      </c>
      <c r="L84" s="51">
        <f>K84*'Time Discounting'!C81</f>
        <v>11.946374163077088</v>
      </c>
      <c r="M84" s="52">
        <f t="shared" si="103"/>
        <v>136586.511392035</v>
      </c>
      <c r="N84" s="5">
        <f>'1. Strategy Calcs'!Z84 + '1. Strategy Calcs'!AG84 + '1. Strategy Calcs'!AN84 + '1. Strategy Calcs'!AU84 + '1. Strategy Calcs'!BB84 + '1. Strategy Calcs'!BI84</f>
        <v>0.21493883429852589</v>
      </c>
      <c r="O84">
        <f>N84*'Time Discounting'!D81</f>
        <v>2.2734521169182963E-2</v>
      </c>
      <c r="P84" s="6">
        <f t="shared" si="104"/>
        <v>23.718448817500224</v>
      </c>
      <c r="R84" s="14">
        <f t="shared" si="78"/>
        <v>1</v>
      </c>
      <c r="T84" s="5">
        <f t="shared" si="105"/>
        <v>0.17842008123325362</v>
      </c>
      <c r="U84">
        <f t="shared" si="79"/>
        <v>0.1685123070703223</v>
      </c>
      <c r="V84">
        <f t="shared" si="80"/>
        <v>9.9077741629313137E-3</v>
      </c>
      <c r="W84" s="50">
        <f>0</f>
        <v>0</v>
      </c>
      <c r="X84" s="51">
        <f t="shared" si="81"/>
        <v>90.893920170731874</v>
      </c>
      <c r="Y84" s="52">
        <f t="shared" si="82"/>
        <v>90.893920170731874</v>
      </c>
      <c r="Z84" s="14">
        <f t="shared" si="106"/>
        <v>0.17842008123325362</v>
      </c>
      <c r="AA84" s="5">
        <f t="shared" si="107"/>
        <v>1.8964931711506702E-2</v>
      </c>
      <c r="AB84">
        <f t="shared" si="83"/>
        <v>1.7911797674607707E-2</v>
      </c>
      <c r="AC84">
        <f t="shared" si="84"/>
        <v>1.0531340368989941E-3</v>
      </c>
      <c r="AD84" s="50">
        <f>0</f>
        <v>0</v>
      </c>
      <c r="AE84" s="51">
        <f t="shared" si="85"/>
        <v>9.6614516545113727</v>
      </c>
      <c r="AF84" s="52">
        <f t="shared" si="86"/>
        <v>9.6614516545113727</v>
      </c>
      <c r="AG84" s="14">
        <f t="shared" si="108"/>
        <v>1.8964931711506702E-2</v>
      </c>
      <c r="AH84" s="5">
        <f t="shared" si="109"/>
        <v>4.7412329278766754E-3</v>
      </c>
      <c r="AI84">
        <f t="shared" si="87"/>
        <v>4.4779494186519267E-3</v>
      </c>
      <c r="AJ84">
        <f t="shared" si="88"/>
        <v>2.6328350922474853E-4</v>
      </c>
      <c r="AK84" s="50">
        <f>0</f>
        <v>0</v>
      </c>
      <c r="AL84" s="51">
        <f t="shared" si="89"/>
        <v>2.4153629136278432</v>
      </c>
      <c r="AM84" s="52">
        <f t="shared" si="90"/>
        <v>2.4153629136278432</v>
      </c>
      <c r="AN84" s="14">
        <f t="shared" si="110"/>
        <v>3.3188630495136727E-3</v>
      </c>
      <c r="AO84" s="5">
        <f t="shared" si="111"/>
        <v>2.9944629018168458E-3</v>
      </c>
      <c r="AP84">
        <f t="shared" si="91"/>
        <v>2.8281785802012154E-3</v>
      </c>
      <c r="AQ84">
        <f t="shared" si="92"/>
        <v>1.6628432161563053E-4</v>
      </c>
      <c r="AR84" s="50">
        <f>0</f>
        <v>0</v>
      </c>
      <c r="AS84" s="51">
        <f t="shared" si="93"/>
        <v>1.5254923665017945</v>
      </c>
      <c r="AT84" s="52">
        <f t="shared" si="94"/>
        <v>1.5254923665017945</v>
      </c>
      <c r="AU84" s="14">
        <f t="shared" si="112"/>
        <v>1.826622370108276E-3</v>
      </c>
      <c r="AV84" s="5">
        <f t="shared" si="113"/>
        <v>1.5970468809689851E-2</v>
      </c>
      <c r="AW84">
        <f t="shared" si="95"/>
        <v>1.5083619094406489E-2</v>
      </c>
      <c r="AX84">
        <f t="shared" si="96"/>
        <v>8.8684971528336324E-4</v>
      </c>
      <c r="AY84" s="50">
        <f>0</f>
        <v>0</v>
      </c>
      <c r="AZ84" s="51">
        <f t="shared" si="97"/>
        <v>8.135959288009575</v>
      </c>
      <c r="BA84" s="52">
        <f t="shared" si="98"/>
        <v>8.135959288009575</v>
      </c>
      <c r="BB84" s="14">
        <f t="shared" si="114"/>
        <v>1.1498737542976693E-2</v>
      </c>
      <c r="BC84" s="5">
        <f t="shared" si="115"/>
        <v>1.5159973186115132E-2</v>
      </c>
      <c r="BD84">
        <f t="shared" si="99"/>
        <v>1.5125926918333756E-2</v>
      </c>
      <c r="BE84">
        <f t="shared" si="100"/>
        <v>3.4046267781377366E-5</v>
      </c>
      <c r="BF84" s="50">
        <f>0</f>
        <v>0</v>
      </c>
      <c r="BG84" s="51">
        <f t="shared" si="101"/>
        <v>0.31234046062635595</v>
      </c>
      <c r="BH84" s="52">
        <f t="shared" si="102"/>
        <v>0.31234046062635595</v>
      </c>
      <c r="BI84" s="14">
        <f t="shared" si="116"/>
        <v>9.0959839116690785E-4</v>
      </c>
      <c r="BJ84" s="5">
        <f>0 + '1. Strategy Calcs'!V83 + '1. Strategy Calcs'!AC83 + '1. Strategy Calcs'!AJ83 + '1. Strategy Calcs'!AQ83 + '1. Strategy Calcs'!AX83 + '1. Strategy Calcs'!BE83 + BJ83</f>
        <v>0.76374884922974118</v>
      </c>
      <c r="BK84" s="63">
        <f>0</f>
        <v>0</v>
      </c>
    </row>
    <row r="85" spans="2:63" x14ac:dyDescent="0.35">
      <c r="B85" s="14">
        <v>77</v>
      </c>
      <c r="D85" s="5">
        <f>'1. Strategy Calcs'!T85</f>
        <v>0.1685123070703223</v>
      </c>
      <c r="E85">
        <f>'1. Strategy Calcs'!AA85</f>
        <v>1.7911797674607707E-2</v>
      </c>
      <c r="F85">
        <f>'1. Strategy Calcs'!AH85</f>
        <v>4.4779494186519267E-3</v>
      </c>
      <c r="G85">
        <f>'1. Strategy Calcs'!AO85</f>
        <v>2.8281785802012154E-3</v>
      </c>
      <c r="H85">
        <f>'1. Strategy Calcs'!AV85</f>
        <v>1.5083619094406489E-2</v>
      </c>
      <c r="I85">
        <f>'1. Strategy Calcs'!BC85</f>
        <v>1.5125926918333756E-2</v>
      </c>
      <c r="J85" s="6">
        <f>'1. Strategy Calcs'!BJ85</f>
        <v>0.77606022124347662</v>
      </c>
      <c r="K85" s="50">
        <f>'1. Strategy Calcs'!Y85 + '1. Strategy Calcs'!AF85 + '1. Strategy Calcs'!AM85 + '1. Strategy Calcs'!AT85 + '1. Strategy Calcs'!BA85 + '1. Strategy Calcs'!BH85 + '1. Strategy Calcs'!BK85</f>
        <v>106.68929251006597</v>
      </c>
      <c r="L85" s="51">
        <f>K85*'Time Discounting'!C82</f>
        <v>10.956063303009671</v>
      </c>
      <c r="M85" s="52">
        <f t="shared" si="103"/>
        <v>136597.46745533802</v>
      </c>
      <c r="N85" s="5">
        <f>'1. Strategy Calcs'!Z85 + '1. Strategy Calcs'!AG85 + '1. Strategy Calcs'!AN85 + '1. Strategy Calcs'!AU85 + '1. Strategy Calcs'!BB85 + '1. Strategy Calcs'!BI85</f>
        <v>0.20305161963498181</v>
      </c>
      <c r="O85">
        <f>N85*'Time Discounting'!D82</f>
        <v>2.0851636993371291E-2</v>
      </c>
      <c r="P85" s="6">
        <f t="shared" si="104"/>
        <v>23.739300454493595</v>
      </c>
      <c r="R85" s="14">
        <f t="shared" si="78"/>
        <v>1</v>
      </c>
      <c r="T85" s="5">
        <f t="shared" si="105"/>
        <v>0.1685123070703223</v>
      </c>
      <c r="U85">
        <f t="shared" si="79"/>
        <v>0.15915471755132307</v>
      </c>
      <c r="V85">
        <f t="shared" si="80"/>
        <v>9.3575895189992389E-3</v>
      </c>
      <c r="W85" s="50">
        <f>0</f>
        <v>0</v>
      </c>
      <c r="X85" s="51">
        <f t="shared" si="81"/>
        <v>85.846526247299025</v>
      </c>
      <c r="Y85" s="52">
        <f t="shared" si="82"/>
        <v>85.846526247299025</v>
      </c>
      <c r="Z85" s="14">
        <f t="shared" si="106"/>
        <v>0.1685123070703223</v>
      </c>
      <c r="AA85" s="5">
        <f t="shared" si="107"/>
        <v>1.7911797674607707E-2</v>
      </c>
      <c r="AB85">
        <f t="shared" si="83"/>
        <v>1.6917144802658136E-2</v>
      </c>
      <c r="AC85">
        <f t="shared" si="84"/>
        <v>9.9465287194957066E-4</v>
      </c>
      <c r="AD85" s="50">
        <f>0</f>
        <v>0</v>
      </c>
      <c r="AE85" s="51">
        <f t="shared" si="85"/>
        <v>9.1249454472653611</v>
      </c>
      <c r="AF85" s="52">
        <f t="shared" si="86"/>
        <v>9.1249454472653611</v>
      </c>
      <c r="AG85" s="14">
        <f t="shared" si="108"/>
        <v>1.7911797674607707E-2</v>
      </c>
      <c r="AH85" s="5">
        <f t="shared" si="109"/>
        <v>4.4779494186519267E-3</v>
      </c>
      <c r="AI85">
        <f t="shared" si="87"/>
        <v>4.2292862006645341E-3</v>
      </c>
      <c r="AJ85">
        <f t="shared" si="88"/>
        <v>2.4866321798739266E-4</v>
      </c>
      <c r="AK85" s="50">
        <f>0</f>
        <v>0</v>
      </c>
      <c r="AL85" s="51">
        <f t="shared" si="89"/>
        <v>2.2812363618163403</v>
      </c>
      <c r="AM85" s="52">
        <f t="shared" si="90"/>
        <v>2.2812363618163403</v>
      </c>
      <c r="AN85" s="14">
        <f t="shared" si="110"/>
        <v>3.1345645930563487E-3</v>
      </c>
      <c r="AO85" s="5">
        <f t="shared" si="111"/>
        <v>2.8281785802012154E-3</v>
      </c>
      <c r="AP85">
        <f t="shared" si="91"/>
        <v>2.6711281267354937E-3</v>
      </c>
      <c r="AQ85">
        <f t="shared" si="92"/>
        <v>1.5705045346572162E-4</v>
      </c>
      <c r="AR85" s="50">
        <f>0</f>
        <v>0</v>
      </c>
      <c r="AS85" s="51">
        <f t="shared" si="93"/>
        <v>1.4407808600945302</v>
      </c>
      <c r="AT85" s="52">
        <f t="shared" si="94"/>
        <v>1.4407808600945302</v>
      </c>
      <c r="AU85" s="14">
        <f t="shared" si="112"/>
        <v>1.7251889339227413E-3</v>
      </c>
      <c r="AV85" s="5">
        <f t="shared" si="113"/>
        <v>1.5083619094406489E-2</v>
      </c>
      <c r="AW85">
        <f t="shared" si="95"/>
        <v>1.4246016675922641E-2</v>
      </c>
      <c r="AX85">
        <f t="shared" si="96"/>
        <v>8.3760241848384893E-4</v>
      </c>
      <c r="AY85" s="50">
        <f>0</f>
        <v>0</v>
      </c>
      <c r="AZ85" s="51">
        <f t="shared" si="97"/>
        <v>7.6841645871708302</v>
      </c>
      <c r="BA85" s="52">
        <f t="shared" si="98"/>
        <v>7.6841645871708302</v>
      </c>
      <c r="BB85" s="14">
        <f t="shared" si="114"/>
        <v>1.0860205747972671E-2</v>
      </c>
      <c r="BC85" s="5">
        <f t="shared" si="115"/>
        <v>1.5125926918333756E-2</v>
      </c>
      <c r="BD85">
        <f t="shared" si="99"/>
        <v>1.5091957111660562E-2</v>
      </c>
      <c r="BE85">
        <f t="shared" si="100"/>
        <v>3.3969806673193947E-5</v>
      </c>
      <c r="BF85" s="50">
        <f>0</f>
        <v>0</v>
      </c>
      <c r="BG85" s="51">
        <f t="shared" si="101"/>
        <v>0.31163900641988129</v>
      </c>
      <c r="BH85" s="52">
        <f t="shared" si="102"/>
        <v>0.31163900641988129</v>
      </c>
      <c r="BI85" s="14">
        <f t="shared" si="116"/>
        <v>9.0755561510002527E-4</v>
      </c>
      <c r="BJ85" s="5">
        <f>0 + '1. Strategy Calcs'!V84 + '1. Strategy Calcs'!AC84 + '1. Strategy Calcs'!AJ84 + '1. Strategy Calcs'!AQ84 + '1. Strategy Calcs'!AX84 + '1. Strategy Calcs'!BE84 + BJ84</f>
        <v>0.77606022124347662</v>
      </c>
      <c r="BK85" s="63">
        <f>0</f>
        <v>0</v>
      </c>
    </row>
    <row r="86" spans="2:63" x14ac:dyDescent="0.35">
      <c r="B86" s="14">
        <v>78</v>
      </c>
      <c r="D86" s="5">
        <f>'1. Strategy Calcs'!T86</f>
        <v>0.15915471755132307</v>
      </c>
      <c r="E86">
        <f>'1. Strategy Calcs'!AA86</f>
        <v>1.6917144802658136E-2</v>
      </c>
      <c r="F86">
        <f>'1. Strategy Calcs'!AH86</f>
        <v>4.2292862006645341E-3</v>
      </c>
      <c r="G86">
        <f>'1. Strategy Calcs'!AO86</f>
        <v>2.6711281267354937E-3</v>
      </c>
      <c r="H86">
        <f>'1. Strategy Calcs'!AV86</f>
        <v>1.4246016675922641E-2</v>
      </c>
      <c r="I86">
        <f>'1. Strategy Calcs'!BC86</f>
        <v>1.5091957111660562E-2</v>
      </c>
      <c r="J86" s="6">
        <f>'1. Strategy Calcs'!BJ86</f>
        <v>0.78768974953103554</v>
      </c>
      <c r="K86" s="50">
        <f>'1. Strategy Calcs'!Y86 + '1. Strategy Calcs'!AF86 + '1. Strategy Calcs'!AM86 + '1. Strategy Calcs'!AT86 + '1. Strategy Calcs'!BA86 + '1. Strategy Calcs'!BH86 + '1. Strategy Calcs'!BK86</f>
        <v>100.78137770553579</v>
      </c>
      <c r="L86" s="51">
        <f>K86*'Time Discounting'!C83</f>
        <v>10.047933774038571</v>
      </c>
      <c r="M86" s="52">
        <f t="shared" si="103"/>
        <v>136607.51538911206</v>
      </c>
      <c r="N86" s="5">
        <f>'1. Strategy Calcs'!Z86 + '1. Strategy Calcs'!AG86 + '1. Strategy Calcs'!AN86 + '1. Strategy Calcs'!AU86 + '1. Strategy Calcs'!BB86 + '1. Strategy Calcs'!BI86</f>
        <v>0.19182440028511896</v>
      </c>
      <c r="O86">
        <f>N86*'Time Discounting'!D83</f>
        <v>1.9124950602889695E-2</v>
      </c>
      <c r="P86" s="6">
        <f t="shared" si="104"/>
        <v>23.758425405096485</v>
      </c>
      <c r="R86" s="14">
        <f t="shared" si="78"/>
        <v>1</v>
      </c>
      <c r="T86" s="5">
        <f t="shared" si="105"/>
        <v>0.15915471755132307</v>
      </c>
      <c r="U86">
        <f t="shared" si="79"/>
        <v>0.15031676059286758</v>
      </c>
      <c r="V86">
        <f t="shared" si="80"/>
        <v>8.8379569584555017E-3</v>
      </c>
      <c r="W86" s="50">
        <f>0</f>
        <v>0</v>
      </c>
      <c r="X86" s="51">
        <f t="shared" si="81"/>
        <v>81.079417136870774</v>
      </c>
      <c r="Y86" s="52">
        <f t="shared" si="82"/>
        <v>81.079417136870774</v>
      </c>
      <c r="Z86" s="14">
        <f t="shared" si="106"/>
        <v>0.15915471755132307</v>
      </c>
      <c r="AA86" s="5">
        <f t="shared" si="107"/>
        <v>1.6917144802658136E-2</v>
      </c>
      <c r="AB86">
        <f t="shared" si="83"/>
        <v>1.5977725601479649E-2</v>
      </c>
      <c r="AC86">
        <f t="shared" si="84"/>
        <v>9.3941920117848786E-4</v>
      </c>
      <c r="AD86" s="50">
        <f>0</f>
        <v>0</v>
      </c>
      <c r="AE86" s="51">
        <f t="shared" si="85"/>
        <v>8.6182317516114484</v>
      </c>
      <c r="AF86" s="52">
        <f t="shared" si="86"/>
        <v>8.6182317516114484</v>
      </c>
      <c r="AG86" s="14">
        <f t="shared" si="108"/>
        <v>1.6917144802658136E-2</v>
      </c>
      <c r="AH86" s="5">
        <f t="shared" si="109"/>
        <v>4.2292862006645341E-3</v>
      </c>
      <c r="AI86">
        <f t="shared" si="87"/>
        <v>3.9944314003699122E-3</v>
      </c>
      <c r="AJ86">
        <f t="shared" si="88"/>
        <v>2.3485480029462197E-4</v>
      </c>
      <c r="AK86" s="50">
        <f>0</f>
        <v>0</v>
      </c>
      <c r="AL86" s="51">
        <f t="shared" si="89"/>
        <v>2.1545579379028621</v>
      </c>
      <c r="AM86" s="52">
        <f t="shared" si="90"/>
        <v>2.1545579379028621</v>
      </c>
      <c r="AN86" s="14">
        <f t="shared" si="110"/>
        <v>2.9605003404651739E-3</v>
      </c>
      <c r="AO86" s="5">
        <f t="shared" si="111"/>
        <v>2.6711281267354937E-3</v>
      </c>
      <c r="AP86">
        <f t="shared" si="91"/>
        <v>2.5227987791809959E-3</v>
      </c>
      <c r="AQ86">
        <f t="shared" si="92"/>
        <v>1.4832934755449801E-4</v>
      </c>
      <c r="AR86" s="50">
        <f>0</f>
        <v>0</v>
      </c>
      <c r="AS86" s="51">
        <f t="shared" si="93"/>
        <v>1.3607734344649647</v>
      </c>
      <c r="AT86" s="52">
        <f t="shared" si="94"/>
        <v>1.3607734344649647</v>
      </c>
      <c r="AU86" s="14">
        <f t="shared" si="112"/>
        <v>1.6293881573086512E-3</v>
      </c>
      <c r="AV86" s="5">
        <f t="shared" si="113"/>
        <v>1.4246016675922641E-2</v>
      </c>
      <c r="AW86">
        <f t="shared" si="95"/>
        <v>1.3454926822298652E-2</v>
      </c>
      <c r="AX86">
        <f t="shared" si="96"/>
        <v>7.9108985362398977E-4</v>
      </c>
      <c r="AY86" s="50">
        <f>0</f>
        <v>0</v>
      </c>
      <c r="AZ86" s="51">
        <f t="shared" si="97"/>
        <v>7.2574583171464822</v>
      </c>
      <c r="BA86" s="52">
        <f t="shared" si="98"/>
        <v>7.2574583171464822</v>
      </c>
      <c r="BB86" s="14">
        <f t="shared" si="114"/>
        <v>1.0257132006664301E-2</v>
      </c>
      <c r="BC86" s="5">
        <f t="shared" si="115"/>
        <v>1.5091957111660562E-2</v>
      </c>
      <c r="BD86">
        <f t="shared" si="99"/>
        <v>1.5058063594379195E-2</v>
      </c>
      <c r="BE86">
        <f t="shared" si="100"/>
        <v>3.3893517281367292E-5</v>
      </c>
      <c r="BF86" s="50">
        <f>0</f>
        <v>0</v>
      </c>
      <c r="BG86" s="51">
        <f t="shared" si="101"/>
        <v>0.31093912753926356</v>
      </c>
      <c r="BH86" s="52">
        <f t="shared" si="102"/>
        <v>0.31093912753926356</v>
      </c>
      <c r="BI86" s="14">
        <f t="shared" si="116"/>
        <v>9.0551742669963374E-4</v>
      </c>
      <c r="BJ86" s="5">
        <f>0 + '1. Strategy Calcs'!V85 + '1. Strategy Calcs'!AC85 + '1. Strategy Calcs'!AJ85 + '1. Strategy Calcs'!AQ85 + '1. Strategy Calcs'!AX85 + '1. Strategy Calcs'!BE85 + BJ85</f>
        <v>0.78768974953103554</v>
      </c>
      <c r="BK86" s="63">
        <f>0</f>
        <v>0</v>
      </c>
    </row>
    <row r="87" spans="2:63" x14ac:dyDescent="0.35">
      <c r="B87" s="14">
        <v>79</v>
      </c>
      <c r="D87" s="5">
        <f>'1. Strategy Calcs'!T87</f>
        <v>0.15031676059286758</v>
      </c>
      <c r="E87">
        <f>'1. Strategy Calcs'!AA87</f>
        <v>1.5977725601479649E-2</v>
      </c>
      <c r="F87">
        <f>'1. Strategy Calcs'!AH87</f>
        <v>3.9944314003699122E-3</v>
      </c>
      <c r="G87">
        <f>'1. Strategy Calcs'!AO87</f>
        <v>2.5227987791809959E-3</v>
      </c>
      <c r="H87">
        <f>'1. Strategy Calcs'!AV87</f>
        <v>1.3454926822298652E-2</v>
      </c>
      <c r="I87">
        <f>'1. Strategy Calcs'!BC87</f>
        <v>1.5058063594379195E-2</v>
      </c>
      <c r="J87" s="6">
        <f>'1. Strategy Calcs'!BJ87</f>
        <v>0.79867529320942399</v>
      </c>
      <c r="K87" s="50">
        <f>'1. Strategy Calcs'!Y87 + '1. Strategy Calcs'!AF87 + '1. Strategy Calcs'!AM87 + '1. Strategy Calcs'!AT87 + '1. Strategy Calcs'!BA87 + '1. Strategy Calcs'!BH87 + '1. Strategy Calcs'!BK87</f>
        <v>95.201495661943866</v>
      </c>
      <c r="L87" s="51">
        <f>K87*'Time Discounting'!C84</f>
        <v>9.2151629613883212</v>
      </c>
      <c r="M87" s="52">
        <f t="shared" si="103"/>
        <v>136616.73055207345</v>
      </c>
      <c r="N87" s="5">
        <f>'1. Strategy Calcs'!Z87 + '1. Strategy Calcs'!AG87 + '1. Strategy Calcs'!AN87 + '1. Strategy Calcs'!AU87 + '1. Strategy Calcs'!BB87 + '1. Strategy Calcs'!BI87</f>
        <v>0.18122052655762433</v>
      </c>
      <c r="O87">
        <f>N87*'Time Discounting'!D84</f>
        <v>1.7541496302821952E-2</v>
      </c>
      <c r="P87" s="6">
        <f t="shared" si="104"/>
        <v>23.775966901399308</v>
      </c>
      <c r="R87" s="14">
        <f t="shared" si="78"/>
        <v>1</v>
      </c>
      <c r="T87" s="5">
        <f t="shared" si="105"/>
        <v>0.15031676059286758</v>
      </c>
      <c r="U87">
        <f t="shared" si="79"/>
        <v>0.14196958068708929</v>
      </c>
      <c r="V87">
        <f t="shared" si="80"/>
        <v>8.3471799057782924E-3</v>
      </c>
      <c r="W87" s="50">
        <f>0</f>
        <v>0</v>
      </c>
      <c r="X87" s="51">
        <f t="shared" si="81"/>
        <v>76.577028455610048</v>
      </c>
      <c r="Y87" s="52">
        <f t="shared" si="82"/>
        <v>76.577028455610048</v>
      </c>
      <c r="Z87" s="14">
        <f t="shared" si="106"/>
        <v>0.15031676059286758</v>
      </c>
      <c r="AA87" s="5">
        <f t="shared" si="107"/>
        <v>1.5977725601479649E-2</v>
      </c>
      <c r="AB87">
        <f t="shared" si="83"/>
        <v>1.5090472912194123E-2</v>
      </c>
      <c r="AC87">
        <f t="shared" si="84"/>
        <v>8.8725268928552573E-4</v>
      </c>
      <c r="AD87" s="50">
        <f>0</f>
        <v>0</v>
      </c>
      <c r="AE87" s="51">
        <f t="shared" si="85"/>
        <v>8.139656171505413</v>
      </c>
      <c r="AF87" s="52">
        <f t="shared" si="86"/>
        <v>8.139656171505413</v>
      </c>
      <c r="AG87" s="14">
        <f t="shared" si="108"/>
        <v>1.5977725601479649E-2</v>
      </c>
      <c r="AH87" s="5">
        <f t="shared" si="109"/>
        <v>3.9944314003699122E-3</v>
      </c>
      <c r="AI87">
        <f t="shared" si="87"/>
        <v>3.7726182280485307E-3</v>
      </c>
      <c r="AJ87">
        <f t="shared" si="88"/>
        <v>2.2181317232138143E-4</v>
      </c>
      <c r="AK87" s="50">
        <f>0</f>
        <v>0</v>
      </c>
      <c r="AL87" s="51">
        <f t="shared" si="89"/>
        <v>2.0349140428763532</v>
      </c>
      <c r="AM87" s="52">
        <f t="shared" si="90"/>
        <v>2.0349140428763532</v>
      </c>
      <c r="AN87" s="14">
        <f t="shared" si="110"/>
        <v>2.7961019802589383E-3</v>
      </c>
      <c r="AO87" s="5">
        <f t="shared" si="111"/>
        <v>2.5227987791809959E-3</v>
      </c>
      <c r="AP87">
        <f t="shared" si="91"/>
        <v>2.3827062492938079E-3</v>
      </c>
      <c r="AQ87">
        <f t="shared" si="92"/>
        <v>1.4009252988718822E-4</v>
      </c>
      <c r="AR87" s="50">
        <f>0</f>
        <v>0</v>
      </c>
      <c r="AS87" s="51">
        <f t="shared" si="93"/>
        <v>1.2852088691850647</v>
      </c>
      <c r="AT87" s="52">
        <f t="shared" si="94"/>
        <v>1.2852088691850647</v>
      </c>
      <c r="AU87" s="14">
        <f t="shared" si="112"/>
        <v>1.5389072553004075E-3</v>
      </c>
      <c r="AV87" s="5">
        <f t="shared" si="113"/>
        <v>1.3454926822298652E-2</v>
      </c>
      <c r="AW87">
        <f t="shared" si="95"/>
        <v>1.2707766662900315E-2</v>
      </c>
      <c r="AX87">
        <f t="shared" si="96"/>
        <v>7.4716015939833749E-4</v>
      </c>
      <c r="AY87" s="50">
        <f>0</f>
        <v>0</v>
      </c>
      <c r="AZ87" s="51">
        <f t="shared" si="97"/>
        <v>6.8544473023203478</v>
      </c>
      <c r="BA87" s="52">
        <f t="shared" si="98"/>
        <v>6.8544473023203478</v>
      </c>
      <c r="BB87" s="14">
        <f t="shared" si="114"/>
        <v>9.6875473120550289E-3</v>
      </c>
      <c r="BC87" s="5">
        <f t="shared" si="115"/>
        <v>1.5058063594379195E-2</v>
      </c>
      <c r="BD87">
        <f t="shared" si="99"/>
        <v>1.5024246195158939E-2</v>
      </c>
      <c r="BE87">
        <f t="shared" si="100"/>
        <v>3.3817399220256799E-5</v>
      </c>
      <c r="BF87" s="50">
        <f>0</f>
        <v>0</v>
      </c>
      <c r="BG87" s="51">
        <f t="shared" si="101"/>
        <v>0.31024082044663587</v>
      </c>
      <c r="BH87" s="52">
        <f t="shared" si="102"/>
        <v>0.31024082044663587</v>
      </c>
      <c r="BI87" s="14">
        <f t="shared" si="116"/>
        <v>9.0348381566275171E-4</v>
      </c>
      <c r="BJ87" s="5">
        <f>0 + '1. Strategy Calcs'!V86 + '1. Strategy Calcs'!AC86 + '1. Strategy Calcs'!AJ86 + '1. Strategy Calcs'!AQ86 + '1. Strategy Calcs'!AX86 + '1. Strategy Calcs'!BE86 + BJ86</f>
        <v>0.79867529320942399</v>
      </c>
      <c r="BK87" s="63">
        <f>0</f>
        <v>0</v>
      </c>
    </row>
    <row r="88" spans="2:63" x14ac:dyDescent="0.35">
      <c r="B88" s="14">
        <v>80</v>
      </c>
      <c r="D88" s="5">
        <f>'1. Strategy Calcs'!T88</f>
        <v>0.14196958068708929</v>
      </c>
      <c r="E88">
        <f>'1. Strategy Calcs'!AA88</f>
        <v>1.5090472912194123E-2</v>
      </c>
      <c r="F88">
        <f>'1. Strategy Calcs'!AH88</f>
        <v>3.7726182280485307E-3</v>
      </c>
      <c r="G88">
        <f>'1. Strategy Calcs'!AO88</f>
        <v>2.3827062492938079E-3</v>
      </c>
      <c r="H88">
        <f>'1. Strategy Calcs'!AV88</f>
        <v>1.2707766662900315E-2</v>
      </c>
      <c r="I88">
        <f>'1. Strategy Calcs'!BC88</f>
        <v>1.5024246195158939E-2</v>
      </c>
      <c r="J88" s="6">
        <f>'1. Strategy Calcs'!BJ88</f>
        <v>0.80905260906531495</v>
      </c>
      <c r="K88" s="50">
        <f>'1. Strategy Calcs'!Y88 + '1. Strategy Calcs'!AF88 + '1. Strategy Calcs'!AM88 + '1. Strategy Calcs'!AT88 + '1. Strategy Calcs'!BA88 + '1. Strategy Calcs'!BH88 + '1. Strategy Calcs'!BK88</f>
        <v>89.931430607008068</v>
      </c>
      <c r="L88" s="51">
        <f>K88*'Time Discounting'!C85</f>
        <v>8.4514947437988095</v>
      </c>
      <c r="M88" s="52">
        <f t="shared" si="103"/>
        <v>136625.18204681724</v>
      </c>
      <c r="N88" s="5">
        <f>'1. Strategy Calcs'!Z88 + '1. Strategy Calcs'!AG88 + '1. Strategy Calcs'!AN88 + '1. Strategy Calcs'!AU88 + '1. Strategy Calcs'!BB88 + '1. Strategy Calcs'!BI88</f>
        <v>0.17120538393998436</v>
      </c>
      <c r="O88">
        <f>N88*'Time Discounting'!D85</f>
        <v>1.6089384909285312E-2</v>
      </c>
      <c r="P88" s="6">
        <f t="shared" si="104"/>
        <v>23.792056286308593</v>
      </c>
      <c r="R88" s="14">
        <f t="shared" si="78"/>
        <v>1</v>
      </c>
      <c r="T88" s="5">
        <f t="shared" si="105"/>
        <v>0.14196958068708929</v>
      </c>
      <c r="U88">
        <f t="shared" si="79"/>
        <v>0.13408592468978681</v>
      </c>
      <c r="V88">
        <f t="shared" si="80"/>
        <v>7.88365599730248E-3</v>
      </c>
      <c r="W88" s="50">
        <f>0</f>
        <v>0</v>
      </c>
      <c r="X88" s="51">
        <f t="shared" si="81"/>
        <v>72.324660119252954</v>
      </c>
      <c r="Y88" s="52">
        <f t="shared" si="82"/>
        <v>72.324660119252954</v>
      </c>
      <c r="Z88" s="14">
        <f t="shared" si="106"/>
        <v>0.14196958068708929</v>
      </c>
      <c r="AA88" s="5">
        <f t="shared" si="107"/>
        <v>1.5090472912194123E-2</v>
      </c>
      <c r="AB88">
        <f t="shared" si="83"/>
        <v>1.4252489897096236E-2</v>
      </c>
      <c r="AC88">
        <f t="shared" si="84"/>
        <v>8.3798301509788696E-4</v>
      </c>
      <c r="AD88" s="50">
        <f>0</f>
        <v>0</v>
      </c>
      <c r="AE88" s="51">
        <f t="shared" si="85"/>
        <v>7.6876561805080152</v>
      </c>
      <c r="AF88" s="52">
        <f t="shared" si="86"/>
        <v>7.6876561805080152</v>
      </c>
      <c r="AG88" s="14">
        <f t="shared" si="108"/>
        <v>1.5090472912194123E-2</v>
      </c>
      <c r="AH88" s="5">
        <f t="shared" si="109"/>
        <v>3.7726182280485307E-3</v>
      </c>
      <c r="AI88">
        <f t="shared" si="87"/>
        <v>3.563122474274059E-3</v>
      </c>
      <c r="AJ88">
        <f t="shared" si="88"/>
        <v>2.0949575377447174E-4</v>
      </c>
      <c r="AK88" s="50">
        <f>0</f>
        <v>0</v>
      </c>
      <c r="AL88" s="51">
        <f t="shared" si="89"/>
        <v>1.9219140451270038</v>
      </c>
      <c r="AM88" s="52">
        <f t="shared" si="90"/>
        <v>1.9219140451270038</v>
      </c>
      <c r="AN88" s="14">
        <f t="shared" si="110"/>
        <v>2.6408327596339713E-3</v>
      </c>
      <c r="AO88" s="5">
        <f t="shared" si="111"/>
        <v>2.3827062492938079E-3</v>
      </c>
      <c r="AP88">
        <f t="shared" si="91"/>
        <v>2.2503931416467731E-3</v>
      </c>
      <c r="AQ88">
        <f t="shared" si="92"/>
        <v>1.3231310764703474E-4</v>
      </c>
      <c r="AR88" s="50">
        <f>0</f>
        <v>0</v>
      </c>
      <c r="AS88" s="51">
        <f t="shared" si="93"/>
        <v>1.2138404495538966</v>
      </c>
      <c r="AT88" s="52">
        <f t="shared" si="94"/>
        <v>1.2138404495538966</v>
      </c>
      <c r="AU88" s="14">
        <f t="shared" si="112"/>
        <v>1.4534508120692229E-3</v>
      </c>
      <c r="AV88" s="5">
        <f t="shared" si="113"/>
        <v>1.2707766662900315E-2</v>
      </c>
      <c r="AW88">
        <f t="shared" si="95"/>
        <v>1.2002096755449464E-2</v>
      </c>
      <c r="AX88">
        <f t="shared" si="96"/>
        <v>7.0566990745085222E-4</v>
      </c>
      <c r="AY88" s="50">
        <f>0</f>
        <v>0</v>
      </c>
      <c r="AZ88" s="51">
        <f t="shared" si="97"/>
        <v>6.4738157309541187</v>
      </c>
      <c r="BA88" s="52">
        <f t="shared" si="98"/>
        <v>6.4738157309541187</v>
      </c>
      <c r="BB88" s="14">
        <f t="shared" si="114"/>
        <v>9.1495919972882263E-3</v>
      </c>
      <c r="BC88" s="5">
        <f t="shared" si="115"/>
        <v>1.5024246195158939E-2</v>
      </c>
      <c r="BD88">
        <f t="shared" si="99"/>
        <v>1.4990504743053851E-2</v>
      </c>
      <c r="BE88">
        <f t="shared" si="100"/>
        <v>3.3741452105087946E-5</v>
      </c>
      <c r="BF88" s="50">
        <f>0</f>
        <v>0</v>
      </c>
      <c r="BG88" s="51">
        <f t="shared" si="101"/>
        <v>0.3095440816120768</v>
      </c>
      <c r="BH88" s="52">
        <f t="shared" si="102"/>
        <v>0.3095440816120768</v>
      </c>
      <c r="BI88" s="14">
        <f t="shared" si="116"/>
        <v>9.0145477170953633E-4</v>
      </c>
      <c r="BJ88" s="5">
        <f>0 + '1. Strategy Calcs'!V87 + '1. Strategy Calcs'!AC87 + '1. Strategy Calcs'!AJ87 + '1. Strategy Calcs'!AQ87 + '1. Strategy Calcs'!AX87 + '1. Strategy Calcs'!BE87 + BJ87</f>
        <v>0.80905260906531495</v>
      </c>
      <c r="BK88" s="63">
        <f>0</f>
        <v>0</v>
      </c>
    </row>
    <row r="89" spans="2:63" x14ac:dyDescent="0.35">
      <c r="B89" s="14">
        <v>81</v>
      </c>
      <c r="D89" s="5">
        <f>'1. Strategy Calcs'!T89</f>
        <v>0.13408592468978681</v>
      </c>
      <c r="E89">
        <f>'1. Strategy Calcs'!AA89</f>
        <v>1.4252489897096236E-2</v>
      </c>
      <c r="F89">
        <f>'1. Strategy Calcs'!AH89</f>
        <v>3.563122474274059E-3</v>
      </c>
      <c r="G89">
        <f>'1. Strategy Calcs'!AO89</f>
        <v>2.2503931416467731E-3</v>
      </c>
      <c r="H89">
        <f>'1. Strategy Calcs'!AV89</f>
        <v>1.2002096755449464E-2</v>
      </c>
      <c r="I89">
        <f>'1. Strategy Calcs'!BC89</f>
        <v>1.4990504743053851E-2</v>
      </c>
      <c r="J89" s="6">
        <f>'1. Strategy Calcs'!BJ89</f>
        <v>0.81885546829869282</v>
      </c>
      <c r="K89" s="50">
        <f>'1. Strategy Calcs'!Y89 + '1. Strategy Calcs'!AF89 + '1. Strategy Calcs'!AM89 + '1. Strategy Calcs'!AT89 + '1. Strategy Calcs'!BA89 + '1. Strategy Calcs'!BH89 + '1. Strategy Calcs'!BK89</f>
        <v>84.953978301022431</v>
      </c>
      <c r="L89" s="51">
        <f>K89*'Time Discounting'!C86</f>
        <v>7.7511924538755217</v>
      </c>
      <c r="M89" s="52">
        <f t="shared" si="103"/>
        <v>136632.93323927111</v>
      </c>
      <c r="N89" s="5">
        <f>'1. Strategy Calcs'!Z89 + '1. Strategy Calcs'!AG89 + '1. Strategy Calcs'!AN89 + '1. Strategy Calcs'!AU89 + '1. Strategy Calcs'!BB89 + '1. Strategy Calcs'!BI89</f>
        <v>0.16174628008378625</v>
      </c>
      <c r="O89">
        <f>N89*'Time Discounting'!D86</f>
        <v>1.4757714361362544E-2</v>
      </c>
      <c r="P89" s="6">
        <f t="shared" si="104"/>
        <v>23.806814000669956</v>
      </c>
      <c r="R89" s="14">
        <f t="shared" si="78"/>
        <v>1</v>
      </c>
      <c r="T89" s="5">
        <f t="shared" si="105"/>
        <v>0.13408592468978681</v>
      </c>
      <c r="U89">
        <f t="shared" si="79"/>
        <v>0.12664005284020813</v>
      </c>
      <c r="V89">
        <f t="shared" si="80"/>
        <v>7.4458718495786754E-3</v>
      </c>
      <c r="W89" s="50">
        <f>0</f>
        <v>0</v>
      </c>
      <c r="X89" s="51">
        <f t="shared" si="81"/>
        <v>68.308428348034766</v>
      </c>
      <c r="Y89" s="52">
        <f t="shared" si="82"/>
        <v>68.308428348034766</v>
      </c>
      <c r="Z89" s="14">
        <f t="shared" si="106"/>
        <v>0.13408592468978681</v>
      </c>
      <c r="AA89" s="5">
        <f t="shared" si="107"/>
        <v>1.4252489897096236E-2</v>
      </c>
      <c r="AB89">
        <f t="shared" si="83"/>
        <v>1.3461040581616544E-2</v>
      </c>
      <c r="AC89">
        <f t="shared" si="84"/>
        <v>7.9144931547969223E-4</v>
      </c>
      <c r="AD89" s="50">
        <f>0</f>
        <v>0</v>
      </c>
      <c r="AE89" s="51">
        <f t="shared" si="85"/>
        <v>7.2607560202106969</v>
      </c>
      <c r="AF89" s="52">
        <f t="shared" si="86"/>
        <v>7.2607560202106969</v>
      </c>
      <c r="AG89" s="14">
        <f t="shared" si="108"/>
        <v>1.4252489897096236E-2</v>
      </c>
      <c r="AH89" s="5">
        <f t="shared" si="109"/>
        <v>3.563122474274059E-3</v>
      </c>
      <c r="AI89">
        <f t="shared" si="87"/>
        <v>3.3652601454041359E-3</v>
      </c>
      <c r="AJ89">
        <f t="shared" si="88"/>
        <v>1.9786232886992306E-4</v>
      </c>
      <c r="AK89" s="50">
        <f>0</f>
        <v>0</v>
      </c>
      <c r="AL89" s="51">
        <f t="shared" si="89"/>
        <v>1.8151890050526742</v>
      </c>
      <c r="AM89" s="52">
        <f t="shared" si="90"/>
        <v>1.8151890050526742</v>
      </c>
      <c r="AN89" s="14">
        <f t="shared" si="110"/>
        <v>2.4941857319918412E-3</v>
      </c>
      <c r="AO89" s="5">
        <f t="shared" si="111"/>
        <v>2.2503931416467731E-3</v>
      </c>
      <c r="AP89">
        <f t="shared" si="91"/>
        <v>2.1254274602552428E-3</v>
      </c>
      <c r="AQ89">
        <f t="shared" si="92"/>
        <v>1.249656813915303E-4</v>
      </c>
      <c r="AR89" s="50">
        <f>0</f>
        <v>0</v>
      </c>
      <c r="AS89" s="51">
        <f t="shared" si="93"/>
        <v>1.1464351610858989</v>
      </c>
      <c r="AT89" s="52">
        <f t="shared" si="94"/>
        <v>1.1464351610858989</v>
      </c>
      <c r="AU89" s="14">
        <f t="shared" si="112"/>
        <v>1.3727398164045316E-3</v>
      </c>
      <c r="AV89" s="5">
        <f t="shared" si="113"/>
        <v>1.2002096755449464E-2</v>
      </c>
      <c r="AW89">
        <f t="shared" si="95"/>
        <v>1.1335613121361303E-2</v>
      </c>
      <c r="AX89">
        <f t="shared" si="96"/>
        <v>6.6648363408816202E-4</v>
      </c>
      <c r="AY89" s="50">
        <f>0</f>
        <v>0</v>
      </c>
      <c r="AZ89" s="51">
        <f t="shared" si="97"/>
        <v>6.1143208591247982</v>
      </c>
      <c r="BA89" s="52">
        <f t="shared" si="98"/>
        <v>6.1143208591247982</v>
      </c>
      <c r="BB89" s="14">
        <f t="shared" si="114"/>
        <v>8.6415096639236143E-3</v>
      </c>
      <c r="BC89" s="5">
        <f t="shared" si="115"/>
        <v>1.4990504743053851E-2</v>
      </c>
      <c r="BD89">
        <f t="shared" si="99"/>
        <v>1.4956839067501901E-2</v>
      </c>
      <c r="BE89">
        <f t="shared" si="100"/>
        <v>3.3665675551950341E-5</v>
      </c>
      <c r="BF89" s="50">
        <f>0</f>
        <v>0</v>
      </c>
      <c r="BG89" s="51">
        <f t="shared" si="101"/>
        <v>0.30884890751359245</v>
      </c>
      <c r="BH89" s="52">
        <f t="shared" si="102"/>
        <v>0.30884890751359245</v>
      </c>
      <c r="BI89" s="14">
        <f t="shared" si="116"/>
        <v>8.99430284583231E-4</v>
      </c>
      <c r="BJ89" s="5">
        <f>0 + '1. Strategy Calcs'!V88 + '1. Strategy Calcs'!AC88 + '1. Strategy Calcs'!AJ88 + '1. Strategy Calcs'!AQ88 + '1. Strategy Calcs'!AX88 + '1. Strategy Calcs'!BE88 + BJ88</f>
        <v>0.81885546829869282</v>
      </c>
      <c r="BK89" s="63">
        <f>0</f>
        <v>0</v>
      </c>
    </row>
    <row r="90" spans="2:63" x14ac:dyDescent="0.35">
      <c r="B90" s="16">
        <v>82</v>
      </c>
      <c r="D90" s="8">
        <f>'1. Strategy Calcs'!T90</f>
        <v>0.12664005284020813</v>
      </c>
      <c r="E90" s="7">
        <f>'1. Strategy Calcs'!AA90</f>
        <v>1.3461040581616544E-2</v>
      </c>
      <c r="F90" s="7">
        <f>'1. Strategy Calcs'!AH90</f>
        <v>3.3652601454041359E-3</v>
      </c>
      <c r="G90" s="7">
        <f>'1. Strategy Calcs'!AO90</f>
        <v>2.1254274602552428E-3</v>
      </c>
      <c r="H90" s="7">
        <f>'1. Strategy Calcs'!AV90</f>
        <v>1.1335613121361303E-2</v>
      </c>
      <c r="I90" s="7">
        <f>'1. Strategy Calcs'!BC90</f>
        <v>1.4956839067501901E-2</v>
      </c>
      <c r="J90" s="9">
        <f>'1. Strategy Calcs'!BJ90</f>
        <v>0.82811576678365273</v>
      </c>
      <c r="K90" s="53">
        <f>'1. Strategy Calcs'!Y90 + '1. Strategy Calcs'!AF90 + '1. Strategy Calcs'!AM90 + '1. Strategy Calcs'!AT90 + '1. Strategy Calcs'!BA90 + '1. Strategy Calcs'!BH90 + '1. Strategy Calcs'!BK90</f>
        <v>0</v>
      </c>
      <c r="L90" s="54">
        <f>K90*'Time Discounting'!C87</f>
        <v>0</v>
      </c>
      <c r="M90" s="55">
        <f t="shared" si="103"/>
        <v>136632.93323927111</v>
      </c>
      <c r="N90" s="8">
        <f>'1. Strategy Calcs'!Z90 + '1. Strategy Calcs'!AG90 + '1. Strategy Calcs'!AN90 + '1. Strategy Calcs'!AU90 + '1. Strategy Calcs'!BB90 + '1. Strategy Calcs'!BI90</f>
        <v>7.6406169032896751E-2</v>
      </c>
      <c r="O90" s="7">
        <f>N90*'Time Discounting'!D87</f>
        <v>6.7682438778086653E-3</v>
      </c>
      <c r="P90" s="9">
        <f t="shared" si="104"/>
        <v>23.813582244547764</v>
      </c>
      <c r="R90" s="16">
        <f t="shared" si="78"/>
        <v>1</v>
      </c>
      <c r="T90" s="8">
        <f t="shared" si="105"/>
        <v>0.12664005284020813</v>
      </c>
      <c r="U90" s="7"/>
      <c r="V90" s="7"/>
      <c r="W90" s="53">
        <f>0</f>
        <v>0</v>
      </c>
      <c r="X90" s="54"/>
      <c r="Y90" s="55">
        <f t="shared" si="82"/>
        <v>0</v>
      </c>
      <c r="Z90" s="16">
        <f>T90*(0.5*uAlive)</f>
        <v>6.3320026420104064E-2</v>
      </c>
      <c r="AA90" s="8">
        <f t="shared" si="107"/>
        <v>1.3461040581616544E-2</v>
      </c>
      <c r="AB90" s="7"/>
      <c r="AC90" s="7"/>
      <c r="AD90" s="53">
        <f>0</f>
        <v>0</v>
      </c>
      <c r="AE90" s="54"/>
      <c r="AF90" s="55">
        <f t="shared" si="86"/>
        <v>0</v>
      </c>
      <c r="AG90" s="16">
        <f>AA90*(0.5*uSkinScarring_Node4)</f>
        <v>6.7305202908082718E-3</v>
      </c>
      <c r="AH90" s="8">
        <f t="shared" si="109"/>
        <v>3.3652601454041359E-3</v>
      </c>
      <c r="AI90" s="7"/>
      <c r="AJ90" s="7"/>
      <c r="AK90" s="53">
        <f>0</f>
        <v>0</v>
      </c>
      <c r="AL90" s="54"/>
      <c r="AM90" s="55">
        <f t="shared" si="90"/>
        <v>0</v>
      </c>
      <c r="AN90" s="16">
        <f>AH90*(0.5*uSingleAmp_Node6)</f>
        <v>1.1778410508914475E-3</v>
      </c>
      <c r="AO90" s="8">
        <f t="shared" si="111"/>
        <v>2.1254274602552428E-3</v>
      </c>
      <c r="AP90" s="7"/>
      <c r="AQ90" s="7"/>
      <c r="AR90" s="53">
        <f>0</f>
        <v>0</v>
      </c>
      <c r="AS90" s="54"/>
      <c r="AT90" s="55">
        <f t="shared" si="94"/>
        <v>0</v>
      </c>
      <c r="AU90" s="16">
        <f>AO90*(0.5*uMultipleAmp_Node7)</f>
        <v>6.4825537537784906E-4</v>
      </c>
      <c r="AV90" s="8">
        <f t="shared" si="113"/>
        <v>1.1335613121361303E-2</v>
      </c>
      <c r="AW90" s="7"/>
      <c r="AX90" s="7"/>
      <c r="AY90" s="53">
        <f>0</f>
        <v>0</v>
      </c>
      <c r="AZ90" s="54"/>
      <c r="BA90" s="55">
        <f t="shared" si="98"/>
        <v>0</v>
      </c>
      <c r="BB90" s="16">
        <f>AV90*(0.5*uHearingLoss_Node10)</f>
        <v>4.0808207236900686E-3</v>
      </c>
      <c r="BC90" s="8">
        <f t="shared" si="115"/>
        <v>1.4956839067501901E-2</v>
      </c>
      <c r="BD90" s="7"/>
      <c r="BE90" s="7"/>
      <c r="BF90" s="53">
        <f>0</f>
        <v>0</v>
      </c>
      <c r="BG90" s="54"/>
      <c r="BH90" s="55">
        <f t="shared" si="102"/>
        <v>0</v>
      </c>
      <c r="BI90" s="16">
        <f>BC90*(0.5*uNeuroDis_Node11)</f>
        <v>4.4870517202505699E-4</v>
      </c>
      <c r="BJ90" s="8">
        <f>0 + '1. Strategy Calcs'!V89 + '1. Strategy Calcs'!AC89 + '1. Strategy Calcs'!AJ89 + '1. Strategy Calcs'!AQ89 + '1. Strategy Calcs'!AX89 + '1. Strategy Calcs'!BE89 + BJ89</f>
        <v>0.82811576678365273</v>
      </c>
      <c r="BK90" s="64">
        <f>0</f>
        <v>0</v>
      </c>
    </row>
    <row r="92" spans="2:63" x14ac:dyDescent="0.35">
      <c r="B92" s="2" t="s">
        <v>67</v>
      </c>
      <c r="K92" s="73">
        <f>SUM(K8:K90)</f>
        <v>141986.82204447326</v>
      </c>
      <c r="L92" s="74">
        <f>SUM(L8:L90)</f>
        <v>136632.93323927111</v>
      </c>
      <c r="M92" s="75">
        <f>M90</f>
        <v>136632.93323927111</v>
      </c>
      <c r="N92" s="72">
        <f>SUM(N8:N90)</f>
        <v>53.673392783804296</v>
      </c>
      <c r="O92" s="45">
        <f>SUM(O8:O90)</f>
        <v>23.813582244547764</v>
      </c>
      <c r="P92" s="46">
        <f>P90</f>
        <v>23.813582244547764</v>
      </c>
    </row>
  </sheetData>
  <mergeCells count="32">
    <mergeCell ref="D1:G1"/>
    <mergeCell ref="D4:F4"/>
    <mergeCell ref="B5:B6"/>
    <mergeCell ref="D5:D6"/>
    <mergeCell ref="E5:E6"/>
    <mergeCell ref="F5:F6"/>
    <mergeCell ref="G5:G6"/>
    <mergeCell ref="T3:Z3"/>
    <mergeCell ref="AA4:AC4"/>
    <mergeCell ref="AD4:AF4"/>
    <mergeCell ref="AA3:AG3"/>
    <mergeCell ref="H5:H6"/>
    <mergeCell ref="I5:I6"/>
    <mergeCell ref="J5:J6"/>
    <mergeCell ref="K5:M5"/>
    <mergeCell ref="N5:P5"/>
    <mergeCell ref="BJ3:BK3"/>
    <mergeCell ref="R5:R6"/>
    <mergeCell ref="AV4:AX4"/>
    <mergeCell ref="AY4:BA4"/>
    <mergeCell ref="AV3:BB3"/>
    <mergeCell ref="BC4:BE4"/>
    <mergeCell ref="BF4:BH4"/>
    <mergeCell ref="BC3:BI3"/>
    <mergeCell ref="AH4:AJ4"/>
    <mergeCell ref="AK4:AM4"/>
    <mergeCell ref="AH3:AN3"/>
    <mergeCell ref="AO4:AQ4"/>
    <mergeCell ref="AR4:AT4"/>
    <mergeCell ref="AO3:AU3"/>
    <mergeCell ref="T4:V4"/>
    <mergeCell ref="W4:Y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T92"/>
  <sheetViews>
    <sheetView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4.5" x14ac:dyDescent="0.35"/>
  <cols>
    <col min="1" max="1" width="100.6328125" customWidth="1"/>
    <col min="2" max="5" width="10" bestFit="1" customWidth="1"/>
    <col min="6" max="6" width="12.1796875" bestFit="1" customWidth="1"/>
    <col min="7" max="7" width="11.36328125" bestFit="1" customWidth="1"/>
    <col min="8" max="8" width="10" bestFit="1" customWidth="1"/>
    <col min="9" max="9" width="12.1796875" bestFit="1" customWidth="1"/>
    <col min="10" max="10" width="11.36328125" bestFit="1" customWidth="1"/>
    <col min="11" max="11" width="10" bestFit="1" customWidth="1"/>
    <col min="12" max="12" width="10" customWidth="1"/>
    <col min="13" max="13" width="10" bestFit="1" customWidth="1"/>
    <col min="14" max="14" width="10" customWidth="1"/>
    <col min="15" max="15" width="17.1796875" bestFit="1" customWidth="1"/>
    <col min="16" max="16" width="31" bestFit="1" customWidth="1"/>
    <col min="17" max="17" width="10.7265625" bestFit="1" customWidth="1"/>
    <col min="18" max="18" width="14.1796875" bestFit="1" customWidth="1"/>
    <col min="19" max="19" width="22.1796875" bestFit="1" customWidth="1"/>
    <col min="20" max="20" width="15.54296875" bestFit="1" customWidth="1"/>
    <col min="21" max="21" width="10" customWidth="1"/>
  </cols>
  <sheetData>
    <row r="1" spans="2:20" x14ac:dyDescent="0.35">
      <c r="B1" s="10" t="s">
        <v>48</v>
      </c>
      <c r="C1" s="10">
        <v>2</v>
      </c>
      <c r="D1" s="206" t="s">
        <v>68</v>
      </c>
      <c r="E1" s="206"/>
      <c r="F1" s="181"/>
      <c r="G1" s="181"/>
    </row>
    <row r="2" spans="2:20" x14ac:dyDescent="0.35">
      <c r="B2" s="10" t="s">
        <v>50</v>
      </c>
      <c r="C2" s="11" t="s">
        <v>51</v>
      </c>
    </row>
    <row r="3" spans="2:20" x14ac:dyDescent="0.35">
      <c r="O3" s="194" t="s">
        <v>140</v>
      </c>
      <c r="P3" s="184"/>
      <c r="Q3" s="184"/>
      <c r="R3" s="184"/>
      <c r="S3" s="185"/>
      <c r="T3" s="27" t="s">
        <v>142</v>
      </c>
    </row>
    <row r="4" spans="2:20" x14ac:dyDescent="0.35">
      <c r="B4" s="10"/>
      <c r="C4" s="10"/>
      <c r="D4" s="206" t="s">
        <v>52</v>
      </c>
      <c r="E4" s="206"/>
      <c r="F4" s="206"/>
      <c r="G4" s="10"/>
      <c r="H4" s="10"/>
      <c r="O4" s="197" t="s">
        <v>87</v>
      </c>
      <c r="P4" s="187"/>
      <c r="Q4" s="187"/>
      <c r="R4" s="65" t="s">
        <v>61</v>
      </c>
      <c r="S4" s="22" t="s">
        <v>65</v>
      </c>
      <c r="T4" s="71" t="s">
        <v>87</v>
      </c>
    </row>
    <row r="5" spans="2:20" ht="29" x14ac:dyDescent="0.35">
      <c r="B5" s="195" t="s">
        <v>53</v>
      </c>
      <c r="D5" s="205" t="s">
        <v>69</v>
      </c>
      <c r="E5" s="203" t="s">
        <v>60</v>
      </c>
      <c r="F5" s="205" t="s">
        <v>61</v>
      </c>
      <c r="G5" s="201"/>
      <c r="H5" s="203"/>
      <c r="I5" s="205" t="s">
        <v>65</v>
      </c>
      <c r="J5" s="201"/>
      <c r="K5" s="203"/>
      <c r="M5" s="195" t="s">
        <v>66</v>
      </c>
      <c r="O5" s="35" t="s">
        <v>135</v>
      </c>
      <c r="P5" s="1" t="s">
        <v>136</v>
      </c>
      <c r="Q5" s="1" t="s">
        <v>137</v>
      </c>
      <c r="R5" s="66" t="s">
        <v>138</v>
      </c>
      <c r="S5" s="41" t="s">
        <v>139</v>
      </c>
      <c r="T5" s="41" t="s">
        <v>141</v>
      </c>
    </row>
    <row r="6" spans="2:20" x14ac:dyDescent="0.35">
      <c r="B6" s="207"/>
      <c r="D6" s="208"/>
      <c r="E6" s="204"/>
      <c r="F6" s="68" t="s">
        <v>62</v>
      </c>
      <c r="G6" s="69" t="s">
        <v>63</v>
      </c>
      <c r="H6" s="70" t="s">
        <v>64</v>
      </c>
      <c r="I6" s="68" t="s">
        <v>62</v>
      </c>
      <c r="J6" s="69" t="s">
        <v>63</v>
      </c>
      <c r="K6" s="70" t="s">
        <v>64</v>
      </c>
      <c r="M6" s="196"/>
      <c r="O6" s="36" t="s">
        <v>69</v>
      </c>
      <c r="P6" s="37" t="s">
        <v>91</v>
      </c>
      <c r="Q6" s="37" t="s">
        <v>60</v>
      </c>
      <c r="R6" s="67" t="s">
        <v>60</v>
      </c>
      <c r="S6" s="42" t="s">
        <v>69</v>
      </c>
      <c r="T6" s="42" t="s">
        <v>60</v>
      </c>
    </row>
    <row r="7" spans="2:20" x14ac:dyDescent="0.35">
      <c r="B7" s="43"/>
      <c r="D7" s="38"/>
      <c r="E7" s="40"/>
      <c r="F7" s="47"/>
      <c r="G7" s="48"/>
      <c r="H7" s="49"/>
      <c r="I7" s="38"/>
      <c r="J7" s="39"/>
      <c r="K7" s="40"/>
      <c r="M7" s="43"/>
      <c r="O7" s="38"/>
      <c r="P7" s="39"/>
      <c r="Q7" s="39"/>
      <c r="R7" s="62"/>
      <c r="S7" s="43"/>
      <c r="T7" s="43"/>
    </row>
    <row r="8" spans="2:20" x14ac:dyDescent="0.35">
      <c r="B8" s="14">
        <v>0</v>
      </c>
      <c r="D8" s="5">
        <f>1-(0)</f>
        <v>1</v>
      </c>
      <c r="E8" s="6">
        <f>0</f>
        <v>0</v>
      </c>
      <c r="F8" s="50">
        <f>'2. Strategy Calcs'!R8</f>
        <v>6.5603274000000003</v>
      </c>
      <c r="G8" s="51">
        <f>F8*'Time Discounting'!C5</f>
        <v>6.5603274000000003</v>
      </c>
      <c r="H8" s="52">
        <f>G8</f>
        <v>6.5603274000000003</v>
      </c>
      <c r="I8" s="5">
        <f>'2. Strategy Calcs'!S8</f>
        <v>0.5</v>
      </c>
      <c r="J8">
        <f>I8*'Time Discounting'!D5</f>
        <v>0.5</v>
      </c>
      <c r="K8" s="6">
        <f>J8</f>
        <v>0.5</v>
      </c>
      <c r="M8" s="14">
        <f t="shared" ref="M8:M39" si="0">SUM(D8:E8)</f>
        <v>1</v>
      </c>
      <c r="O8" s="5">
        <f>'2. Strategy Calcs'!D8</f>
        <v>1</v>
      </c>
      <c r="P8">
        <f t="shared" ref="P8:P39" si="1">O8*(1-(InterpolateTable(tdead,cycle+18,1)))</f>
        <v>0.99928490000000003</v>
      </c>
      <c r="Q8">
        <f t="shared" ref="Q8:Q39" si="2">O8*(InterpolateTable(tdead,cycle+18,1))</f>
        <v>7.1509999999999998E-4</v>
      </c>
      <c r="R8" s="63">
        <f t="shared" ref="R8:R39" si="3">Q8*(cDead)</f>
        <v>6.5603274000000003</v>
      </c>
      <c r="S8" s="14">
        <f>O8*(0.5)</f>
        <v>0.5</v>
      </c>
      <c r="T8" s="14">
        <f>'2. Strategy Calcs'!E8</f>
        <v>0</v>
      </c>
    </row>
    <row r="9" spans="2:20" x14ac:dyDescent="0.35">
      <c r="B9" s="14">
        <v>1</v>
      </c>
      <c r="D9" s="5">
        <f>'2. Strategy Calcs'!O9</f>
        <v>0.99928490000000003</v>
      </c>
      <c r="E9" s="6">
        <f>'2. Strategy Calcs'!T9</f>
        <v>7.1509999999999998E-4</v>
      </c>
      <c r="F9" s="50">
        <f>'2. Strategy Calcs'!R9</f>
        <v>7.2926982595532994</v>
      </c>
      <c r="G9" s="51">
        <f>F9*'Time Discounting'!C6</f>
        <v>7.0802895723818438</v>
      </c>
      <c r="H9" s="52">
        <f t="shared" ref="H9:H40" si="4">H8 + G9</f>
        <v>13.640616972381844</v>
      </c>
      <c r="I9" s="5">
        <f>'2. Strategy Calcs'!S9</f>
        <v>0.99928490000000003</v>
      </c>
      <c r="J9">
        <f>I9*'Time Discounting'!D6</f>
        <v>0.9701795145631068</v>
      </c>
      <c r="K9" s="6">
        <f t="shared" ref="K9:K40" si="5">K8 + J9</f>
        <v>1.4701795145631067</v>
      </c>
      <c r="M9" s="14">
        <f t="shared" si="0"/>
        <v>1</v>
      </c>
      <c r="O9" s="5">
        <f t="shared" ref="O9:O40" si="6">0 + P8</f>
        <v>0.99928490000000003</v>
      </c>
      <c r="P9">
        <f t="shared" si="1"/>
        <v>0.9984899688620501</v>
      </c>
      <c r="Q9">
        <f t="shared" si="2"/>
        <v>7.9493113794999997E-4</v>
      </c>
      <c r="R9" s="63">
        <f t="shared" si="3"/>
        <v>7.2926982595532994</v>
      </c>
      <c r="S9" s="14">
        <f t="shared" ref="S9:S40" si="7">O9*(1)</f>
        <v>0.99928490000000003</v>
      </c>
      <c r="T9" s="14">
        <f>0 + '2. Strategy Calcs'!Q8 + T8</f>
        <v>7.1509999999999998E-4</v>
      </c>
    </row>
    <row r="10" spans="2:20" x14ac:dyDescent="0.35">
      <c r="B10" s="14">
        <v>2</v>
      </c>
      <c r="D10" s="5">
        <f>'2. Strategy Calcs'!O10</f>
        <v>0.9984899688620501</v>
      </c>
      <c r="E10" s="6">
        <f>'2. Strategy Calcs'!T10</f>
        <v>1.51003113795E-3</v>
      </c>
      <c r="F10" s="50">
        <f>'2. Strategy Calcs'!R10</f>
        <v>8.0673414403016341</v>
      </c>
      <c r="G10" s="51">
        <f>F10*'Time Discounting'!C7</f>
        <v>7.6042430392135305</v>
      </c>
      <c r="H10" s="52">
        <f t="shared" si="4"/>
        <v>21.244860011595375</v>
      </c>
      <c r="I10" s="5">
        <f>'2. Strategy Calcs'!S10</f>
        <v>0.9984899688620501</v>
      </c>
      <c r="J10">
        <f>I10*'Time Discounting'!D7</f>
        <v>0.94117255996045823</v>
      </c>
      <c r="K10" s="6">
        <f t="shared" si="5"/>
        <v>2.411352074523565</v>
      </c>
      <c r="M10" s="14">
        <f t="shared" si="0"/>
        <v>1</v>
      </c>
      <c r="O10" s="5">
        <f t="shared" si="6"/>
        <v>0.9984899688620501</v>
      </c>
      <c r="P10">
        <f t="shared" si="1"/>
        <v>0.99761059874647329</v>
      </c>
      <c r="Q10">
        <f t="shared" si="2"/>
        <v>8.7937011557680765E-4</v>
      </c>
      <c r="R10" s="63">
        <f t="shared" si="3"/>
        <v>8.0673414403016341</v>
      </c>
      <c r="S10" s="14">
        <f t="shared" si="7"/>
        <v>0.9984899688620501</v>
      </c>
      <c r="T10" s="14">
        <f>0 + '2. Strategy Calcs'!Q9 + T9</f>
        <v>1.51003113795E-3</v>
      </c>
    </row>
    <row r="11" spans="2:20" x14ac:dyDescent="0.35">
      <c r="B11" s="14">
        <v>3</v>
      </c>
      <c r="D11" s="5">
        <f>'2. Strategy Calcs'!O11</f>
        <v>0.99761059874647329</v>
      </c>
      <c r="E11" s="6">
        <f>'2. Strategy Calcs'!T11</f>
        <v>2.3894012535268074E-3</v>
      </c>
      <c r="F11" s="50">
        <f>'2. Strategy Calcs'!R11</f>
        <v>8.8088766466663913</v>
      </c>
      <c r="G11" s="51">
        <f>F11*'Time Discounting'!C8</f>
        <v>8.0613699914675774</v>
      </c>
      <c r="H11" s="52">
        <f t="shared" si="4"/>
        <v>29.30623000306295</v>
      </c>
      <c r="I11" s="5">
        <f>'2. Strategy Calcs'!S11</f>
        <v>0.99761059874647329</v>
      </c>
      <c r="J11">
        <f>I11*'Time Discounting'!D8</f>
        <v>0.91295501872514662</v>
      </c>
      <c r="K11" s="6">
        <f t="shared" si="5"/>
        <v>3.3243070932487115</v>
      </c>
      <c r="M11" s="14">
        <f t="shared" si="0"/>
        <v>1</v>
      </c>
      <c r="O11" s="5">
        <f t="shared" si="6"/>
        <v>0.99761059874647329</v>
      </c>
      <c r="P11">
        <f t="shared" si="1"/>
        <v>0.99665039854517978</v>
      </c>
      <c r="Q11">
        <f t="shared" si="2"/>
        <v>9.6020020129348061E-4</v>
      </c>
      <c r="R11" s="63">
        <f t="shared" si="3"/>
        <v>8.8088766466663913</v>
      </c>
      <c r="S11" s="14">
        <f t="shared" si="7"/>
        <v>0.99761059874647329</v>
      </c>
      <c r="T11" s="14">
        <f>0 + '2. Strategy Calcs'!Q10 + T10</f>
        <v>2.3894012535268074E-3</v>
      </c>
    </row>
    <row r="12" spans="2:20" x14ac:dyDescent="0.35">
      <c r="B12" s="14">
        <v>4</v>
      </c>
      <c r="D12" s="5">
        <f>'2. Strategy Calcs'!O12</f>
        <v>0.99665039854517978</v>
      </c>
      <c r="E12" s="6">
        <f>'2. Strategy Calcs'!T12</f>
        <v>3.349601454820288E-3</v>
      </c>
      <c r="F12" s="50">
        <f>'2. Strategy Calcs'!R12</f>
        <v>9.2977920320341667</v>
      </c>
      <c r="G12" s="51">
        <f>F12*'Time Discounting'!C9</f>
        <v>8.260967794676052</v>
      </c>
      <c r="H12" s="52">
        <f t="shared" si="4"/>
        <v>37.567197797738999</v>
      </c>
      <c r="I12" s="5">
        <f>'2. Strategy Calcs'!S12</f>
        <v>0.99665039854517978</v>
      </c>
      <c r="J12">
        <f>I12*'Time Discounting'!D9</f>
        <v>0.88551097040740168</v>
      </c>
      <c r="K12" s="6">
        <f t="shared" si="5"/>
        <v>4.2098180636561136</v>
      </c>
      <c r="M12" s="14">
        <f t="shared" si="0"/>
        <v>1</v>
      </c>
      <c r="O12" s="5">
        <f t="shared" si="6"/>
        <v>0.99665039854517978</v>
      </c>
      <c r="P12">
        <f t="shared" si="1"/>
        <v>0.99563690475489919</v>
      </c>
      <c r="Q12">
        <f t="shared" si="2"/>
        <v>1.0134937902805936E-3</v>
      </c>
      <c r="R12" s="63">
        <f t="shared" si="3"/>
        <v>9.2977920320341667</v>
      </c>
      <c r="S12" s="14">
        <f t="shared" si="7"/>
        <v>0.99665039854517978</v>
      </c>
      <c r="T12" s="14">
        <f>0 + '2. Strategy Calcs'!Q11 + T11</f>
        <v>3.349601454820288E-3</v>
      </c>
    </row>
    <row r="13" spans="2:20" x14ac:dyDescent="0.35">
      <c r="B13" s="14">
        <v>5</v>
      </c>
      <c r="D13" s="5">
        <f>'2. Strategy Calcs'!O13</f>
        <v>0.99563690475489919</v>
      </c>
      <c r="E13" s="6">
        <f>'2. Strategy Calcs'!T13</f>
        <v>4.3630952451008814E-3</v>
      </c>
      <c r="F13" s="50">
        <f>'2. Strategy Calcs'!R13</f>
        <v>9.440874455819289</v>
      </c>
      <c r="G13" s="51">
        <f>F13*'Time Discounting'!C10</f>
        <v>8.1437812378577839</v>
      </c>
      <c r="H13" s="52">
        <f t="shared" si="4"/>
        <v>45.710979035596779</v>
      </c>
      <c r="I13" s="5">
        <f>'2. Strategy Calcs'!S13</f>
        <v>0.99563690475489919</v>
      </c>
      <c r="J13">
        <f>I13*'Time Discounting'!D10</f>
        <v>0.85884514009863533</v>
      </c>
      <c r="K13" s="6">
        <f t="shared" si="5"/>
        <v>5.068663203754749</v>
      </c>
      <c r="M13" s="14">
        <f t="shared" si="0"/>
        <v>1</v>
      </c>
      <c r="O13" s="5">
        <f t="shared" si="6"/>
        <v>0.99563690475489919</v>
      </c>
      <c r="P13">
        <f t="shared" si="1"/>
        <v>0.99460781445014457</v>
      </c>
      <c r="Q13">
        <f t="shared" si="2"/>
        <v>1.0290903047546641E-3</v>
      </c>
      <c r="R13" s="63">
        <f t="shared" si="3"/>
        <v>9.440874455819289</v>
      </c>
      <c r="S13" s="14">
        <f t="shared" si="7"/>
        <v>0.99563690475489919</v>
      </c>
      <c r="T13" s="14">
        <f>0 + '2. Strategy Calcs'!Q12 + T12</f>
        <v>4.3630952451008814E-3</v>
      </c>
    </row>
    <row r="14" spans="2:20" x14ac:dyDescent="0.35">
      <c r="B14" s="14">
        <v>6</v>
      </c>
      <c r="D14" s="5">
        <f>'2. Strategy Calcs'!O14</f>
        <v>0.99460781445014457</v>
      </c>
      <c r="E14" s="6">
        <f>'2. Strategy Calcs'!T14</f>
        <v>5.3921855498555455E-3</v>
      </c>
      <c r="F14" s="50">
        <f>'2. Strategy Calcs'!R14</f>
        <v>9.3307465149943294</v>
      </c>
      <c r="G14" s="51">
        <f>F14*'Time Discounting'!C11</f>
        <v>7.814353309413625</v>
      </c>
      <c r="H14" s="52">
        <f t="shared" si="4"/>
        <v>53.525332345010405</v>
      </c>
      <c r="I14" s="5">
        <f>'2. Strategy Calcs'!S14</f>
        <v>0.99460781445014457</v>
      </c>
      <c r="J14">
        <f>I14*'Time Discounting'!D11</f>
        <v>0.83296838617653346</v>
      </c>
      <c r="K14" s="6">
        <f t="shared" si="5"/>
        <v>5.9016315899312826</v>
      </c>
      <c r="M14" s="14">
        <f t="shared" si="0"/>
        <v>1.0000000000000002</v>
      </c>
      <c r="O14" s="5">
        <f t="shared" si="6"/>
        <v>0.99460781445014457</v>
      </c>
      <c r="P14">
        <f t="shared" si="1"/>
        <v>0.99359072849908792</v>
      </c>
      <c r="Q14">
        <f t="shared" si="2"/>
        <v>1.0170859510567178E-3</v>
      </c>
      <c r="R14" s="63">
        <f t="shared" si="3"/>
        <v>9.3307465149943294</v>
      </c>
      <c r="S14" s="14">
        <f t="shared" si="7"/>
        <v>0.99460781445014457</v>
      </c>
      <c r="T14" s="14">
        <f>0 + '2. Strategy Calcs'!Q13 + T13</f>
        <v>5.3921855498555455E-3</v>
      </c>
    </row>
    <row r="15" spans="2:20" x14ac:dyDescent="0.35">
      <c r="B15" s="14">
        <v>7</v>
      </c>
      <c r="D15" s="5">
        <f>'2. Strategy Calcs'!O15</f>
        <v>0.99359072849908792</v>
      </c>
      <c r="E15" s="6">
        <f>'2. Strategy Calcs'!T15</f>
        <v>6.4092715009122633E-3</v>
      </c>
      <c r="F15" s="50">
        <f>'2. Strategy Calcs'!R15</f>
        <v>9.141635427146058</v>
      </c>
      <c r="G15" s="51">
        <f>F15*'Time Discounting'!C12</f>
        <v>7.432986165608134</v>
      </c>
      <c r="H15" s="52">
        <f t="shared" si="4"/>
        <v>60.95831851061854</v>
      </c>
      <c r="I15" s="5">
        <f>'2. Strategy Calcs'!S15</f>
        <v>0.99359072849908792</v>
      </c>
      <c r="J15">
        <f>I15*'Time Discounting'!D12</f>
        <v>0.80788018709206733</v>
      </c>
      <c r="K15" s="6">
        <f t="shared" si="5"/>
        <v>6.7095117770233497</v>
      </c>
      <c r="M15" s="14">
        <f t="shared" si="0"/>
        <v>1.0000000000000002</v>
      </c>
      <c r="O15" s="5">
        <f t="shared" si="6"/>
        <v>0.99359072849908792</v>
      </c>
      <c r="P15">
        <f t="shared" si="1"/>
        <v>0.99259425635747611</v>
      </c>
      <c r="Q15">
        <f t="shared" si="2"/>
        <v>9.9647214161173512E-4</v>
      </c>
      <c r="R15" s="63">
        <f t="shared" si="3"/>
        <v>9.141635427146058</v>
      </c>
      <c r="S15" s="14">
        <f t="shared" si="7"/>
        <v>0.99359072849908792</v>
      </c>
      <c r="T15" s="14">
        <f>0 + '2. Strategy Calcs'!Q14 + T14</f>
        <v>6.4092715009122633E-3</v>
      </c>
    </row>
    <row r="16" spans="2:20" x14ac:dyDescent="0.35">
      <c r="B16" s="14">
        <v>8</v>
      </c>
      <c r="D16" s="5">
        <f>'2. Strategy Calcs'!O16</f>
        <v>0.99259425635747611</v>
      </c>
      <c r="E16" s="6">
        <f>'2. Strategy Calcs'!T16</f>
        <v>7.4057436425239986E-3</v>
      </c>
      <c r="F16" s="50">
        <f>'2. Strategy Calcs'!R16</f>
        <v>9.010446080891338</v>
      </c>
      <c r="G16" s="51">
        <f>F16*'Time Discounting'!C13</f>
        <v>7.1129293415434338</v>
      </c>
      <c r="H16" s="52">
        <f t="shared" si="4"/>
        <v>68.071247852161974</v>
      </c>
      <c r="I16" s="5">
        <f>'2. Strategy Calcs'!S16</f>
        <v>0.99259425635747611</v>
      </c>
      <c r="J16">
        <f>I16*'Time Discounting'!D13</f>
        <v>0.78356307189556562</v>
      </c>
      <c r="K16" s="6">
        <f t="shared" si="5"/>
        <v>7.4930748489189156</v>
      </c>
      <c r="M16" s="14">
        <f t="shared" si="0"/>
        <v>1</v>
      </c>
      <c r="O16" s="5">
        <f t="shared" si="6"/>
        <v>0.99259425635747611</v>
      </c>
      <c r="P16">
        <f t="shared" si="1"/>
        <v>0.99161208434081038</v>
      </c>
      <c r="Q16">
        <f t="shared" si="2"/>
        <v>9.8217201666572253E-4</v>
      </c>
      <c r="R16" s="63">
        <f t="shared" si="3"/>
        <v>9.010446080891338</v>
      </c>
      <c r="S16" s="14">
        <f t="shared" si="7"/>
        <v>0.99259425635747611</v>
      </c>
      <c r="T16" s="14">
        <f>0 + '2. Strategy Calcs'!Q15 + T15</f>
        <v>7.4057436425239986E-3</v>
      </c>
    </row>
    <row r="17" spans="2:20" x14ac:dyDescent="0.35">
      <c r="B17" s="14">
        <v>9</v>
      </c>
      <c r="D17" s="5">
        <f>'2. Strategy Calcs'!O17</f>
        <v>0.99161208434081038</v>
      </c>
      <c r="E17" s="6">
        <f>'2. Strategy Calcs'!T17</f>
        <v>8.3879156591897212E-3</v>
      </c>
      <c r="F17" s="50">
        <f>'2. Strategy Calcs'!R17</f>
        <v>8.9378508996620987</v>
      </c>
      <c r="G17" s="51">
        <f>F17*'Time Discounting'!C14</f>
        <v>6.8501184806935722</v>
      </c>
      <c r="H17" s="52">
        <f t="shared" si="4"/>
        <v>74.921366332855541</v>
      </c>
      <c r="I17" s="5">
        <f>'2. Strategy Calcs'!S17</f>
        <v>0.99161208434081038</v>
      </c>
      <c r="J17">
        <f>I17*'Time Discounting'!D14</f>
        <v>0.75998809343293694</v>
      </c>
      <c r="K17" s="6">
        <f t="shared" si="5"/>
        <v>8.2530629423518533</v>
      </c>
      <c r="M17" s="14">
        <f t="shared" si="0"/>
        <v>1</v>
      </c>
      <c r="O17" s="5">
        <f t="shared" si="6"/>
        <v>0.99161208434081038</v>
      </c>
      <c r="P17">
        <f t="shared" si="1"/>
        <v>0.99063782546794554</v>
      </c>
      <c r="Q17">
        <f t="shared" si="2"/>
        <v>9.7425887286484625E-4</v>
      </c>
      <c r="R17" s="63">
        <f t="shared" si="3"/>
        <v>8.9378508996620987</v>
      </c>
      <c r="S17" s="14">
        <f t="shared" si="7"/>
        <v>0.99161208434081038</v>
      </c>
      <c r="T17" s="14">
        <f>0 + '2. Strategy Calcs'!Q16 + T16</f>
        <v>8.3879156591897212E-3</v>
      </c>
    </row>
    <row r="18" spans="2:20" x14ac:dyDescent="0.35">
      <c r="B18" s="14">
        <v>10</v>
      </c>
      <c r="D18" s="5">
        <f>'2. Strategy Calcs'!O18</f>
        <v>0.99063782546794554</v>
      </c>
      <c r="E18" s="6">
        <f>'2. Strategy Calcs'!T18</f>
        <v>9.362174532054568E-3</v>
      </c>
      <c r="F18" s="50">
        <f>'2. Strategy Calcs'!R18</f>
        <v>8.9790540739128186</v>
      </c>
      <c r="G18" s="51">
        <f>F18*'Time Discounting'!C15</f>
        <v>6.6812594979271784</v>
      </c>
      <c r="H18" s="52">
        <f t="shared" si="4"/>
        <v>81.602625830782713</v>
      </c>
      <c r="I18" s="5">
        <f>'2. Strategy Calcs'!S18</f>
        <v>0.99063782546794554</v>
      </c>
      <c r="J18">
        <f>I18*'Time Discounting'!D15</f>
        <v>0.73712757779722238</v>
      </c>
      <c r="K18" s="6">
        <f t="shared" si="5"/>
        <v>8.9901905201490759</v>
      </c>
      <c r="M18" s="14">
        <f t="shared" si="0"/>
        <v>1</v>
      </c>
      <c r="O18" s="5">
        <f t="shared" si="6"/>
        <v>0.99063782546794554</v>
      </c>
      <c r="P18">
        <f t="shared" si="1"/>
        <v>0.98965907529638319</v>
      </c>
      <c r="Q18">
        <f t="shared" si="2"/>
        <v>9.7875017156233033E-4</v>
      </c>
      <c r="R18" s="63">
        <f t="shared" si="3"/>
        <v>8.9790540739128186</v>
      </c>
      <c r="S18" s="14">
        <f t="shared" si="7"/>
        <v>0.99063782546794554</v>
      </c>
      <c r="T18" s="14">
        <f>0 + '2. Strategy Calcs'!Q17 + T17</f>
        <v>9.362174532054568E-3</v>
      </c>
    </row>
    <row r="19" spans="2:20" x14ac:dyDescent="0.35">
      <c r="B19" s="14">
        <v>11</v>
      </c>
      <c r="D19" s="5">
        <f>'2. Strategy Calcs'!O19</f>
        <v>0.98965907529638319</v>
      </c>
      <c r="E19" s="6">
        <f>'2. Strategy Calcs'!T19</f>
        <v>1.0340924703616899E-2</v>
      </c>
      <c r="F19" s="50">
        <f>'2. Strategy Calcs'!R19</f>
        <v>9.1281596714955722</v>
      </c>
      <c r="G19" s="51">
        <f>F19*'Time Discounting'!C16</f>
        <v>6.5943767628791701</v>
      </c>
      <c r="H19" s="52">
        <f t="shared" si="4"/>
        <v>88.197002593661878</v>
      </c>
      <c r="I19" s="5">
        <f>'2. Strategy Calcs'!S19</f>
        <v>0.98965907529638319</v>
      </c>
      <c r="J19">
        <f>I19*'Time Discounting'!D16</f>
        <v>0.71495077257316375</v>
      </c>
      <c r="K19" s="6">
        <f t="shared" si="5"/>
        <v>9.7051412927222405</v>
      </c>
      <c r="M19" s="14">
        <f t="shared" si="0"/>
        <v>1</v>
      </c>
      <c r="O19" s="5">
        <f t="shared" si="6"/>
        <v>0.98965907529638319</v>
      </c>
      <c r="P19">
        <f t="shared" si="1"/>
        <v>0.98866407206208018</v>
      </c>
      <c r="Q19">
        <f t="shared" si="2"/>
        <v>9.9500323430298365E-4</v>
      </c>
      <c r="R19" s="63">
        <f t="shared" si="3"/>
        <v>9.1281596714955722</v>
      </c>
      <c r="S19" s="14">
        <f t="shared" si="7"/>
        <v>0.98965907529638319</v>
      </c>
      <c r="T19" s="14">
        <f>0 + '2. Strategy Calcs'!Q18 + T18</f>
        <v>1.0340924703616899E-2</v>
      </c>
    </row>
    <row r="20" spans="2:20" x14ac:dyDescent="0.35">
      <c r="B20" s="14">
        <v>12</v>
      </c>
      <c r="D20" s="5">
        <f>'2. Strategy Calcs'!O20</f>
        <v>0.98866407206208018</v>
      </c>
      <c r="E20" s="6">
        <f>'2. Strategy Calcs'!T20</f>
        <v>1.1335927937919883E-2</v>
      </c>
      <c r="F20" s="50">
        <f>'2. Strategy Calcs'!R20</f>
        <v>9.3430113234301579</v>
      </c>
      <c r="G20" s="51">
        <f>F20*'Time Discounting'!C17</f>
        <v>6.5530001626690364</v>
      </c>
      <c r="H20" s="52">
        <f t="shared" si="4"/>
        <v>94.750002756330915</v>
      </c>
      <c r="I20" s="5">
        <f>'2. Strategy Calcs'!S20</f>
        <v>0.98866407206208018</v>
      </c>
      <c r="J20">
        <f>I20*'Time Discounting'!D17</f>
        <v>0.69342908841399886</v>
      </c>
      <c r="K20" s="6">
        <f t="shared" si="5"/>
        <v>10.398570381136238</v>
      </c>
      <c r="M20" s="14">
        <f t="shared" si="0"/>
        <v>1</v>
      </c>
      <c r="O20" s="5">
        <f t="shared" si="6"/>
        <v>0.98866407206208018</v>
      </c>
      <c r="P20">
        <f t="shared" si="1"/>
        <v>0.98764564920144904</v>
      </c>
      <c r="Q20">
        <f t="shared" si="2"/>
        <v>1.0184228606311488E-3</v>
      </c>
      <c r="R20" s="63">
        <f t="shared" si="3"/>
        <v>9.3430113234301579</v>
      </c>
      <c r="S20" s="14">
        <f t="shared" si="7"/>
        <v>0.98866407206208018</v>
      </c>
      <c r="T20" s="14">
        <f>0 + '2. Strategy Calcs'!Q19 + T19</f>
        <v>1.1335927937919883E-2</v>
      </c>
    </row>
    <row r="21" spans="2:20" x14ac:dyDescent="0.35">
      <c r="B21" s="14">
        <v>13</v>
      </c>
      <c r="D21" s="5">
        <f>'2. Strategy Calcs'!O21</f>
        <v>0.98764564920144904</v>
      </c>
      <c r="E21" s="6">
        <f>'2. Strategy Calcs'!T21</f>
        <v>1.2354350798551033E-2</v>
      </c>
      <c r="F21" s="50">
        <f>'2. Strategy Calcs'!R21</f>
        <v>9.6043008569205384</v>
      </c>
      <c r="G21" s="51">
        <f>F21*'Time Discounting'!C18</f>
        <v>6.5400615382176674</v>
      </c>
      <c r="H21" s="52">
        <f t="shared" si="4"/>
        <v>101.29006429454859</v>
      </c>
      <c r="I21" s="5">
        <f>'2. Strategy Calcs'!S21</f>
        <v>0.98764564920144904</v>
      </c>
      <c r="J21">
        <f>I21*'Time Discounting'!D18</f>
        <v>0.67253862826215882</v>
      </c>
      <c r="K21" s="6">
        <f t="shared" si="5"/>
        <v>11.071109009398397</v>
      </c>
      <c r="M21" s="14">
        <f t="shared" si="0"/>
        <v>1</v>
      </c>
      <c r="O21" s="5">
        <f t="shared" si="6"/>
        <v>0.98764564920144904</v>
      </c>
      <c r="P21">
        <f t="shared" si="1"/>
        <v>0.98659874481329557</v>
      </c>
      <c r="Q21">
        <f t="shared" si="2"/>
        <v>1.046904388153536E-3</v>
      </c>
      <c r="R21" s="63">
        <f t="shared" si="3"/>
        <v>9.6043008569205384</v>
      </c>
      <c r="S21" s="14">
        <f t="shared" si="7"/>
        <v>0.98764564920144904</v>
      </c>
      <c r="T21" s="14">
        <f>0 + '2. Strategy Calcs'!Q20 + T20</f>
        <v>1.2354350798551033E-2</v>
      </c>
    </row>
    <row r="22" spans="2:20" x14ac:dyDescent="0.35">
      <c r="B22" s="14">
        <v>14</v>
      </c>
      <c r="D22" s="5">
        <f>'2. Strategy Calcs'!O22</f>
        <v>0.98659874481329557</v>
      </c>
      <c r="E22" s="6">
        <f>'2. Strategy Calcs'!T22</f>
        <v>1.3401255186704569E-2</v>
      </c>
      <c r="F22" s="50">
        <f>'2. Strategy Calcs'!R22</f>
        <v>9.9462064108354831</v>
      </c>
      <c r="G22" s="51">
        <f>F22*'Time Discounting'!C19</f>
        <v>6.5756141585506382</v>
      </c>
      <c r="H22" s="52">
        <f t="shared" si="4"/>
        <v>107.86567845309922</v>
      </c>
      <c r="I22" s="5">
        <f>'2. Strategy Calcs'!S22</f>
        <v>0.98659874481329557</v>
      </c>
      <c r="J22">
        <f>I22*'Time Discounting'!D19</f>
        <v>0.65225799739436985</v>
      </c>
      <c r="K22" s="6">
        <f t="shared" si="5"/>
        <v>11.723367006792767</v>
      </c>
      <c r="M22" s="14">
        <f t="shared" si="0"/>
        <v>1.0000000000000002</v>
      </c>
      <c r="O22" s="5">
        <f t="shared" si="6"/>
        <v>0.98659874481329557</v>
      </c>
      <c r="P22">
        <f t="shared" si="1"/>
        <v>0.98551457145262022</v>
      </c>
      <c r="Q22">
        <f t="shared" si="2"/>
        <v>1.0841733606753307E-3</v>
      </c>
      <c r="R22" s="63">
        <f t="shared" si="3"/>
        <v>9.9462064108354831</v>
      </c>
      <c r="S22" s="14">
        <f t="shared" si="7"/>
        <v>0.98659874481329557</v>
      </c>
      <c r="T22" s="14">
        <f>0 + '2. Strategy Calcs'!Q21 + T21</f>
        <v>1.3401255186704569E-2</v>
      </c>
    </row>
    <row r="23" spans="2:20" x14ac:dyDescent="0.35">
      <c r="B23" s="14">
        <v>15</v>
      </c>
      <c r="D23" s="5">
        <f>'2. Strategy Calcs'!O23</f>
        <v>0.98551457145262022</v>
      </c>
      <c r="E23" s="6">
        <f>'2. Strategy Calcs'!T23</f>
        <v>1.44854285473799E-2</v>
      </c>
      <c r="F23" s="50">
        <f>'2. Strategy Calcs'!R23</f>
        <v>10.362016948636114</v>
      </c>
      <c r="G23" s="51">
        <f>F23*'Time Discounting'!C20</f>
        <v>6.6509843776093707</v>
      </c>
      <c r="H23" s="52">
        <f t="shared" si="4"/>
        <v>114.5166628307086</v>
      </c>
      <c r="I23" s="5">
        <f>'2. Strategy Calcs'!S23</f>
        <v>0.98551457145262022</v>
      </c>
      <c r="J23">
        <f>I23*'Time Discounting'!D20</f>
        <v>0.63256430202042047</v>
      </c>
      <c r="K23" s="6">
        <f t="shared" si="5"/>
        <v>12.355931308813187</v>
      </c>
      <c r="M23" s="14">
        <f t="shared" si="0"/>
        <v>1.0000000000000002</v>
      </c>
      <c r="O23" s="5">
        <f t="shared" si="6"/>
        <v>0.98551457145262022</v>
      </c>
      <c r="P23">
        <f t="shared" si="1"/>
        <v>0.9843850732022783</v>
      </c>
      <c r="Q23">
        <f t="shared" si="2"/>
        <v>1.129498250341848E-3</v>
      </c>
      <c r="R23" s="63">
        <f t="shared" si="3"/>
        <v>10.362016948636114</v>
      </c>
      <c r="S23" s="14">
        <f t="shared" si="7"/>
        <v>0.98551457145262022</v>
      </c>
      <c r="T23" s="14">
        <f>0 + '2. Strategy Calcs'!Q22 + T22</f>
        <v>1.44854285473799E-2</v>
      </c>
    </row>
    <row r="24" spans="2:20" x14ac:dyDescent="0.35">
      <c r="B24" s="14">
        <v>16</v>
      </c>
      <c r="D24" s="5">
        <f>'2. Strategy Calcs'!O24</f>
        <v>0.9843850732022783</v>
      </c>
      <c r="E24" s="6">
        <f>'2. Strategy Calcs'!T24</f>
        <v>1.5614926797721747E-2</v>
      </c>
      <c r="F24" s="50">
        <f>'2. Strategy Calcs'!R24</f>
        <v>10.846832217396956</v>
      </c>
      <c r="G24" s="51">
        <f>F24*'Time Discounting'!C21</f>
        <v>6.7593872331493872</v>
      </c>
      <c r="H24" s="52">
        <f t="shared" si="4"/>
        <v>121.27605006385798</v>
      </c>
      <c r="I24" s="5">
        <f>'2. Strategy Calcs'!S24</f>
        <v>0.9843850732022783</v>
      </c>
      <c r="J24">
        <f>I24*'Time Discounting'!D21</f>
        <v>0.61343623308143203</v>
      </c>
      <c r="K24" s="6">
        <f t="shared" si="5"/>
        <v>12.969367541894618</v>
      </c>
      <c r="M24" s="14">
        <f t="shared" si="0"/>
        <v>1</v>
      </c>
      <c r="O24" s="5">
        <f t="shared" si="6"/>
        <v>0.9843850732022783</v>
      </c>
      <c r="P24">
        <f t="shared" si="1"/>
        <v>0.98320272829085509</v>
      </c>
      <c r="Q24">
        <f t="shared" si="2"/>
        <v>1.1823449114232566E-3</v>
      </c>
      <c r="R24" s="63">
        <f t="shared" si="3"/>
        <v>10.846832217396956</v>
      </c>
      <c r="S24" s="14">
        <f t="shared" si="7"/>
        <v>0.9843850732022783</v>
      </c>
      <c r="T24" s="14">
        <f>0 + '2. Strategy Calcs'!Q23 + T23</f>
        <v>1.5614926797721747E-2</v>
      </c>
    </row>
    <row r="25" spans="2:20" x14ac:dyDescent="0.35">
      <c r="B25" s="14">
        <v>17</v>
      </c>
      <c r="D25" s="5">
        <f>'2. Strategy Calcs'!O25</f>
        <v>0.98320272829085509</v>
      </c>
      <c r="E25" s="6">
        <f>'2. Strategy Calcs'!T25</f>
        <v>1.6797271709145006E-2</v>
      </c>
      <c r="F25" s="50">
        <f>'2. Strategy Calcs'!R25</f>
        <v>11.404763873017879</v>
      </c>
      <c r="G25" s="51">
        <f>F25*'Time Discounting'!C22</f>
        <v>6.9000697041521253</v>
      </c>
      <c r="H25" s="52">
        <f t="shared" si="4"/>
        <v>128.1761197680101</v>
      </c>
      <c r="I25" s="5">
        <f>'2. Strategy Calcs'!S25</f>
        <v>0.98320272829085509</v>
      </c>
      <c r="J25">
        <f>I25*'Time Discounting'!D22</f>
        <v>0.59485382021541544</v>
      </c>
      <c r="K25" s="6">
        <f t="shared" si="5"/>
        <v>13.564221362110034</v>
      </c>
      <c r="M25" s="14">
        <f t="shared" si="0"/>
        <v>1</v>
      </c>
      <c r="O25" s="5">
        <f t="shared" si="6"/>
        <v>0.98320272829085509</v>
      </c>
      <c r="P25">
        <f t="shared" si="1"/>
        <v>0.98195956676120411</v>
      </c>
      <c r="Q25">
        <f t="shared" si="2"/>
        <v>1.243161529650957E-3</v>
      </c>
      <c r="R25" s="63">
        <f t="shared" si="3"/>
        <v>11.404763873017879</v>
      </c>
      <c r="S25" s="14">
        <f t="shared" si="7"/>
        <v>0.98320272829085509</v>
      </c>
      <c r="T25" s="14">
        <f>0 + '2. Strategy Calcs'!Q24 + T24</f>
        <v>1.6797271709145006E-2</v>
      </c>
    </row>
    <row r="26" spans="2:20" x14ac:dyDescent="0.35">
      <c r="B26" s="14">
        <v>18</v>
      </c>
      <c r="D26" s="5">
        <f>'2. Strategy Calcs'!O26</f>
        <v>0.98195956676120411</v>
      </c>
      <c r="E26" s="6">
        <f>'2. Strategy Calcs'!T26</f>
        <v>1.8040433238795964E-2</v>
      </c>
      <c r="F26" s="50">
        <f>'2. Strategy Calcs'!R26</f>
        <v>12.074989466552349</v>
      </c>
      <c r="G26" s="51">
        <f>F26*'Time Discounting'!C23</f>
        <v>7.0927836996762643</v>
      </c>
      <c r="H26" s="52">
        <f t="shared" si="4"/>
        <v>135.26890346768636</v>
      </c>
      <c r="I26" s="5">
        <f>'2. Strategy Calcs'!S26</f>
        <v>0.98195956676120411</v>
      </c>
      <c r="J26">
        <f>I26*'Time Discounting'!D23</f>
        <v>0.57679775441275249</v>
      </c>
      <c r="K26" s="6">
        <f t="shared" si="5"/>
        <v>14.141019116522786</v>
      </c>
      <c r="M26" s="14">
        <f t="shared" si="0"/>
        <v>1</v>
      </c>
      <c r="O26" s="5">
        <f t="shared" si="6"/>
        <v>0.98195956676120411</v>
      </c>
      <c r="P26">
        <f t="shared" si="1"/>
        <v>0.98064334815791732</v>
      </c>
      <c r="Q26">
        <f t="shared" si="2"/>
        <v>1.3162186032867177E-3</v>
      </c>
      <c r="R26" s="63">
        <f t="shared" si="3"/>
        <v>12.074989466552349</v>
      </c>
      <c r="S26" s="14">
        <f t="shared" si="7"/>
        <v>0.98195956676120411</v>
      </c>
      <c r="T26" s="14">
        <f>0 + '2. Strategy Calcs'!Q25 + T25</f>
        <v>1.8040433238795964E-2</v>
      </c>
    </row>
    <row r="27" spans="2:20" x14ac:dyDescent="0.35">
      <c r="B27" s="14">
        <v>19</v>
      </c>
      <c r="D27" s="5">
        <f>'2. Strategy Calcs'!O27</f>
        <v>0.98064334815791732</v>
      </c>
      <c r="E27" s="6">
        <f>'2. Strategy Calcs'!T27</f>
        <v>1.935665184208268E-2</v>
      </c>
      <c r="F27" s="50">
        <f>'2. Strategy Calcs'!R27</f>
        <v>12.896371045947047</v>
      </c>
      <c r="G27" s="51">
        <f>F27*'Time Discounting'!C24</f>
        <v>7.3546202040854904</v>
      </c>
      <c r="H27" s="52">
        <f t="shared" si="4"/>
        <v>142.62352367177184</v>
      </c>
      <c r="I27" s="5">
        <f>'2. Strategy Calcs'!S27</f>
        <v>0.98064334815791732</v>
      </c>
      <c r="J27">
        <f>I27*'Time Discounting'!D24</f>
        <v>0.55924719874052187</v>
      </c>
      <c r="K27" s="6">
        <f t="shared" si="5"/>
        <v>14.700266315263308</v>
      </c>
      <c r="M27" s="14">
        <f t="shared" si="0"/>
        <v>1</v>
      </c>
      <c r="O27" s="5">
        <f t="shared" si="6"/>
        <v>0.98064334815791732</v>
      </c>
      <c r="P27">
        <f t="shared" si="1"/>
        <v>0.97923759591833293</v>
      </c>
      <c r="Q27">
        <f t="shared" si="2"/>
        <v>1.405752239584374E-3</v>
      </c>
      <c r="R27" s="63">
        <f t="shared" si="3"/>
        <v>12.896371045947047</v>
      </c>
      <c r="S27" s="14">
        <f t="shared" si="7"/>
        <v>0.98064334815791732</v>
      </c>
      <c r="T27" s="14">
        <f>0 + '2. Strategy Calcs'!Q26 + T26</f>
        <v>1.935665184208268E-2</v>
      </c>
    </row>
    <row r="28" spans="2:20" x14ac:dyDescent="0.35">
      <c r="B28" s="14">
        <v>20</v>
      </c>
      <c r="D28" s="5">
        <f>'2. Strategy Calcs'!O28</f>
        <v>0.97923759591833293</v>
      </c>
      <c r="E28" s="6">
        <f>'2. Strategy Calcs'!T28</f>
        <v>2.0762404081667053E-2</v>
      </c>
      <c r="F28" s="50">
        <f>'2. Strategy Calcs'!R28</f>
        <v>13.910091201551992</v>
      </c>
      <c r="G28" s="51">
        <f>F28*'Time Discounting'!C25</f>
        <v>7.7016802368200015</v>
      </c>
      <c r="H28" s="52">
        <f t="shared" si="4"/>
        <v>150.32520390859185</v>
      </c>
      <c r="I28" s="5">
        <f>'2. Strategy Calcs'!S28</f>
        <v>0.97923759591833293</v>
      </c>
      <c r="J28">
        <f>I28*'Time Discounting'!D25</f>
        <v>0.54218011444769654</v>
      </c>
      <c r="K28" s="6">
        <f t="shared" si="5"/>
        <v>15.242446429711004</v>
      </c>
      <c r="M28" s="14">
        <f t="shared" si="0"/>
        <v>1</v>
      </c>
      <c r="O28" s="5">
        <f t="shared" si="6"/>
        <v>0.97923759591833293</v>
      </c>
      <c r="P28">
        <f t="shared" si="1"/>
        <v>0.97772134442481295</v>
      </c>
      <c r="Q28">
        <f t="shared" si="2"/>
        <v>1.5162514935199468E-3</v>
      </c>
      <c r="R28" s="63">
        <f t="shared" si="3"/>
        <v>13.910091201551992</v>
      </c>
      <c r="S28" s="14">
        <f t="shared" si="7"/>
        <v>0.97923759591833293</v>
      </c>
      <c r="T28" s="14">
        <f>0 + '2. Strategy Calcs'!Q27 + T27</f>
        <v>2.0762404081667053E-2</v>
      </c>
    </row>
    <row r="29" spans="2:20" x14ac:dyDescent="0.35">
      <c r="B29" s="14">
        <v>21</v>
      </c>
      <c r="D29" s="5">
        <f>'2. Strategy Calcs'!O29</f>
        <v>0.97772134442481295</v>
      </c>
      <c r="E29" s="6">
        <f>'2. Strategy Calcs'!T29</f>
        <v>2.2278655575187E-2</v>
      </c>
      <c r="F29" s="50">
        <f>'2. Strategy Calcs'!R29</f>
        <v>15.117390155419701</v>
      </c>
      <c r="G29" s="51">
        <f>F29*'Time Discounting'!C26</f>
        <v>8.1263421316806586</v>
      </c>
      <c r="H29" s="52">
        <f t="shared" si="4"/>
        <v>158.45154604027249</v>
      </c>
      <c r="I29" s="5">
        <f>'2. Strategy Calcs'!S29</f>
        <v>0.97772134442481295</v>
      </c>
      <c r="J29">
        <f>I29*'Time Discounting'!D26</f>
        <v>0.52557340073639391</v>
      </c>
      <c r="K29" s="6">
        <f t="shared" si="5"/>
        <v>15.768019830447397</v>
      </c>
      <c r="M29" s="14">
        <f t="shared" si="0"/>
        <v>1</v>
      </c>
      <c r="O29" s="5">
        <f t="shared" si="6"/>
        <v>0.97772134442481295</v>
      </c>
      <c r="P29">
        <f t="shared" si="1"/>
        <v>0.97607349287091938</v>
      </c>
      <c r="Q29">
        <f t="shared" si="2"/>
        <v>1.6478515538935797E-3</v>
      </c>
      <c r="R29" s="63">
        <f t="shared" si="3"/>
        <v>15.117390155419701</v>
      </c>
      <c r="S29" s="14">
        <f t="shared" si="7"/>
        <v>0.97772134442481295</v>
      </c>
      <c r="T29" s="14">
        <f>0 + '2. Strategy Calcs'!Q28 + T28</f>
        <v>2.2278655575187E-2</v>
      </c>
    </row>
    <row r="30" spans="2:20" x14ac:dyDescent="0.35">
      <c r="B30" s="14">
        <v>22</v>
      </c>
      <c r="D30" s="5">
        <f>'2. Strategy Calcs'!O30</f>
        <v>0.97607349287091938</v>
      </c>
      <c r="E30" s="6">
        <f>'2. Strategy Calcs'!T30</f>
        <v>2.3926507129080579E-2</v>
      </c>
      <c r="F30" s="50">
        <f>'2. Strategy Calcs'!R30</f>
        <v>16.436876939236146</v>
      </c>
      <c r="G30" s="51">
        <f>F30*'Time Discounting'!C27</f>
        <v>8.5782828125172497</v>
      </c>
      <c r="H30" s="52">
        <f t="shared" si="4"/>
        <v>167.02982885278973</v>
      </c>
      <c r="I30" s="5">
        <f>'2. Strategy Calcs'!S30</f>
        <v>0.97607349287091938</v>
      </c>
      <c r="J30">
        <f>I30*'Time Discounting'!D27</f>
        <v>0.50940543623960466</v>
      </c>
      <c r="K30" s="6">
        <f t="shared" si="5"/>
        <v>16.277425266687001</v>
      </c>
      <c r="M30" s="14">
        <f t="shared" si="0"/>
        <v>1</v>
      </c>
      <c r="O30" s="5">
        <f t="shared" si="6"/>
        <v>0.97607349287091938</v>
      </c>
      <c r="P30">
        <f t="shared" si="1"/>
        <v>0.97428181236740552</v>
      </c>
      <c r="Q30">
        <f t="shared" si="2"/>
        <v>1.7916805035138594E-3</v>
      </c>
      <c r="R30" s="63">
        <f t="shared" si="3"/>
        <v>16.436876939236146</v>
      </c>
      <c r="S30" s="14">
        <f t="shared" si="7"/>
        <v>0.97607349287091938</v>
      </c>
      <c r="T30" s="14">
        <f>0 + '2. Strategy Calcs'!Q29 + T29</f>
        <v>2.3926507129080579E-2</v>
      </c>
    </row>
    <row r="31" spans="2:20" x14ac:dyDescent="0.35">
      <c r="B31" s="14">
        <v>23</v>
      </c>
      <c r="D31" s="5">
        <f>'2. Strategy Calcs'!O31</f>
        <v>0.97428181236740552</v>
      </c>
      <c r="E31" s="6">
        <f>'2. Strategy Calcs'!T31</f>
        <v>2.5718187632594439E-2</v>
      </c>
      <c r="F31" s="50">
        <f>'2. Strategy Calcs'!R31</f>
        <v>17.872547468778492</v>
      </c>
      <c r="G31" s="51">
        <f>F31*'Time Discounting'!C28</f>
        <v>9.0558723258480889</v>
      </c>
      <c r="H31" s="52">
        <f t="shared" si="4"/>
        <v>176.08570117863783</v>
      </c>
      <c r="I31" s="5">
        <f>'2. Strategy Calcs'!S31</f>
        <v>0.97428181236740552</v>
      </c>
      <c r="J31">
        <f>I31*'Time Discounting'!D28</f>
        <v>0.49366055497169242</v>
      </c>
      <c r="K31" s="6">
        <f t="shared" si="5"/>
        <v>16.771085821658694</v>
      </c>
      <c r="M31" s="14">
        <f t="shared" si="0"/>
        <v>1</v>
      </c>
      <c r="O31" s="5">
        <f t="shared" si="6"/>
        <v>0.97428181236740552</v>
      </c>
      <c r="P31">
        <f t="shared" si="1"/>
        <v>0.97233363845539567</v>
      </c>
      <c r="Q31">
        <f t="shared" si="2"/>
        <v>1.948173912009864E-3</v>
      </c>
      <c r="R31" s="63">
        <f t="shared" si="3"/>
        <v>17.872547468778492</v>
      </c>
      <c r="S31" s="14">
        <f t="shared" si="7"/>
        <v>0.97428181236740552</v>
      </c>
      <c r="T31" s="14">
        <f>0 + '2. Strategy Calcs'!Q30 + T30</f>
        <v>2.5718187632594439E-2</v>
      </c>
    </row>
    <row r="32" spans="2:20" x14ac:dyDescent="0.35">
      <c r="B32" s="14">
        <v>24</v>
      </c>
      <c r="D32" s="5">
        <f>'2. Strategy Calcs'!O32</f>
        <v>0.97233363845539567</v>
      </c>
      <c r="E32" s="6">
        <f>'2. Strategy Calcs'!T32</f>
        <v>2.7666361544604303E-2</v>
      </c>
      <c r="F32" s="50">
        <f>'2. Strategy Calcs'!R32</f>
        <v>19.515589054867437</v>
      </c>
      <c r="G32" s="51">
        <f>F32*'Time Discounting'!C29</f>
        <v>9.6003766406273741</v>
      </c>
      <c r="H32" s="52">
        <f t="shared" si="4"/>
        <v>185.68607781926522</v>
      </c>
      <c r="I32" s="5">
        <f>'2. Strategy Calcs'!S32</f>
        <v>0.97233363845539567</v>
      </c>
      <c r="J32">
        <f>I32*'Time Discounting'!D29</f>
        <v>0.47832371973395249</v>
      </c>
      <c r="K32" s="6">
        <f t="shared" si="5"/>
        <v>17.249409541392648</v>
      </c>
      <c r="M32" s="14">
        <f t="shared" si="0"/>
        <v>1</v>
      </c>
      <c r="O32" s="5">
        <f t="shared" si="6"/>
        <v>0.97233363845539567</v>
      </c>
      <c r="P32">
        <f t="shared" si="1"/>
        <v>0.97020636692118301</v>
      </c>
      <c r="Q32">
        <f t="shared" si="2"/>
        <v>2.127271534212714E-3</v>
      </c>
      <c r="R32" s="63">
        <f t="shared" si="3"/>
        <v>19.515589054867437</v>
      </c>
      <c r="S32" s="14">
        <f t="shared" si="7"/>
        <v>0.97233363845539567</v>
      </c>
      <c r="T32" s="14">
        <f>0 + '2. Strategy Calcs'!Q31 + T31</f>
        <v>2.7666361544604303E-2</v>
      </c>
    </row>
    <row r="33" spans="2:20" x14ac:dyDescent="0.35">
      <c r="B33" s="14">
        <v>25</v>
      </c>
      <c r="D33" s="5">
        <f>'2. Strategy Calcs'!O33</f>
        <v>0.97020636692118301</v>
      </c>
      <c r="E33" s="6">
        <f>'2. Strategy Calcs'!T33</f>
        <v>2.9793633078817015E-2</v>
      </c>
      <c r="F33" s="50">
        <f>'2. Strategy Calcs'!R33</f>
        <v>21.358945502360793</v>
      </c>
      <c r="G33" s="51">
        <f>F33*'Time Discounting'!C30</f>
        <v>10.201151325483792</v>
      </c>
      <c r="H33" s="52">
        <f t="shared" si="4"/>
        <v>195.88722914474903</v>
      </c>
      <c r="I33" s="5">
        <f>'2. Strategy Calcs'!S33</f>
        <v>0.97020636692118301</v>
      </c>
      <c r="J33">
        <f>I33*'Time Discounting'!D30</f>
        <v>0.46337596417467825</v>
      </c>
      <c r="K33" s="6">
        <f t="shared" si="5"/>
        <v>17.712785505567325</v>
      </c>
      <c r="M33" s="14">
        <f t="shared" si="0"/>
        <v>1</v>
      </c>
      <c r="O33" s="5">
        <f t="shared" si="6"/>
        <v>0.97020636692118301</v>
      </c>
      <c r="P33">
        <f t="shared" si="1"/>
        <v>0.96787816270248228</v>
      </c>
      <c r="Q33">
        <f t="shared" si="2"/>
        <v>2.3282042187007623E-3</v>
      </c>
      <c r="R33" s="63">
        <f t="shared" si="3"/>
        <v>21.358945502360793</v>
      </c>
      <c r="S33" s="14">
        <f t="shared" si="7"/>
        <v>0.97020636692118301</v>
      </c>
      <c r="T33" s="14">
        <f>0 + '2. Strategy Calcs'!Q32 + T32</f>
        <v>2.9793633078817015E-2</v>
      </c>
    </row>
    <row r="34" spans="2:20" x14ac:dyDescent="0.35">
      <c r="B34" s="14">
        <v>26</v>
      </c>
      <c r="D34" s="5">
        <f>'2. Strategy Calcs'!O34</f>
        <v>0.96787816270248228</v>
      </c>
      <c r="E34" s="6">
        <f>'2. Strategy Calcs'!T34</f>
        <v>3.2121837297517775E-2</v>
      </c>
      <c r="F34" s="50">
        <f>'2. Strategy Calcs'!R34</f>
        <v>23.339277544586718</v>
      </c>
      <c r="G34" s="51">
        <f>F34*'Time Discounting'!C31</f>
        <v>10.822299939648746</v>
      </c>
      <c r="H34" s="52">
        <f t="shared" si="4"/>
        <v>206.70952908439779</v>
      </c>
      <c r="I34" s="5">
        <f>'2. Strategy Calcs'!S34</f>
        <v>0.96787816270248228</v>
      </c>
      <c r="J34">
        <f>I34*'Time Discounting'!D31</f>
        <v>0.44880000084800803</v>
      </c>
      <c r="K34" s="6">
        <f t="shared" si="5"/>
        <v>18.161585506415332</v>
      </c>
      <c r="M34" s="14">
        <f t="shared" si="0"/>
        <v>1</v>
      </c>
      <c r="O34" s="5">
        <f t="shared" si="6"/>
        <v>0.96787816270248228</v>
      </c>
      <c r="P34">
        <f t="shared" si="1"/>
        <v>0.96533409495181877</v>
      </c>
      <c r="Q34">
        <f t="shared" si="2"/>
        <v>2.5440677506634746E-3</v>
      </c>
      <c r="R34" s="63">
        <f t="shared" si="3"/>
        <v>23.339277544586718</v>
      </c>
      <c r="S34" s="14">
        <f t="shared" si="7"/>
        <v>0.96787816270248228</v>
      </c>
      <c r="T34" s="14">
        <f>0 + '2. Strategy Calcs'!Q33 + T33</f>
        <v>3.2121837297517775E-2</v>
      </c>
    </row>
    <row r="35" spans="2:20" x14ac:dyDescent="0.35">
      <c r="B35" s="14">
        <v>27</v>
      </c>
      <c r="D35" s="5">
        <f>'2. Strategy Calcs'!O35</f>
        <v>0.96533409495181877</v>
      </c>
      <c r="E35" s="6">
        <f>'2. Strategy Calcs'!T35</f>
        <v>3.4665905048181248E-2</v>
      </c>
      <c r="F35" s="50">
        <f>'2. Strategy Calcs'!R35</f>
        <v>25.362626765521274</v>
      </c>
      <c r="G35" s="51">
        <f>F35*'Time Discounting'!C32</f>
        <v>11.417976995303793</v>
      </c>
      <c r="H35" s="52">
        <f t="shared" si="4"/>
        <v>218.12750607970159</v>
      </c>
      <c r="I35" s="5">
        <f>'2. Strategy Calcs'!S35</f>
        <v>0.96533409495181877</v>
      </c>
      <c r="J35">
        <f>I35*'Time Discounting'!D32</f>
        <v>0.43458284470463981</v>
      </c>
      <c r="K35" s="6">
        <f t="shared" si="5"/>
        <v>18.596168351119971</v>
      </c>
      <c r="M35" s="14">
        <f t="shared" si="0"/>
        <v>1</v>
      </c>
      <c r="O35" s="5">
        <f t="shared" si="6"/>
        <v>0.96533409495181877</v>
      </c>
      <c r="P35">
        <f t="shared" si="1"/>
        <v>0.96256947463728626</v>
      </c>
      <c r="Q35">
        <f t="shared" si="2"/>
        <v>2.7646203145325131E-3</v>
      </c>
      <c r="R35" s="63">
        <f t="shared" si="3"/>
        <v>25.362626765521274</v>
      </c>
      <c r="S35" s="14">
        <f t="shared" si="7"/>
        <v>0.96533409495181877</v>
      </c>
      <c r="T35" s="14">
        <f>0 + '2. Strategy Calcs'!Q34 + T34</f>
        <v>3.4665905048181248E-2</v>
      </c>
    </row>
    <row r="36" spans="2:20" x14ac:dyDescent="0.35">
      <c r="B36" s="14">
        <v>28</v>
      </c>
      <c r="D36" s="5">
        <f>'2. Strategy Calcs'!O36</f>
        <v>0.96256947463728626</v>
      </c>
      <c r="E36" s="6">
        <f>'2. Strategy Calcs'!T36</f>
        <v>3.7430525362713761E-2</v>
      </c>
      <c r="F36" s="50">
        <f>'2. Strategy Calcs'!R36</f>
        <v>27.435829542285873</v>
      </c>
      <c r="G36" s="51">
        <f>F36*'Time Discounting'!C33</f>
        <v>11.991563296879553</v>
      </c>
      <c r="H36" s="52">
        <f t="shared" si="4"/>
        <v>230.11906937658114</v>
      </c>
      <c r="I36" s="5">
        <f>'2. Strategy Calcs'!S36</f>
        <v>0.96256947463728626</v>
      </c>
      <c r="J36">
        <f>I36*'Time Discounting'!D33</f>
        <v>0.42071674067542741</v>
      </c>
      <c r="K36" s="6">
        <f t="shared" si="5"/>
        <v>19.016885091795398</v>
      </c>
      <c r="M36" s="14">
        <f t="shared" si="0"/>
        <v>1</v>
      </c>
      <c r="O36" s="5">
        <f t="shared" si="6"/>
        <v>0.96256947463728626</v>
      </c>
      <c r="P36">
        <f t="shared" si="1"/>
        <v>0.95957886753653565</v>
      </c>
      <c r="Q36">
        <f t="shared" si="2"/>
        <v>2.9906071007505856E-3</v>
      </c>
      <c r="R36" s="63">
        <f t="shared" si="3"/>
        <v>27.435829542285873</v>
      </c>
      <c r="S36" s="14">
        <f t="shared" si="7"/>
        <v>0.96256947463728626</v>
      </c>
      <c r="T36" s="14">
        <f>0 + '2. Strategy Calcs'!Q35 + T35</f>
        <v>3.7430525362713761E-2</v>
      </c>
    </row>
    <row r="37" spans="2:20" x14ac:dyDescent="0.35">
      <c r="B37" s="14">
        <v>29</v>
      </c>
      <c r="D37" s="5">
        <f>'2. Strategy Calcs'!O37</f>
        <v>0.95957886753653565</v>
      </c>
      <c r="E37" s="6">
        <f>'2. Strategy Calcs'!T37</f>
        <v>4.0421132463464349E-2</v>
      </c>
      <c r="F37" s="50">
        <f>'2. Strategy Calcs'!R37</f>
        <v>29.661423002810732</v>
      </c>
      <c r="G37" s="51">
        <f>F37*'Time Discounting'!C34</f>
        <v>12.586716951925332</v>
      </c>
      <c r="H37" s="52">
        <f t="shared" si="4"/>
        <v>242.70578632850646</v>
      </c>
      <c r="I37" s="5">
        <f>'2. Strategy Calcs'!S37</f>
        <v>0.95957886753653565</v>
      </c>
      <c r="J37">
        <f>I37*'Time Discounting'!D34</f>
        <v>0.40719380178041065</v>
      </c>
      <c r="K37" s="6">
        <f t="shared" si="5"/>
        <v>19.42407889357581</v>
      </c>
      <c r="M37" s="14">
        <f t="shared" si="0"/>
        <v>1</v>
      </c>
      <c r="O37" s="5">
        <f t="shared" si="6"/>
        <v>0.95957886753653565</v>
      </c>
      <c r="P37">
        <f t="shared" si="1"/>
        <v>0.9563456625002581</v>
      </c>
      <c r="Q37">
        <f t="shared" si="2"/>
        <v>3.2332050362776032E-3</v>
      </c>
      <c r="R37" s="63">
        <f t="shared" si="3"/>
        <v>29.661423002810732</v>
      </c>
      <c r="S37" s="14">
        <f t="shared" si="7"/>
        <v>0.95957886753653565</v>
      </c>
      <c r="T37" s="14">
        <f>0 + '2. Strategy Calcs'!Q36 + T36</f>
        <v>4.0421132463464349E-2</v>
      </c>
    </row>
    <row r="38" spans="2:20" x14ac:dyDescent="0.35">
      <c r="B38" s="14">
        <v>30</v>
      </c>
      <c r="D38" s="5">
        <f>'2. Strategy Calcs'!O38</f>
        <v>0.9563456625002581</v>
      </c>
      <c r="E38" s="6">
        <f>'2. Strategy Calcs'!T38</f>
        <v>4.3654337499741951E-2</v>
      </c>
      <c r="F38" s="50">
        <f>'2. Strategy Calcs'!R38</f>
        <v>32.118961458062152</v>
      </c>
      <c r="G38" s="51">
        <f>F38*'Time Discounting'!C35</f>
        <v>13.232586850123335</v>
      </c>
      <c r="H38" s="52">
        <f t="shared" si="4"/>
        <v>255.9383731786298</v>
      </c>
      <c r="I38" s="5">
        <f>'2. Strategy Calcs'!S38</f>
        <v>0.9563456625002581</v>
      </c>
      <c r="J38">
        <f>I38*'Time Discounting'!D35</f>
        <v>0.39400175047057451</v>
      </c>
      <c r="K38" s="6">
        <f t="shared" si="5"/>
        <v>19.818080644046386</v>
      </c>
      <c r="M38" s="14">
        <f t="shared" si="0"/>
        <v>1</v>
      </c>
      <c r="O38" s="5">
        <f t="shared" si="6"/>
        <v>0.9563456625002581</v>
      </c>
      <c r="P38">
        <f t="shared" si="1"/>
        <v>0.95284457666441091</v>
      </c>
      <c r="Q38">
        <f t="shared" si="2"/>
        <v>3.5010858358471932E-3</v>
      </c>
      <c r="R38" s="63">
        <f t="shared" si="3"/>
        <v>32.118961458062152</v>
      </c>
      <c r="S38" s="14">
        <f t="shared" si="7"/>
        <v>0.9563456625002581</v>
      </c>
      <c r="T38" s="14">
        <f>0 + '2. Strategy Calcs'!Q37 + T37</f>
        <v>4.3654337499741951E-2</v>
      </c>
    </row>
    <row r="39" spans="2:20" x14ac:dyDescent="0.35">
      <c r="B39" s="14">
        <v>31</v>
      </c>
      <c r="D39" s="5">
        <f>'2. Strategy Calcs'!O39</f>
        <v>0.95284457666441091</v>
      </c>
      <c r="E39" s="6">
        <f>'2. Strategy Calcs'!T39</f>
        <v>4.7155423335589142E-2</v>
      </c>
      <c r="F39" s="50">
        <f>'2. Strategy Calcs'!R39</f>
        <v>34.822225688477559</v>
      </c>
      <c r="G39" s="51">
        <f>F39*'Time Discounting'!C36</f>
        <v>13.928442641288774</v>
      </c>
      <c r="H39" s="52">
        <f t="shared" si="4"/>
        <v>269.8668158199186</v>
      </c>
      <c r="I39" s="5">
        <f>'2. Strategy Calcs'!S39</f>
        <v>0.95284457666441091</v>
      </c>
      <c r="J39">
        <f>I39*'Time Discounting'!D36</f>
        <v>0.38112558200221042</v>
      </c>
      <c r="K39" s="6">
        <f t="shared" si="5"/>
        <v>20.199206226048595</v>
      </c>
      <c r="M39" s="14">
        <f t="shared" si="0"/>
        <v>1</v>
      </c>
      <c r="O39" s="5">
        <f t="shared" si="6"/>
        <v>0.95284457666441091</v>
      </c>
      <c r="P39">
        <f t="shared" si="1"/>
        <v>0.9490488250088106</v>
      </c>
      <c r="Q39">
        <f t="shared" si="2"/>
        <v>3.7957516556003444E-3</v>
      </c>
      <c r="R39" s="63">
        <f t="shared" si="3"/>
        <v>34.822225688477559</v>
      </c>
      <c r="S39" s="14">
        <f t="shared" si="7"/>
        <v>0.95284457666441091</v>
      </c>
      <c r="T39" s="14">
        <f>0 + '2. Strategy Calcs'!Q38 + T38</f>
        <v>4.7155423335589142E-2</v>
      </c>
    </row>
    <row r="40" spans="2:20" x14ac:dyDescent="0.35">
      <c r="B40" s="14">
        <v>32</v>
      </c>
      <c r="D40" s="5">
        <f>'2. Strategy Calcs'!O40</f>
        <v>0.9490488250088106</v>
      </c>
      <c r="E40" s="6">
        <f>'2. Strategy Calcs'!T40</f>
        <v>5.0951174991189487E-2</v>
      </c>
      <c r="F40" s="50">
        <f>'2. Strategy Calcs'!R40</f>
        <v>37.758669778991774</v>
      </c>
      <c r="G40" s="51">
        <f>F40*'Time Discounting'!C37</f>
        <v>14.663089834930743</v>
      </c>
      <c r="H40" s="52">
        <f t="shared" si="4"/>
        <v>284.52990565484936</v>
      </c>
      <c r="I40" s="5">
        <f>'2. Strategy Calcs'!S40</f>
        <v>0.9490488250088106</v>
      </c>
      <c r="J40">
        <f>I40*'Time Discounting'!D37</f>
        <v>0.36855080595509365</v>
      </c>
      <c r="K40" s="6">
        <f t="shared" si="5"/>
        <v>20.567757032003687</v>
      </c>
      <c r="M40" s="14">
        <f t="shared" ref="M40:M71" si="8">SUM(D40:E40)</f>
        <v>1</v>
      </c>
      <c r="O40" s="5">
        <f t="shared" si="6"/>
        <v>0.9490488250088106</v>
      </c>
      <c r="P40">
        <f t="shared" ref="P40:P71" si="9">O40*(1-(InterpolateTable(tdead,cycle+18,1)))</f>
        <v>0.94493299006451237</v>
      </c>
      <c r="Q40">
        <f t="shared" ref="Q40:Q71" si="10">O40*(InterpolateTable(tdead,cycle+18,1))</f>
        <v>4.1158349442982096E-3</v>
      </c>
      <c r="R40" s="63">
        <f t="shared" ref="R40:R71" si="11">Q40*(cDead)</f>
        <v>37.758669778991774</v>
      </c>
      <c r="S40" s="14">
        <f t="shared" si="7"/>
        <v>0.9490488250088106</v>
      </c>
      <c r="T40" s="14">
        <f>0 + '2. Strategy Calcs'!Q39 + T39</f>
        <v>5.0951174991189487E-2</v>
      </c>
    </row>
    <row r="41" spans="2:20" x14ac:dyDescent="0.35">
      <c r="B41" s="14">
        <v>33</v>
      </c>
      <c r="D41" s="5">
        <f>'2. Strategy Calcs'!O41</f>
        <v>0.94493299006451237</v>
      </c>
      <c r="E41" s="6">
        <f>'2. Strategy Calcs'!T41</f>
        <v>5.5067009935487694E-2</v>
      </c>
      <c r="F41" s="50">
        <f>'2. Strategy Calcs'!R41</f>
        <v>40.820584134736229</v>
      </c>
      <c r="G41" s="51">
        <f>F41*'Time Discounting'!C38</f>
        <v>15.390431625846546</v>
      </c>
      <c r="H41" s="52">
        <f t="shared" ref="H41:H72" si="12">H40 + G41</f>
        <v>299.92033728069589</v>
      </c>
      <c r="I41" s="5">
        <f>'2. Strategy Calcs'!S41</f>
        <v>0.94493299006451237</v>
      </c>
      <c r="J41">
        <f>I41*'Time Discounting'!D38</f>
        <v>0.35626453866002677</v>
      </c>
      <c r="K41" s="6">
        <f t="shared" ref="K41:K72" si="13">K40 + J41</f>
        <v>20.924021570663715</v>
      </c>
      <c r="M41" s="14">
        <f t="shared" si="8"/>
        <v>1</v>
      </c>
      <c r="O41" s="5">
        <f t="shared" ref="O41:O72" si="14">0 + P40</f>
        <v>0.94493299006451237</v>
      </c>
      <c r="P41">
        <f t="shared" si="9"/>
        <v>0.9404833951075976</v>
      </c>
      <c r="Q41">
        <f t="shared" si="10"/>
        <v>4.4495949569147838E-3</v>
      </c>
      <c r="R41" s="63">
        <f t="shared" si="11"/>
        <v>40.820584134736229</v>
      </c>
      <c r="S41" s="14">
        <f t="shared" ref="S41:S72" si="15">O41*(1)</f>
        <v>0.94493299006451237</v>
      </c>
      <c r="T41" s="14">
        <f>0 + '2. Strategy Calcs'!Q40 + T40</f>
        <v>5.5067009935487694E-2</v>
      </c>
    </row>
    <row r="42" spans="2:20" x14ac:dyDescent="0.35">
      <c r="B42" s="14">
        <v>34</v>
      </c>
      <c r="D42" s="5">
        <f>'2. Strategy Calcs'!O42</f>
        <v>0.9404833951075976</v>
      </c>
      <c r="E42" s="6">
        <f>'2. Strategy Calcs'!T42</f>
        <v>5.9516604892402479E-2</v>
      </c>
      <c r="F42" s="50">
        <f>'2. Strategy Calcs'!R42</f>
        <v>43.927709246656754</v>
      </c>
      <c r="G42" s="51">
        <f>F42*'Time Discounting'!C39</f>
        <v>16.07951392711627</v>
      </c>
      <c r="H42" s="52">
        <f t="shared" si="12"/>
        <v>315.99985120781218</v>
      </c>
      <c r="I42" s="5">
        <f>'2. Strategy Calcs'!S42</f>
        <v>0.9404833951075976</v>
      </c>
      <c r="J42">
        <f>I42*'Time Discounting'!D39</f>
        <v>0.34425915007177732</v>
      </c>
      <c r="K42" s="6">
        <f t="shared" si="13"/>
        <v>21.268280720735493</v>
      </c>
      <c r="M42" s="14">
        <f t="shared" si="8"/>
        <v>1</v>
      </c>
      <c r="O42" s="5">
        <f t="shared" si="14"/>
        <v>0.9404833951075976</v>
      </c>
      <c r="P42">
        <f t="shared" si="9"/>
        <v>0.9356951119980863</v>
      </c>
      <c r="Q42">
        <f t="shared" si="10"/>
        <v>4.7882831095113097E-3</v>
      </c>
      <c r="R42" s="63">
        <f t="shared" si="11"/>
        <v>43.927709246656754</v>
      </c>
      <c r="S42" s="14">
        <f t="shared" si="15"/>
        <v>0.9404833951075976</v>
      </c>
      <c r="T42" s="14">
        <f>0 + '2. Strategy Calcs'!Q41 + T41</f>
        <v>5.9516604892402479E-2</v>
      </c>
    </row>
    <row r="43" spans="2:20" x14ac:dyDescent="0.35">
      <c r="B43" s="14">
        <v>35</v>
      </c>
      <c r="D43" s="5">
        <f>'2. Strategy Calcs'!O43</f>
        <v>0.9356951119980863</v>
      </c>
      <c r="E43" s="6">
        <f>'2. Strategy Calcs'!T43</f>
        <v>6.4304888001913793E-2</v>
      </c>
      <c r="F43" s="50">
        <f>'2. Strategy Calcs'!R43</f>
        <v>46.990040931888949</v>
      </c>
      <c r="G43" s="51">
        <f>F43*'Time Discounting'!C40</f>
        <v>16.699480409529894</v>
      </c>
      <c r="H43" s="52">
        <f t="shared" si="12"/>
        <v>332.69933161734207</v>
      </c>
      <c r="I43" s="5">
        <f>'2. Strategy Calcs'!S43</f>
        <v>0.9356951119980863</v>
      </c>
      <c r="J43">
        <f>I43*'Time Discounting'!D40</f>
        <v>0.33253050821457947</v>
      </c>
      <c r="K43" s="6">
        <f t="shared" si="13"/>
        <v>21.600811228950072</v>
      </c>
      <c r="M43" s="14">
        <f t="shared" si="8"/>
        <v>1</v>
      </c>
      <c r="O43" s="5">
        <f t="shared" si="14"/>
        <v>0.9356951119980863</v>
      </c>
      <c r="P43">
        <f t="shared" si="9"/>
        <v>0.93057302338549752</v>
      </c>
      <c r="Q43">
        <f t="shared" si="10"/>
        <v>5.1220886125887231E-3</v>
      </c>
      <c r="R43" s="63">
        <f t="shared" si="11"/>
        <v>46.990040931888949</v>
      </c>
      <c r="S43" s="14">
        <f t="shared" si="15"/>
        <v>0.9356951119980863</v>
      </c>
      <c r="T43" s="14">
        <f>0 + '2. Strategy Calcs'!Q42 + T42</f>
        <v>6.4304888001913793E-2</v>
      </c>
    </row>
    <row r="44" spans="2:20" x14ac:dyDescent="0.35">
      <c r="B44" s="14">
        <v>36</v>
      </c>
      <c r="D44" s="5">
        <f>'2. Strategy Calcs'!O44</f>
        <v>0.93057302338549752</v>
      </c>
      <c r="E44" s="6">
        <f>'2. Strategy Calcs'!T44</f>
        <v>6.942697661450252E-2</v>
      </c>
      <c r="F44" s="50">
        <f>'2. Strategy Calcs'!R44</f>
        <v>50.053735669357195</v>
      </c>
      <c r="G44" s="51">
        <f>F44*'Time Discounting'!C41</f>
        <v>17.270161801144695</v>
      </c>
      <c r="H44" s="52">
        <f t="shared" si="12"/>
        <v>349.96949341848676</v>
      </c>
      <c r="I44" s="5">
        <f>'2. Strategy Calcs'!S44</f>
        <v>0.93057302338549752</v>
      </c>
      <c r="J44">
        <f>I44*'Time Discounting'!D41</f>
        <v>0.32107786695103108</v>
      </c>
      <c r="K44" s="6">
        <f t="shared" si="13"/>
        <v>21.921889095901104</v>
      </c>
      <c r="M44" s="14">
        <f t="shared" si="8"/>
        <v>1</v>
      </c>
      <c r="O44" s="5">
        <f t="shared" si="14"/>
        <v>0.93057302338549752</v>
      </c>
      <c r="P44">
        <f t="shared" si="9"/>
        <v>0.92511698069208603</v>
      </c>
      <c r="Q44">
        <f t="shared" si="10"/>
        <v>5.45604269341151E-3</v>
      </c>
      <c r="R44" s="63">
        <f t="shared" si="11"/>
        <v>50.053735669357195</v>
      </c>
      <c r="S44" s="14">
        <f t="shared" si="15"/>
        <v>0.93057302338549752</v>
      </c>
      <c r="T44" s="14">
        <f>0 + '2. Strategy Calcs'!Q43 + T43</f>
        <v>6.942697661450252E-2</v>
      </c>
    </row>
    <row r="45" spans="2:20" x14ac:dyDescent="0.35">
      <c r="B45" s="14">
        <v>37</v>
      </c>
      <c r="D45" s="5">
        <f>'2. Strategy Calcs'!O45</f>
        <v>0.92511698069208603</v>
      </c>
      <c r="E45" s="6">
        <f>'2. Strategy Calcs'!T45</f>
        <v>7.4883019307914023E-2</v>
      </c>
      <c r="F45" s="50">
        <f>'2. Strategy Calcs'!R45</f>
        <v>53.25352435299996</v>
      </c>
      <c r="G45" s="51">
        <f>F45*'Time Discounting'!C42</f>
        <v>17.83902199061253</v>
      </c>
      <c r="H45" s="52">
        <f t="shared" si="12"/>
        <v>367.8085154090993</v>
      </c>
      <c r="I45" s="5">
        <f>'2. Strategy Calcs'!S45</f>
        <v>0.92511698069208603</v>
      </c>
      <c r="J45">
        <f>I45*'Time Discounting'!D42</f>
        <v>0.30989840321292283</v>
      </c>
      <c r="K45" s="6">
        <f t="shared" si="13"/>
        <v>22.231787499114027</v>
      </c>
      <c r="M45" s="14">
        <f t="shared" si="8"/>
        <v>1</v>
      </c>
      <c r="O45" s="5">
        <f t="shared" si="14"/>
        <v>0.92511698069208603</v>
      </c>
      <c r="P45">
        <f t="shared" si="9"/>
        <v>0.91931214917333748</v>
      </c>
      <c r="Q45">
        <f t="shared" si="10"/>
        <v>5.8048315187486333E-3</v>
      </c>
      <c r="R45" s="63">
        <f t="shared" si="11"/>
        <v>53.25352435299996</v>
      </c>
      <c r="S45" s="14">
        <f t="shared" si="15"/>
        <v>0.92511698069208603</v>
      </c>
      <c r="T45" s="14">
        <f>0 + '2. Strategy Calcs'!Q44 + T44</f>
        <v>7.4883019307914023E-2</v>
      </c>
    </row>
    <row r="46" spans="2:20" x14ac:dyDescent="0.35">
      <c r="B46" s="14">
        <v>38</v>
      </c>
      <c r="D46" s="5">
        <f>'2. Strategy Calcs'!O46</f>
        <v>0.91931214917333748</v>
      </c>
      <c r="E46" s="6">
        <f>'2. Strategy Calcs'!T46</f>
        <v>8.068785082666266E-2</v>
      </c>
      <c r="F46" s="50">
        <f>'2. Strategy Calcs'!R46</f>
        <v>56.723004578831002</v>
      </c>
      <c r="G46" s="51">
        <f>F46*'Time Discounting'!C43</f>
        <v>18.447804530432286</v>
      </c>
      <c r="H46" s="52">
        <f t="shared" si="12"/>
        <v>386.25631993953158</v>
      </c>
      <c r="I46" s="5">
        <f>'2. Strategy Calcs'!S46</f>
        <v>0.91931214917333748</v>
      </c>
      <c r="J46">
        <f>I46*'Time Discounting'!D43</f>
        <v>0.29898435310901245</v>
      </c>
      <c r="K46" s="6">
        <f t="shared" si="13"/>
        <v>22.53077185222304</v>
      </c>
      <c r="M46" s="14">
        <f t="shared" si="8"/>
        <v>1.0000000000000002</v>
      </c>
      <c r="O46" s="5">
        <f t="shared" si="14"/>
        <v>0.91931214917333748</v>
      </c>
      <c r="P46">
        <f t="shared" si="9"/>
        <v>0.91312913145164232</v>
      </c>
      <c r="Q46">
        <f t="shared" si="10"/>
        <v>6.1830177216951167E-3</v>
      </c>
      <c r="R46" s="63">
        <f t="shared" si="11"/>
        <v>56.723004578831002</v>
      </c>
      <c r="S46" s="14">
        <f t="shared" si="15"/>
        <v>0.91931214917333748</v>
      </c>
      <c r="T46" s="14">
        <f>0 + '2. Strategy Calcs'!Q45 + T45</f>
        <v>8.068785082666266E-2</v>
      </c>
    </row>
    <row r="47" spans="2:20" x14ac:dyDescent="0.35">
      <c r="B47" s="14">
        <v>39</v>
      </c>
      <c r="D47" s="5">
        <f>'2. Strategy Calcs'!O47</f>
        <v>0.91312913145164232</v>
      </c>
      <c r="E47" s="6">
        <f>'2. Strategy Calcs'!T47</f>
        <v>8.687086854835778E-2</v>
      </c>
      <c r="F47" s="50">
        <f>'2. Strategy Calcs'!R47</f>
        <v>60.484789940983418</v>
      </c>
      <c r="G47" s="51">
        <f>F47*'Time Discounting'!C44</f>
        <v>19.098286902750459</v>
      </c>
      <c r="H47" s="52">
        <f t="shared" si="12"/>
        <v>405.35460684228201</v>
      </c>
      <c r="I47" s="5">
        <f>'2. Strategy Calcs'!S47</f>
        <v>0.91312913145164232</v>
      </c>
      <c r="J47">
        <f>I47*'Time Discounting'!D44</f>
        <v>0.28832376120903597</v>
      </c>
      <c r="K47" s="6">
        <f t="shared" si="13"/>
        <v>22.819095613432076</v>
      </c>
      <c r="M47" s="14">
        <f t="shared" si="8"/>
        <v>1</v>
      </c>
      <c r="O47" s="5">
        <f t="shared" si="14"/>
        <v>0.91312913145164232</v>
      </c>
      <c r="P47">
        <f t="shared" si="9"/>
        <v>0.90653606518382202</v>
      </c>
      <c r="Q47">
        <f t="shared" si="10"/>
        <v>6.5930662678202988E-3</v>
      </c>
      <c r="R47" s="63">
        <f t="shared" si="11"/>
        <v>60.484789940983418</v>
      </c>
      <c r="S47" s="14">
        <f t="shared" si="15"/>
        <v>0.91312913145164232</v>
      </c>
      <c r="T47" s="14">
        <f>0 + '2. Strategy Calcs'!Q46 + T46</f>
        <v>8.687086854835778E-2</v>
      </c>
    </row>
    <row r="48" spans="2:20" x14ac:dyDescent="0.35">
      <c r="B48" s="14">
        <v>40</v>
      </c>
      <c r="D48" s="5">
        <f>'2. Strategy Calcs'!O48</f>
        <v>0.90653606518382202</v>
      </c>
      <c r="E48" s="6">
        <f>'2. Strategy Calcs'!T48</f>
        <v>9.3463934816178082E-2</v>
      </c>
      <c r="F48" s="50">
        <f>'2. Strategy Calcs'!R48</f>
        <v>64.640477072366906</v>
      </c>
      <c r="G48" s="51">
        <f>F48*'Time Discounting'!C45</f>
        <v>19.815980437416496</v>
      </c>
      <c r="H48" s="52">
        <f t="shared" si="12"/>
        <v>425.17058727969851</v>
      </c>
      <c r="I48" s="5">
        <f>'2. Strategy Calcs'!S48</f>
        <v>0.90653606518382202</v>
      </c>
      <c r="J48">
        <f>I48*'Time Discounting'!D45</f>
        <v>0.27790483219027029</v>
      </c>
      <c r="K48" s="6">
        <f t="shared" si="13"/>
        <v>23.097000445622346</v>
      </c>
      <c r="M48" s="14">
        <f t="shared" si="8"/>
        <v>1</v>
      </c>
      <c r="O48" s="5">
        <f t="shared" si="14"/>
        <v>0.90653606518382202</v>
      </c>
      <c r="P48">
        <f t="shared" si="9"/>
        <v>0.89949001361718084</v>
      </c>
      <c r="Q48">
        <f t="shared" si="10"/>
        <v>7.0460515666412584E-3</v>
      </c>
      <c r="R48" s="63">
        <f t="shared" si="11"/>
        <v>64.640477072366906</v>
      </c>
      <c r="S48" s="14">
        <f t="shared" si="15"/>
        <v>0.90653606518382202</v>
      </c>
      <c r="T48" s="14">
        <f>0 + '2. Strategy Calcs'!Q47 + T47</f>
        <v>9.3463934816178082E-2</v>
      </c>
    </row>
    <row r="49" spans="2:20" x14ac:dyDescent="0.35">
      <c r="B49" s="14">
        <v>41</v>
      </c>
      <c r="D49" s="5">
        <f>'2. Strategy Calcs'!O49</f>
        <v>0.89949001361718084</v>
      </c>
      <c r="E49" s="6">
        <f>'2. Strategy Calcs'!T49</f>
        <v>0.10050998638281934</v>
      </c>
      <c r="F49" s="50">
        <f>'2. Strategy Calcs'!R49</f>
        <v>69.226193690266101</v>
      </c>
      <c r="G49" s="51">
        <f>F49*'Time Discounting'!C46</f>
        <v>20.603653627653998</v>
      </c>
      <c r="H49" s="52">
        <f t="shared" si="12"/>
        <v>445.77424090735252</v>
      </c>
      <c r="I49" s="5">
        <f>'2. Strategy Calcs'!S49</f>
        <v>0.89949001361718084</v>
      </c>
      <c r="J49">
        <f>I49*'Time Discounting'!D46</f>
        <v>0.26771341444861307</v>
      </c>
      <c r="K49" s="6">
        <f t="shared" si="13"/>
        <v>23.36471386007096</v>
      </c>
      <c r="M49" s="14">
        <f t="shared" si="8"/>
        <v>1.0000000000000002</v>
      </c>
      <c r="O49" s="5">
        <f t="shared" si="14"/>
        <v>0.89949001361718084</v>
      </c>
      <c r="P49">
        <f t="shared" si="9"/>
        <v>0.89194410194394491</v>
      </c>
      <c r="Q49">
        <f t="shared" si="10"/>
        <v>7.5459116732358947E-3</v>
      </c>
      <c r="R49" s="63">
        <f t="shared" si="11"/>
        <v>69.226193690266101</v>
      </c>
      <c r="S49" s="14">
        <f t="shared" si="15"/>
        <v>0.89949001361718084</v>
      </c>
      <c r="T49" s="14">
        <f>0 + '2. Strategy Calcs'!Q48 + T48</f>
        <v>0.10050998638281934</v>
      </c>
    </row>
    <row r="50" spans="2:20" x14ac:dyDescent="0.35">
      <c r="B50" s="14">
        <v>42</v>
      </c>
      <c r="D50" s="5">
        <f>'2. Strategy Calcs'!O50</f>
        <v>0.89194410194394491</v>
      </c>
      <c r="E50" s="6">
        <f>'2. Strategy Calcs'!T50</f>
        <v>0.10805589805605524</v>
      </c>
      <c r="F50" s="50">
        <f>'2. Strategy Calcs'!R50</f>
        <v>74.303781953517159</v>
      </c>
      <c r="G50" s="51">
        <f>F50*'Time Discounting'!C47</f>
        <v>21.470763175809239</v>
      </c>
      <c r="H50" s="52">
        <f t="shared" si="12"/>
        <v>467.24500408316175</v>
      </c>
      <c r="I50" s="5">
        <f>'2. Strategy Calcs'!S50</f>
        <v>0.89194410194394491</v>
      </c>
      <c r="J50">
        <f>I50*'Time Discounting'!D47</f>
        <v>0.25773547557617688</v>
      </c>
      <c r="K50" s="6">
        <f t="shared" si="13"/>
        <v>23.622449335647136</v>
      </c>
      <c r="M50" s="14">
        <f t="shared" si="8"/>
        <v>1.0000000000000002</v>
      </c>
      <c r="O50" s="5">
        <f t="shared" si="14"/>
        <v>0.89194410194394491</v>
      </c>
      <c r="P50">
        <f t="shared" si="9"/>
        <v>0.88384471433183276</v>
      </c>
      <c r="Q50">
        <f t="shared" si="10"/>
        <v>8.0993876121121817E-3</v>
      </c>
      <c r="R50" s="63">
        <f t="shared" si="11"/>
        <v>74.303781953517159</v>
      </c>
      <c r="S50" s="14">
        <f t="shared" si="15"/>
        <v>0.89194410194394491</v>
      </c>
      <c r="T50" s="14">
        <f>0 + '2. Strategy Calcs'!Q49 + T49</f>
        <v>0.10805589805605524</v>
      </c>
    </row>
    <row r="51" spans="2:20" x14ac:dyDescent="0.35">
      <c r="B51" s="14">
        <v>43</v>
      </c>
      <c r="D51" s="5">
        <f>'2. Strategy Calcs'!O51</f>
        <v>0.88384471433183276</v>
      </c>
      <c r="E51" s="6">
        <f>'2. Strategy Calcs'!T51</f>
        <v>0.11615528566816742</v>
      </c>
      <c r="F51" s="50">
        <f>'2. Strategy Calcs'!R51</f>
        <v>79.781706432471907</v>
      </c>
      <c r="G51" s="51">
        <f>F51*'Time Discounting'!C48</f>
        <v>22.382194157810588</v>
      </c>
      <c r="H51" s="52">
        <f t="shared" si="12"/>
        <v>489.62719824097235</v>
      </c>
      <c r="I51" s="5">
        <f>'2. Strategy Calcs'!S51</f>
        <v>0.88384471433183276</v>
      </c>
      <c r="J51">
        <f>I51*'Time Discounting'!D48</f>
        <v>0.24795639108413578</v>
      </c>
      <c r="K51" s="6">
        <f t="shared" si="13"/>
        <v>23.870405726731271</v>
      </c>
      <c r="M51" s="14">
        <f t="shared" si="8"/>
        <v>1.0000000000000002</v>
      </c>
      <c r="O51" s="5">
        <f t="shared" si="14"/>
        <v>0.88384471433183276</v>
      </c>
      <c r="P51">
        <f t="shared" si="9"/>
        <v>0.87514821264963616</v>
      </c>
      <c r="Q51">
        <f t="shared" si="10"/>
        <v>8.6965016821966331E-3</v>
      </c>
      <c r="R51" s="63">
        <f t="shared" si="11"/>
        <v>79.781706432471907</v>
      </c>
      <c r="S51" s="14">
        <f t="shared" si="15"/>
        <v>0.88384471433183276</v>
      </c>
      <c r="T51" s="14">
        <f>0 + '2. Strategy Calcs'!Q50 + T50</f>
        <v>0.11615528566816742</v>
      </c>
    </row>
    <row r="52" spans="2:20" x14ac:dyDescent="0.35">
      <c r="B52" s="14">
        <v>44</v>
      </c>
      <c r="D52" s="5">
        <f>'2. Strategy Calcs'!O52</f>
        <v>0.87514821264963616</v>
      </c>
      <c r="E52" s="6">
        <f>'2. Strategy Calcs'!T52</f>
        <v>0.12485178735036405</v>
      </c>
      <c r="F52" s="50">
        <f>'2. Strategy Calcs'!R52</f>
        <v>85.563302186159476</v>
      </c>
      <c r="G52" s="51">
        <f>F52*'Time Discounting'!C49</f>
        <v>23.305029131103481</v>
      </c>
      <c r="H52" s="52">
        <f t="shared" si="12"/>
        <v>512.93222737207589</v>
      </c>
      <c r="I52" s="5">
        <f>'2. Strategy Calcs'!S52</f>
        <v>0.87514821264963616</v>
      </c>
      <c r="J52">
        <f>I52*'Time Discounting'!D49</f>
        <v>0.23836567861136174</v>
      </c>
      <c r="K52" s="6">
        <f t="shared" si="13"/>
        <v>24.108771405342633</v>
      </c>
      <c r="M52" s="14">
        <f t="shared" si="8"/>
        <v>1.0000000000000002</v>
      </c>
      <c r="O52" s="5">
        <f t="shared" si="14"/>
        <v>0.87514821264963616</v>
      </c>
      <c r="P52">
        <f t="shared" si="9"/>
        <v>0.86582149560296517</v>
      </c>
      <c r="Q52">
        <f t="shared" si="10"/>
        <v>9.3267170466709692E-3</v>
      </c>
      <c r="R52" s="63">
        <f t="shared" si="11"/>
        <v>85.563302186159476</v>
      </c>
      <c r="S52" s="14">
        <f t="shared" si="15"/>
        <v>0.87514821264963616</v>
      </c>
      <c r="T52" s="14">
        <f>0 + '2. Strategy Calcs'!Q51 + T51</f>
        <v>0.12485178735036405</v>
      </c>
    </row>
    <row r="53" spans="2:20" x14ac:dyDescent="0.35">
      <c r="B53" s="14">
        <v>45</v>
      </c>
      <c r="D53" s="5">
        <f>'2. Strategy Calcs'!O53</f>
        <v>0.86582149560296517</v>
      </c>
      <c r="E53" s="6">
        <f>'2. Strategy Calcs'!T53</f>
        <v>0.13417850439703502</v>
      </c>
      <c r="F53" s="50">
        <f>'2. Strategy Calcs'!R53</f>
        <v>91.611919966670641</v>
      </c>
      <c r="G53" s="51">
        <f>F53*'Time Discounting'!C50</f>
        <v>24.225730036413864</v>
      </c>
      <c r="H53" s="52">
        <f t="shared" si="12"/>
        <v>537.15795740848978</v>
      </c>
      <c r="I53" s="5">
        <f>'2. Strategy Calcs'!S53</f>
        <v>0.86582149560296517</v>
      </c>
      <c r="J53">
        <f>I53*'Time Discounting'!D50</f>
        <v>0.22895664472300664</v>
      </c>
      <c r="K53" s="6">
        <f t="shared" si="13"/>
        <v>24.337728050065639</v>
      </c>
      <c r="M53" s="14">
        <f t="shared" si="8"/>
        <v>1.0000000000000002</v>
      </c>
      <c r="O53" s="5">
        <f t="shared" si="14"/>
        <v>0.86582149560296517</v>
      </c>
      <c r="P53">
        <f t="shared" si="9"/>
        <v>0.85583545680127882</v>
      </c>
      <c r="Q53">
        <f t="shared" si="10"/>
        <v>9.9860388016863571E-3</v>
      </c>
      <c r="R53" s="63">
        <f t="shared" si="11"/>
        <v>91.611919966670641</v>
      </c>
      <c r="S53" s="14">
        <f t="shared" si="15"/>
        <v>0.86582149560296517</v>
      </c>
      <c r="T53" s="14">
        <f>0 + '2. Strategy Calcs'!Q52 + T52</f>
        <v>0.13417850439703502</v>
      </c>
    </row>
    <row r="54" spans="2:20" x14ac:dyDescent="0.35">
      <c r="B54" s="14">
        <v>46</v>
      </c>
      <c r="D54" s="5">
        <f>'2. Strategy Calcs'!O54</f>
        <v>0.85583545680127882</v>
      </c>
      <c r="E54" s="6">
        <f>'2. Strategy Calcs'!T54</f>
        <v>0.14416454319872138</v>
      </c>
      <c r="F54" s="50">
        <f>'2. Strategy Calcs'!R54</f>
        <v>98.075408672152676</v>
      </c>
      <c r="G54" s="51">
        <f>F54*'Time Discounting'!C51</f>
        <v>25.179539897484663</v>
      </c>
      <c r="H54" s="52">
        <f t="shared" si="12"/>
        <v>562.33749730597447</v>
      </c>
      <c r="I54" s="5">
        <f>'2. Strategy Calcs'!S54</f>
        <v>0.85583545680127882</v>
      </c>
      <c r="J54">
        <f>I54*'Time Discounting'!D51</f>
        <v>0.21972422365575667</v>
      </c>
      <c r="K54" s="6">
        <f t="shared" si="13"/>
        <v>24.557452273721395</v>
      </c>
      <c r="M54" s="14">
        <f t="shared" si="8"/>
        <v>1.0000000000000002</v>
      </c>
      <c r="O54" s="5">
        <f t="shared" si="14"/>
        <v>0.85583545680127882</v>
      </c>
      <c r="P54">
        <f t="shared" si="9"/>
        <v>0.8451448737761913</v>
      </c>
      <c r="Q54">
        <f t="shared" si="10"/>
        <v>1.0690583025087495E-2</v>
      </c>
      <c r="R54" s="63">
        <f t="shared" si="11"/>
        <v>98.075408672152676</v>
      </c>
      <c r="S54" s="14">
        <f t="shared" si="15"/>
        <v>0.85583545680127882</v>
      </c>
      <c r="T54" s="14">
        <f>0 + '2. Strategy Calcs'!Q53 + T53</f>
        <v>0.14416454319872138</v>
      </c>
    </row>
    <row r="55" spans="2:20" x14ac:dyDescent="0.35">
      <c r="B55" s="14">
        <v>47</v>
      </c>
      <c r="D55" s="5">
        <f>'2. Strategy Calcs'!O55</f>
        <v>0.8451448737761913</v>
      </c>
      <c r="E55" s="6">
        <f>'2. Strategy Calcs'!T55</f>
        <v>0.15485512622380887</v>
      </c>
      <c r="F55" s="50">
        <f>'2. Strategy Calcs'!R55</f>
        <v>105.44180669997388</v>
      </c>
      <c r="G55" s="51">
        <f>F55*'Time Discounting'!C52</f>
        <v>26.282294515023175</v>
      </c>
      <c r="H55" s="52">
        <f t="shared" si="12"/>
        <v>588.61979182099765</v>
      </c>
      <c r="I55" s="5">
        <f>'2. Strategy Calcs'!S55</f>
        <v>0.8451448737761913</v>
      </c>
      <c r="J55">
        <f>I55*'Time Discounting'!D52</f>
        <v>0.21065976746444964</v>
      </c>
      <c r="K55" s="6">
        <f t="shared" si="13"/>
        <v>24.768112041185844</v>
      </c>
      <c r="M55" s="14">
        <f t="shared" si="8"/>
        <v>1.0000000000000002</v>
      </c>
      <c r="O55" s="5">
        <f t="shared" si="14"/>
        <v>0.8451448737761913</v>
      </c>
      <c r="P55">
        <f t="shared" si="9"/>
        <v>0.83365132606527204</v>
      </c>
      <c r="Q55">
        <f t="shared" si="10"/>
        <v>1.1493547710919325E-2</v>
      </c>
      <c r="R55" s="63">
        <f t="shared" si="11"/>
        <v>105.44180669997388</v>
      </c>
      <c r="S55" s="14">
        <f t="shared" si="15"/>
        <v>0.8451448737761913</v>
      </c>
      <c r="T55" s="14">
        <f>0 + '2. Strategy Calcs'!Q54 + T54</f>
        <v>0.15485512622380887</v>
      </c>
    </row>
    <row r="56" spans="2:20" x14ac:dyDescent="0.35">
      <c r="B56" s="14">
        <v>48</v>
      </c>
      <c r="D56" s="5">
        <f>'2. Strategy Calcs'!O56</f>
        <v>0.83365132606527204</v>
      </c>
      <c r="E56" s="6">
        <f>'2. Strategy Calcs'!T56</f>
        <v>0.16634867393472819</v>
      </c>
      <c r="F56" s="50">
        <f>'2. Strategy Calcs'!R56</f>
        <v>112.59493235526199</v>
      </c>
      <c r="G56" s="51">
        <f>F56*'Time Discounting'!C53</f>
        <v>27.247838622901533</v>
      </c>
      <c r="H56" s="52">
        <f t="shared" si="12"/>
        <v>615.8676304438992</v>
      </c>
      <c r="I56" s="5">
        <f>'2. Strategy Calcs'!S56</f>
        <v>0.83365132606527204</v>
      </c>
      <c r="J56">
        <f>I56*'Time Discounting'!D53</f>
        <v>0.20174262131729795</v>
      </c>
      <c r="K56" s="6">
        <f t="shared" si="13"/>
        <v>24.969854662503142</v>
      </c>
      <c r="M56" s="14">
        <f t="shared" si="8"/>
        <v>1.0000000000000002</v>
      </c>
      <c r="O56" s="5">
        <f t="shared" si="14"/>
        <v>0.83365132606527204</v>
      </c>
      <c r="P56">
        <f t="shared" si="9"/>
        <v>0.82137806114754131</v>
      </c>
      <c r="Q56">
        <f t="shared" si="10"/>
        <v>1.227326491773076E-2</v>
      </c>
      <c r="R56" s="63">
        <f t="shared" si="11"/>
        <v>112.59493235526199</v>
      </c>
      <c r="S56" s="14">
        <f t="shared" si="15"/>
        <v>0.83365132606527204</v>
      </c>
      <c r="T56" s="14">
        <f>0 + '2. Strategy Calcs'!Q55 + T55</f>
        <v>0.16634867393472819</v>
      </c>
    </row>
    <row r="57" spans="2:20" x14ac:dyDescent="0.35">
      <c r="B57" s="14">
        <v>49</v>
      </c>
      <c r="D57" s="5">
        <f>'2. Strategy Calcs'!O57</f>
        <v>0.82137806114754131</v>
      </c>
      <c r="E57" s="6">
        <f>'2. Strategy Calcs'!T57</f>
        <v>0.17862193885245894</v>
      </c>
      <c r="F57" s="50">
        <f>'2. Strategy Calcs'!R57</f>
        <v>120.2547020473624</v>
      </c>
      <c r="G57" s="51">
        <f>F57*'Time Discounting'!C54</f>
        <v>28.253877382461109</v>
      </c>
      <c r="H57" s="52">
        <f t="shared" si="12"/>
        <v>644.12150782636036</v>
      </c>
      <c r="I57" s="5">
        <f>'2. Strategy Calcs'!S57</f>
        <v>0.82137806114754131</v>
      </c>
      <c r="J57">
        <f>I57*'Time Discounting'!D54</f>
        <v>0.19298301545968768</v>
      </c>
      <c r="K57" s="6">
        <f t="shared" si="13"/>
        <v>25.16283767796283</v>
      </c>
      <c r="M57" s="14">
        <f t="shared" si="8"/>
        <v>1.0000000000000002</v>
      </c>
      <c r="O57" s="5">
        <f t="shared" si="14"/>
        <v>0.82137806114754131</v>
      </c>
      <c r="P57">
        <f t="shared" si="9"/>
        <v>0.80826985294529996</v>
      </c>
      <c r="Q57">
        <f t="shared" si="10"/>
        <v>1.3108208202241378E-2</v>
      </c>
      <c r="R57" s="63">
        <f t="shared" si="11"/>
        <v>120.2547020473624</v>
      </c>
      <c r="S57" s="14">
        <f t="shared" si="15"/>
        <v>0.82137806114754131</v>
      </c>
      <c r="T57" s="14">
        <f>0 + '2. Strategy Calcs'!Q56 + T56</f>
        <v>0.17862193885245894</v>
      </c>
    </row>
    <row r="58" spans="2:20" x14ac:dyDescent="0.35">
      <c r="B58" s="14">
        <v>50</v>
      </c>
      <c r="D58" s="5">
        <f>'2. Strategy Calcs'!O58</f>
        <v>0.80826985294529996</v>
      </c>
      <c r="E58" s="6">
        <f>'2. Strategy Calcs'!T58</f>
        <v>0.19173014705470032</v>
      </c>
      <c r="F58" s="50">
        <f>'2. Strategy Calcs'!R58</f>
        <v>128.19094769658497</v>
      </c>
      <c r="G58" s="51">
        <f>F58*'Time Discounting'!C55</f>
        <v>29.241262734549085</v>
      </c>
      <c r="H58" s="52">
        <f t="shared" si="12"/>
        <v>673.36277056090944</v>
      </c>
      <c r="I58" s="5">
        <f>'2. Strategy Calcs'!S58</f>
        <v>0.80826985294529996</v>
      </c>
      <c r="J58">
        <f>I58*'Time Discounting'!D55</f>
        <v>0.18437207583744625</v>
      </c>
      <c r="K58" s="6">
        <f t="shared" si="13"/>
        <v>25.347209753800275</v>
      </c>
      <c r="M58" s="14">
        <f t="shared" si="8"/>
        <v>1.0000000000000002</v>
      </c>
      <c r="O58" s="5">
        <f t="shared" si="14"/>
        <v>0.80826985294529996</v>
      </c>
      <c r="P58">
        <f t="shared" si="9"/>
        <v>0.79429656455456688</v>
      </c>
      <c r="Q58">
        <f t="shared" si="10"/>
        <v>1.3973288390733047E-2</v>
      </c>
      <c r="R58" s="63">
        <f t="shared" si="11"/>
        <v>128.19094769658497</v>
      </c>
      <c r="S58" s="14">
        <f t="shared" si="15"/>
        <v>0.80826985294529996</v>
      </c>
      <c r="T58" s="14">
        <f>0 + '2. Strategy Calcs'!Q57 + T57</f>
        <v>0.19173014705470032</v>
      </c>
    </row>
    <row r="59" spans="2:20" x14ac:dyDescent="0.35">
      <c r="B59" s="14">
        <v>51</v>
      </c>
      <c r="D59" s="5">
        <f>'2. Strategy Calcs'!O59</f>
        <v>0.79429656455456688</v>
      </c>
      <c r="E59" s="6">
        <f>'2. Strategy Calcs'!T59</f>
        <v>0.20570343544543337</v>
      </c>
      <c r="F59" s="50">
        <f>'2. Strategy Calcs'!R59</f>
        <v>136.66755825686343</v>
      </c>
      <c r="G59" s="51">
        <f>F59*'Time Discounting'!C56</f>
        <v>30.266832636863299</v>
      </c>
      <c r="H59" s="52">
        <f t="shared" si="12"/>
        <v>703.62960319777278</v>
      </c>
      <c r="I59" s="5">
        <f>'2. Strategy Calcs'!S59</f>
        <v>0.79429656455456688</v>
      </c>
      <c r="J59">
        <f>I59*'Time Discounting'!D56</f>
        <v>0.17590744643453987</v>
      </c>
      <c r="K59" s="6">
        <f t="shared" si="13"/>
        <v>25.523117200234815</v>
      </c>
      <c r="M59" s="14">
        <f t="shared" si="8"/>
        <v>1.0000000000000002</v>
      </c>
      <c r="O59" s="5">
        <f t="shared" si="14"/>
        <v>0.79429656455456688</v>
      </c>
      <c r="P59">
        <f t="shared" si="9"/>
        <v>0.77939929419737664</v>
      </c>
      <c r="Q59">
        <f t="shared" si="10"/>
        <v>1.4897270357190259E-2</v>
      </c>
      <c r="R59" s="63">
        <f t="shared" si="11"/>
        <v>136.66755825686343</v>
      </c>
      <c r="S59" s="14">
        <f t="shared" si="15"/>
        <v>0.79429656455456688</v>
      </c>
      <c r="T59" s="14">
        <f>0 + '2. Strategy Calcs'!Q58 + T58</f>
        <v>0.20570343544543337</v>
      </c>
    </row>
    <row r="60" spans="2:20" x14ac:dyDescent="0.35">
      <c r="B60" s="14">
        <v>52</v>
      </c>
      <c r="D60" s="5">
        <f>'2. Strategy Calcs'!O60</f>
        <v>0.77939929419737664</v>
      </c>
      <c r="E60" s="6">
        <f>'2. Strategy Calcs'!T60</f>
        <v>0.22060070580262364</v>
      </c>
      <c r="F60" s="50">
        <f>'2. Strategy Calcs'!R60</f>
        <v>146.03587116832054</v>
      </c>
      <c r="G60" s="51">
        <f>F60*'Time Discounting'!C57</f>
        <v>31.399581597472267</v>
      </c>
      <c r="H60" s="52">
        <f t="shared" si="12"/>
        <v>735.0291847952451</v>
      </c>
      <c r="I60" s="5">
        <f>'2. Strategy Calcs'!S60</f>
        <v>0.77939929419737664</v>
      </c>
      <c r="J60">
        <f>I60*'Time Discounting'!D57</f>
        <v>0.16758082476157879</v>
      </c>
      <c r="K60" s="6">
        <f t="shared" si="13"/>
        <v>25.690698024996394</v>
      </c>
      <c r="M60" s="14">
        <f t="shared" si="8"/>
        <v>1.0000000000000002</v>
      </c>
      <c r="O60" s="5">
        <f t="shared" si="14"/>
        <v>0.77939929419737664</v>
      </c>
      <c r="P60">
        <f t="shared" si="9"/>
        <v>0.76348084301268937</v>
      </c>
      <c r="Q60">
        <f t="shared" si="10"/>
        <v>1.5918451184687217E-2</v>
      </c>
      <c r="R60" s="63">
        <f t="shared" si="11"/>
        <v>146.03587116832054</v>
      </c>
      <c r="S60" s="14">
        <f t="shared" si="15"/>
        <v>0.77939929419737664</v>
      </c>
      <c r="T60" s="14">
        <f>0 + '2. Strategy Calcs'!Q59 + T59</f>
        <v>0.22060070580262364</v>
      </c>
    </row>
    <row r="61" spans="2:20" x14ac:dyDescent="0.35">
      <c r="B61" s="14">
        <v>53</v>
      </c>
      <c r="D61" s="5">
        <f>'2. Strategy Calcs'!O61</f>
        <v>0.76348084301268937</v>
      </c>
      <c r="E61" s="6">
        <f>'2. Strategy Calcs'!T61</f>
        <v>0.23651915698731085</v>
      </c>
      <c r="F61" s="50">
        <f>'2. Strategy Calcs'!R61</f>
        <v>156.787717868952</v>
      </c>
      <c r="G61" s="51">
        <f>F61*'Time Discounting'!C58</f>
        <v>32.729481810174434</v>
      </c>
      <c r="H61" s="52">
        <f t="shared" si="12"/>
        <v>767.75866660541953</v>
      </c>
      <c r="I61" s="5">
        <f>'2. Strategy Calcs'!S61</f>
        <v>0.76348084301268937</v>
      </c>
      <c r="J61">
        <f>I61*'Time Discounting'!D58</f>
        <v>0.15937684854043527</v>
      </c>
      <c r="K61" s="6">
        <f t="shared" si="13"/>
        <v>25.85007487353683</v>
      </c>
      <c r="M61" s="14">
        <f t="shared" si="8"/>
        <v>1.0000000000000002</v>
      </c>
      <c r="O61" s="5">
        <f t="shared" si="14"/>
        <v>0.76348084301268937</v>
      </c>
      <c r="P61">
        <f t="shared" si="9"/>
        <v>0.74639040068993456</v>
      </c>
      <c r="Q61">
        <f t="shared" si="10"/>
        <v>1.709044232275474E-2</v>
      </c>
      <c r="R61" s="63">
        <f t="shared" si="11"/>
        <v>156.787717868952</v>
      </c>
      <c r="S61" s="14">
        <f t="shared" si="15"/>
        <v>0.76348084301268937</v>
      </c>
      <c r="T61" s="14">
        <f>0 + '2. Strategy Calcs'!Q60 + T60</f>
        <v>0.23651915698731085</v>
      </c>
    </row>
    <row r="62" spans="2:20" x14ac:dyDescent="0.35">
      <c r="B62" s="14">
        <v>54</v>
      </c>
      <c r="D62" s="5">
        <f>'2. Strategy Calcs'!O62</f>
        <v>0.74639040068993456</v>
      </c>
      <c r="E62" s="6">
        <f>'2. Strategy Calcs'!T62</f>
        <v>0.2536095993100656</v>
      </c>
      <c r="F62" s="50">
        <f>'2. Strategy Calcs'!R62</f>
        <v>168.98320394843509</v>
      </c>
      <c r="G62" s="51">
        <f>F62*'Time Discounting'!C59</f>
        <v>34.24785736345676</v>
      </c>
      <c r="H62" s="52">
        <f t="shared" si="12"/>
        <v>802.00652396887631</v>
      </c>
      <c r="I62" s="5">
        <f>'2. Strategy Calcs'!S62</f>
        <v>0.74639040068993456</v>
      </c>
      <c r="J62">
        <f>I62*'Time Discounting'!D59</f>
        <v>0.15127108128499267</v>
      </c>
      <c r="K62" s="6">
        <f t="shared" si="13"/>
        <v>26.001345954821822</v>
      </c>
      <c r="M62" s="14">
        <f t="shared" si="8"/>
        <v>1.0000000000000002</v>
      </c>
      <c r="O62" s="5">
        <f t="shared" si="14"/>
        <v>0.74639040068993456</v>
      </c>
      <c r="P62">
        <f t="shared" si="9"/>
        <v>0.72797060518650802</v>
      </c>
      <c r="Q62">
        <f t="shared" si="10"/>
        <v>1.8419795503426543E-2</v>
      </c>
      <c r="R62" s="63">
        <f t="shared" si="11"/>
        <v>168.98320394843509</v>
      </c>
      <c r="S62" s="14">
        <f t="shared" si="15"/>
        <v>0.74639040068993456</v>
      </c>
      <c r="T62" s="14">
        <f>0 + '2. Strategy Calcs'!Q61 + T61</f>
        <v>0.2536095993100656</v>
      </c>
    </row>
    <row r="63" spans="2:20" x14ac:dyDescent="0.35">
      <c r="B63" s="14">
        <v>55</v>
      </c>
      <c r="D63" s="5">
        <f>'2. Strategy Calcs'!O63</f>
        <v>0.72797060518650802</v>
      </c>
      <c r="E63" s="6">
        <f>'2. Strategy Calcs'!T63</f>
        <v>0.27202939481349214</v>
      </c>
      <c r="F63" s="50">
        <f>'2. Strategy Calcs'!R63</f>
        <v>182.45461954995488</v>
      </c>
      <c r="G63" s="51">
        <f>F63*'Time Discounting'!C60</f>
        <v>35.901079289486844</v>
      </c>
      <c r="H63" s="52">
        <f t="shared" si="12"/>
        <v>837.90760325836311</v>
      </c>
      <c r="I63" s="5">
        <f>'2. Strategy Calcs'!S63</f>
        <v>0.72797060518650802</v>
      </c>
      <c r="J63">
        <f>I63*'Time Discounting'!D60</f>
        <v>0.14324071641310773</v>
      </c>
      <c r="K63" s="6">
        <f t="shared" si="13"/>
        <v>26.144586671234929</v>
      </c>
      <c r="M63" s="14">
        <f t="shared" si="8"/>
        <v>1.0000000000000002</v>
      </c>
      <c r="O63" s="5">
        <f t="shared" si="14"/>
        <v>0.72797060518650802</v>
      </c>
      <c r="P63">
        <f t="shared" si="9"/>
        <v>0.70808237545575203</v>
      </c>
      <c r="Q63">
        <f t="shared" si="10"/>
        <v>1.9888229730755928E-2</v>
      </c>
      <c r="R63" s="63">
        <f t="shared" si="11"/>
        <v>182.45461954995488</v>
      </c>
      <c r="S63" s="14">
        <f t="shared" si="15"/>
        <v>0.72797060518650802</v>
      </c>
      <c r="T63" s="14">
        <f>0 + '2. Strategy Calcs'!Q62 + T62</f>
        <v>0.27202939481349214</v>
      </c>
    </row>
    <row r="64" spans="2:20" x14ac:dyDescent="0.35">
      <c r="B64" s="14">
        <v>56</v>
      </c>
      <c r="D64" s="5">
        <f>'2. Strategy Calcs'!O64</f>
        <v>0.70808237545575203</v>
      </c>
      <c r="E64" s="6">
        <f>'2. Strategy Calcs'!T64</f>
        <v>0.29191762454424808</v>
      </c>
      <c r="F64" s="50">
        <f>'2. Strategy Calcs'!R64</f>
        <v>196.82136933372038</v>
      </c>
      <c r="G64" s="51">
        <f>F64*'Time Discounting'!C61</f>
        <v>37.5999844642024</v>
      </c>
      <c r="H64" s="52">
        <f t="shared" si="12"/>
        <v>875.50758772256552</v>
      </c>
      <c r="I64" s="5">
        <f>'2. Strategy Calcs'!S64</f>
        <v>0.70808237545575203</v>
      </c>
      <c r="J64">
        <f>I64*'Time Discounting'!D61</f>
        <v>0.13526928710352426</v>
      </c>
      <c r="K64" s="6">
        <f t="shared" si="13"/>
        <v>26.279855958338455</v>
      </c>
      <c r="M64" s="14">
        <f t="shared" si="8"/>
        <v>1</v>
      </c>
      <c r="O64" s="5">
        <f t="shared" si="14"/>
        <v>0.70808237545575203</v>
      </c>
      <c r="P64">
        <f t="shared" si="9"/>
        <v>0.6866281167535806</v>
      </c>
      <c r="Q64">
        <f t="shared" si="10"/>
        <v>2.1454258702171394E-2</v>
      </c>
      <c r="R64" s="63">
        <f t="shared" si="11"/>
        <v>196.82136933372038</v>
      </c>
      <c r="S64" s="14">
        <f t="shared" si="15"/>
        <v>0.70808237545575203</v>
      </c>
      <c r="T64" s="14">
        <f>0 + '2. Strategy Calcs'!Q63 + T63</f>
        <v>0.29191762454424808</v>
      </c>
    </row>
    <row r="65" spans="2:20" x14ac:dyDescent="0.35">
      <c r="B65" s="14">
        <v>57</v>
      </c>
      <c r="D65" s="5">
        <f>'2. Strategy Calcs'!O65</f>
        <v>0.6866281167535806</v>
      </c>
      <c r="E65" s="6">
        <f>'2. Strategy Calcs'!T65</f>
        <v>0.31337188324641946</v>
      </c>
      <c r="F65" s="50">
        <f>'2. Strategy Calcs'!R65</f>
        <v>211.87489402588528</v>
      </c>
      <c r="G65" s="51">
        <f>F65*'Time Discounting'!C62</f>
        <v>39.296845567421045</v>
      </c>
      <c r="H65" s="52">
        <f t="shared" si="12"/>
        <v>914.8044332899866</v>
      </c>
      <c r="I65" s="5">
        <f>'2. Strategy Calcs'!S65</f>
        <v>0.6866281167535806</v>
      </c>
      <c r="J65">
        <f>I65*'Time Discounting'!D62</f>
        <v>0.12735024218120955</v>
      </c>
      <c r="K65" s="6">
        <f t="shared" si="13"/>
        <v>26.407206200519663</v>
      </c>
      <c r="M65" s="14">
        <f t="shared" si="8"/>
        <v>1</v>
      </c>
      <c r="O65" s="5">
        <f t="shared" si="14"/>
        <v>0.6866281167535806</v>
      </c>
      <c r="P65">
        <f t="shared" si="9"/>
        <v>0.66353296806970385</v>
      </c>
      <c r="Q65">
        <f t="shared" si="10"/>
        <v>2.3095148683876746E-2</v>
      </c>
      <c r="R65" s="63">
        <f t="shared" si="11"/>
        <v>211.87489402588528</v>
      </c>
      <c r="S65" s="14">
        <f t="shared" si="15"/>
        <v>0.6866281167535806</v>
      </c>
      <c r="T65" s="14">
        <f>0 + '2. Strategy Calcs'!Q64 + T64</f>
        <v>0.31337188324641946</v>
      </c>
    </row>
    <row r="66" spans="2:20" x14ac:dyDescent="0.35">
      <c r="B66" s="14">
        <v>58</v>
      </c>
      <c r="D66" s="5">
        <f>'2. Strategy Calcs'!O66</f>
        <v>0.66353296806970385</v>
      </c>
      <c r="E66" s="6">
        <f>'2. Strategy Calcs'!T66</f>
        <v>0.3364670319302962</v>
      </c>
      <c r="F66" s="50">
        <f>'2. Strategy Calcs'!R66</f>
        <v>226.5401063029191</v>
      </c>
      <c r="G66" s="51">
        <f>F66*'Time Discounting'!C63</f>
        <v>40.793039607798633</v>
      </c>
      <c r="H66" s="52">
        <f t="shared" si="12"/>
        <v>955.59747289778522</v>
      </c>
      <c r="I66" s="5">
        <f>'2. Strategy Calcs'!S66</f>
        <v>0.66353296806970385</v>
      </c>
      <c r="J66">
        <f>I66*'Time Discounting'!D63</f>
        <v>0.11948227220902842</v>
      </c>
      <c r="K66" s="6">
        <f t="shared" si="13"/>
        <v>26.526688472728694</v>
      </c>
      <c r="M66" s="14">
        <f t="shared" si="8"/>
        <v>1</v>
      </c>
      <c r="O66" s="5">
        <f t="shared" si="14"/>
        <v>0.66353296806970385</v>
      </c>
      <c r="P66">
        <f t="shared" si="9"/>
        <v>0.63883925689650578</v>
      </c>
      <c r="Q66">
        <f t="shared" si="10"/>
        <v>2.4693711173198071E-2</v>
      </c>
      <c r="R66" s="63">
        <f t="shared" si="11"/>
        <v>226.5401063029191</v>
      </c>
      <c r="S66" s="14">
        <f t="shared" si="15"/>
        <v>0.66353296806970385</v>
      </c>
      <c r="T66" s="14">
        <f>0 + '2. Strategy Calcs'!Q65 + T65</f>
        <v>0.3364670319302962</v>
      </c>
    </row>
    <row r="67" spans="2:20" x14ac:dyDescent="0.35">
      <c r="B67" s="14">
        <v>59</v>
      </c>
      <c r="D67" s="5">
        <f>'2. Strategy Calcs'!O67</f>
        <v>0.63883925689650578</v>
      </c>
      <c r="E67" s="6">
        <f>'2. Strategy Calcs'!T67</f>
        <v>0.36116074310349428</v>
      </c>
      <c r="F67" s="50">
        <f>'2. Strategy Calcs'!R67</f>
        <v>241.22863708175601</v>
      </c>
      <c r="G67" s="51">
        <f>F67*'Time Discounting'!C64</f>
        <v>42.17281643150551</v>
      </c>
      <c r="H67" s="52">
        <f t="shared" si="12"/>
        <v>997.77028932929079</v>
      </c>
      <c r="I67" s="5">
        <f>'2. Strategy Calcs'!S67</f>
        <v>0.63883925689650578</v>
      </c>
      <c r="J67">
        <f>I67*'Time Discounting'!D64</f>
        <v>0.11168512592974109</v>
      </c>
      <c r="K67" s="6">
        <f t="shared" si="13"/>
        <v>26.638373598658436</v>
      </c>
      <c r="M67" s="14">
        <f t="shared" si="8"/>
        <v>1</v>
      </c>
      <c r="O67" s="5">
        <f t="shared" si="14"/>
        <v>0.63883925689650578</v>
      </c>
      <c r="P67">
        <f t="shared" si="9"/>
        <v>0.6125444414308685</v>
      </c>
      <c r="Q67">
        <f t="shared" si="10"/>
        <v>2.6294815465637236E-2</v>
      </c>
      <c r="R67" s="63">
        <f t="shared" si="11"/>
        <v>241.22863708175601</v>
      </c>
      <c r="S67" s="14">
        <f t="shared" si="15"/>
        <v>0.63883925689650578</v>
      </c>
      <c r="T67" s="14">
        <f>0 + '2. Strategy Calcs'!Q66 + T66</f>
        <v>0.36116074310349428</v>
      </c>
    </row>
    <row r="68" spans="2:20" x14ac:dyDescent="0.35">
      <c r="B68" s="14">
        <v>60</v>
      </c>
      <c r="D68" s="5">
        <f>'2. Strategy Calcs'!O68</f>
        <v>0.6125444414308685</v>
      </c>
      <c r="E68" s="6">
        <f>'2. Strategy Calcs'!T68</f>
        <v>0.3874555585691315</v>
      </c>
      <c r="F68" s="50">
        <f>'2. Strategy Calcs'!R68</f>
        <v>255.70556934994832</v>
      </c>
      <c r="G68" s="51">
        <f>F68*'Time Discounting'!C65</f>
        <v>43.401696420174119</v>
      </c>
      <c r="H68" s="52">
        <f t="shared" si="12"/>
        <v>1041.171985749465</v>
      </c>
      <c r="I68" s="5">
        <f>'2. Strategy Calcs'!S68</f>
        <v>0.6125444414308685</v>
      </c>
      <c r="J68">
        <f>I68*'Time Discounting'!D65</f>
        <v>0.1039690608164419</v>
      </c>
      <c r="K68" s="6">
        <f t="shared" si="13"/>
        <v>26.742342659474879</v>
      </c>
      <c r="M68" s="14">
        <f t="shared" si="8"/>
        <v>1</v>
      </c>
      <c r="O68" s="5">
        <f t="shared" si="14"/>
        <v>0.6125444414308685</v>
      </c>
      <c r="P68">
        <f t="shared" si="9"/>
        <v>0.58467158669466301</v>
      </c>
      <c r="Q68">
        <f t="shared" si="10"/>
        <v>2.7872854736205398E-2</v>
      </c>
      <c r="R68" s="63">
        <f t="shared" si="11"/>
        <v>255.70556934994832</v>
      </c>
      <c r="S68" s="14">
        <f t="shared" si="15"/>
        <v>0.6125444414308685</v>
      </c>
      <c r="T68" s="14">
        <f>0 + '2. Strategy Calcs'!Q67 + T67</f>
        <v>0.3874555585691315</v>
      </c>
    </row>
    <row r="69" spans="2:20" x14ac:dyDescent="0.35">
      <c r="B69" s="14">
        <v>61</v>
      </c>
      <c r="D69" s="5">
        <f>'2. Strategy Calcs'!O69</f>
        <v>0.58467158669466301</v>
      </c>
      <c r="E69" s="6">
        <f>'2. Strategy Calcs'!T69</f>
        <v>0.41532841330533687</v>
      </c>
      <c r="F69" s="50">
        <f>'2. Strategy Calcs'!R69</f>
        <v>269.69500543672541</v>
      </c>
      <c r="G69" s="51">
        <f>F69*'Time Discounting'!C66</f>
        <v>44.442880227932022</v>
      </c>
      <c r="H69" s="52">
        <f t="shared" si="12"/>
        <v>1085.6148659773969</v>
      </c>
      <c r="I69" s="5">
        <f>'2. Strategy Calcs'!S69</f>
        <v>0.58467158669466301</v>
      </c>
      <c r="J69">
        <f>I69*'Time Discounting'!D66</f>
        <v>9.6347684518919438E-2</v>
      </c>
      <c r="K69" s="6">
        <f t="shared" si="13"/>
        <v>26.838690343993797</v>
      </c>
      <c r="M69" s="14">
        <f t="shared" si="8"/>
        <v>0.99999999999999989</v>
      </c>
      <c r="O69" s="5">
        <f t="shared" si="14"/>
        <v>0.58467158669466301</v>
      </c>
      <c r="P69">
        <f t="shared" si="9"/>
        <v>0.55527383157838595</v>
      </c>
      <c r="Q69">
        <f t="shared" si="10"/>
        <v>2.939775511627702E-2</v>
      </c>
      <c r="R69" s="63">
        <f t="shared" si="11"/>
        <v>269.69500543672541</v>
      </c>
      <c r="S69" s="14">
        <f t="shared" si="15"/>
        <v>0.58467158669466301</v>
      </c>
      <c r="T69" s="14">
        <f>0 + '2. Strategy Calcs'!Q68 + T68</f>
        <v>0.41532841330533687</v>
      </c>
    </row>
    <row r="70" spans="2:20" x14ac:dyDescent="0.35">
      <c r="B70" s="14">
        <v>62</v>
      </c>
      <c r="D70" s="5">
        <f>'2. Strategy Calcs'!O70</f>
        <v>0.55527383157838595</v>
      </c>
      <c r="E70" s="6">
        <f>'2. Strategy Calcs'!T70</f>
        <v>0.44472616842161389</v>
      </c>
      <c r="F70" s="50">
        <f>'2. Strategy Calcs'!R70</f>
        <v>282.87743717816181</v>
      </c>
      <c r="G70" s="51">
        <f>F70*'Time Discounting'!C67</f>
        <v>45.257480920138079</v>
      </c>
      <c r="H70" s="52">
        <f t="shared" si="12"/>
        <v>1130.872346897535</v>
      </c>
      <c r="I70" s="5">
        <f>'2. Strategy Calcs'!S70</f>
        <v>0.55527383157838595</v>
      </c>
      <c r="J70">
        <f>I70*'Time Discounting'!D67</f>
        <v>8.8838102779767517E-2</v>
      </c>
      <c r="K70" s="6">
        <f t="shared" si="13"/>
        <v>26.927528446773564</v>
      </c>
      <c r="M70" s="14">
        <f t="shared" si="8"/>
        <v>0.99999999999999978</v>
      </c>
      <c r="O70" s="5">
        <f t="shared" si="14"/>
        <v>0.55527383157838595</v>
      </c>
      <c r="P70">
        <f t="shared" si="9"/>
        <v>0.52443914254653923</v>
      </c>
      <c r="Q70">
        <f t="shared" si="10"/>
        <v>3.0834689031846718E-2</v>
      </c>
      <c r="R70" s="63">
        <f t="shared" si="11"/>
        <v>282.87743717816181</v>
      </c>
      <c r="S70" s="14">
        <f t="shared" si="15"/>
        <v>0.55527383157838595</v>
      </c>
      <c r="T70" s="14">
        <f>0 + '2. Strategy Calcs'!Q69 + T69</f>
        <v>0.44472616842161389</v>
      </c>
    </row>
    <row r="71" spans="2:20" x14ac:dyDescent="0.35">
      <c r="B71" s="14">
        <v>63</v>
      </c>
      <c r="D71" s="5">
        <f>'2. Strategy Calcs'!O71</f>
        <v>0.52443914254653923</v>
      </c>
      <c r="E71" s="6">
        <f>'2. Strategy Calcs'!T71</f>
        <v>0.47556085745346061</v>
      </c>
      <c r="F71" s="50">
        <f>'2. Strategy Calcs'!R71</f>
        <v>267.16908336519617</v>
      </c>
      <c r="G71" s="51">
        <f>F71*'Time Discounting'!C68</f>
        <v>41.499326068110925</v>
      </c>
      <c r="H71" s="52">
        <f t="shared" si="12"/>
        <v>1172.371672965646</v>
      </c>
      <c r="I71" s="5">
        <f>'2. Strategy Calcs'!S71</f>
        <v>0.52443914254653923</v>
      </c>
      <c r="J71">
        <f>I71*'Time Discounting'!D68</f>
        <v>8.146103847528674E-2</v>
      </c>
      <c r="K71" s="6">
        <f t="shared" si="13"/>
        <v>27.008989485248851</v>
      </c>
      <c r="M71" s="14">
        <f t="shared" si="8"/>
        <v>0.99999999999999978</v>
      </c>
      <c r="O71" s="5">
        <f t="shared" si="14"/>
        <v>0.52443914254653923</v>
      </c>
      <c r="P71">
        <f t="shared" si="9"/>
        <v>0.49531672229744439</v>
      </c>
      <c r="Q71">
        <f t="shared" si="10"/>
        <v>2.9122420249094852E-2</v>
      </c>
      <c r="R71" s="63">
        <f t="shared" si="11"/>
        <v>267.16908336519617</v>
      </c>
      <c r="S71" s="14">
        <f t="shared" si="15"/>
        <v>0.52443914254653923</v>
      </c>
      <c r="T71" s="14">
        <f>0 + '2. Strategy Calcs'!Q70 + T70</f>
        <v>0.47556085745346061</v>
      </c>
    </row>
    <row r="72" spans="2:20" x14ac:dyDescent="0.35">
      <c r="B72" s="14">
        <v>64</v>
      </c>
      <c r="D72" s="5">
        <f>'2. Strategy Calcs'!O72</f>
        <v>0.49531672229744439</v>
      </c>
      <c r="E72" s="6">
        <f>'2. Strategy Calcs'!T72</f>
        <v>0.5046832777025555</v>
      </c>
      <c r="F72" s="50">
        <f>'2. Strategy Calcs'!R72</f>
        <v>252.33302386447679</v>
      </c>
      <c r="G72" s="51">
        <f>F72*'Time Discounting'!C69</f>
        <v>38.053246205779693</v>
      </c>
      <c r="H72" s="52">
        <f t="shared" si="12"/>
        <v>1210.4249191714257</v>
      </c>
      <c r="I72" s="5">
        <f>'2. Strategy Calcs'!S72</f>
        <v>0.49531672229744439</v>
      </c>
      <c r="J72">
        <f>I72*'Time Discounting'!D69</f>
        <v>7.4696561293331062E-2</v>
      </c>
      <c r="K72" s="6">
        <f t="shared" si="13"/>
        <v>27.08368604654218</v>
      </c>
      <c r="M72" s="14">
        <f t="shared" ref="M72:M90" si="16">SUM(D72:E72)</f>
        <v>0.99999999999999989</v>
      </c>
      <c r="O72" s="5">
        <f t="shared" si="14"/>
        <v>0.49531672229744439</v>
      </c>
      <c r="P72">
        <f t="shared" ref="P72:P89" si="17">O72*(1-(InterpolateTable(tdead,cycle+18,1)))</f>
        <v>0.46781148751823393</v>
      </c>
      <c r="Q72">
        <f t="shared" ref="Q72:Q89" si="18">O72*(InterpolateTable(tdead,cycle+18,1))</f>
        <v>2.7505234779210463E-2</v>
      </c>
      <c r="R72" s="63">
        <f t="shared" ref="R72:R89" si="19">Q72*(cDead)</f>
        <v>252.33302386447679</v>
      </c>
      <c r="S72" s="14">
        <f t="shared" si="15"/>
        <v>0.49531672229744439</v>
      </c>
      <c r="T72" s="14">
        <f>0 + '2. Strategy Calcs'!Q71 + T71</f>
        <v>0.5046832777025555</v>
      </c>
    </row>
    <row r="73" spans="2:20" x14ac:dyDescent="0.35">
      <c r="B73" s="14">
        <v>65</v>
      </c>
      <c r="D73" s="5">
        <f>'2. Strategy Calcs'!O73</f>
        <v>0.46781148751823393</v>
      </c>
      <c r="E73" s="6">
        <f>'2. Strategy Calcs'!T73</f>
        <v>0.53218851248176602</v>
      </c>
      <c r="F73" s="50">
        <f>'2. Strategy Calcs'!R73</f>
        <v>238.32081964946809</v>
      </c>
      <c r="G73" s="51">
        <f>F73*'Time Discounting'!C70</f>
        <v>34.893326807791297</v>
      </c>
      <c r="H73" s="52">
        <f t="shared" ref="H73:H90" si="20">H72 + G73</f>
        <v>1245.318245979217</v>
      </c>
      <c r="I73" s="5">
        <f>'2. Strategy Calcs'!S73</f>
        <v>0.46781148751823393</v>
      </c>
      <c r="J73">
        <f>I73*'Time Discounting'!D70</f>
        <v>6.8493802356092842E-2</v>
      </c>
      <c r="K73" s="6">
        <f t="shared" ref="K73:K90" si="21">K72 + J73</f>
        <v>27.152179848898275</v>
      </c>
      <c r="M73" s="14">
        <f t="shared" si="16"/>
        <v>1</v>
      </c>
      <c r="O73" s="5">
        <f t="shared" ref="O73:O90" si="22">0 + P72</f>
        <v>0.46781148751823393</v>
      </c>
      <c r="P73">
        <f t="shared" si="17"/>
        <v>0.44183363492945388</v>
      </c>
      <c r="Q73">
        <f t="shared" si="18"/>
        <v>2.5977852588780041E-2</v>
      </c>
      <c r="R73" s="63">
        <f t="shared" si="19"/>
        <v>238.32081964946809</v>
      </c>
      <c r="S73" s="14">
        <f t="shared" ref="S73:S89" si="23">O73*(1)</f>
        <v>0.46781148751823393</v>
      </c>
      <c r="T73" s="14">
        <f>0 + '2. Strategy Calcs'!Q72 + T72</f>
        <v>0.53218851248176602</v>
      </c>
    </row>
    <row r="74" spans="2:20" x14ac:dyDescent="0.35">
      <c r="B74" s="14">
        <v>66</v>
      </c>
      <c r="D74" s="5">
        <f>'2. Strategy Calcs'!O74</f>
        <v>0.44183363492945388</v>
      </c>
      <c r="E74" s="6">
        <f>'2. Strategy Calcs'!T74</f>
        <v>0.55816636507054607</v>
      </c>
      <c r="F74" s="50">
        <f>'2. Strategy Calcs'!R74</f>
        <v>225.08672154184134</v>
      </c>
      <c r="G74" s="51">
        <f>F74*'Time Discounting'!C71</f>
        <v>31.995805275882098</v>
      </c>
      <c r="H74" s="52">
        <f t="shared" si="20"/>
        <v>1277.314051255099</v>
      </c>
      <c r="I74" s="5">
        <f>'2. Strategy Calcs'!S74</f>
        <v>0.44183363492945388</v>
      </c>
      <c r="J74">
        <f>I74*'Time Discounting'!D71</f>
        <v>6.2806116907745235E-2</v>
      </c>
      <c r="K74" s="6">
        <f t="shared" si="21"/>
        <v>27.214985965806019</v>
      </c>
      <c r="M74" s="14">
        <f t="shared" si="16"/>
        <v>1</v>
      </c>
      <c r="O74" s="5">
        <f t="shared" si="22"/>
        <v>0.44183363492945388</v>
      </c>
      <c r="P74">
        <f t="shared" si="17"/>
        <v>0.41729834808164035</v>
      </c>
      <c r="Q74">
        <f t="shared" si="18"/>
        <v>2.4535286847813531E-2</v>
      </c>
      <c r="R74" s="63">
        <f t="shared" si="19"/>
        <v>225.08672154184134</v>
      </c>
      <c r="S74" s="14">
        <f t="shared" si="23"/>
        <v>0.44183363492945388</v>
      </c>
      <c r="T74" s="14">
        <f>0 + '2. Strategy Calcs'!Q73 + T73</f>
        <v>0.55816636507054607</v>
      </c>
    </row>
    <row r="75" spans="2:20" x14ac:dyDescent="0.35">
      <c r="B75" s="14">
        <v>67</v>
      </c>
      <c r="D75" s="5">
        <f>'2. Strategy Calcs'!O75</f>
        <v>0.41729834808164035</v>
      </c>
      <c r="E75" s="6">
        <f>'2. Strategy Calcs'!T75</f>
        <v>0.58270165191835965</v>
      </c>
      <c r="F75" s="50">
        <f>'2. Strategy Calcs'!R75</f>
        <v>212.58752084258998</v>
      </c>
      <c r="G75" s="51">
        <f>F75*'Time Discounting'!C72</f>
        <v>29.338892244106017</v>
      </c>
      <c r="H75" s="52">
        <f t="shared" si="20"/>
        <v>1306.6529434992051</v>
      </c>
      <c r="I75" s="5">
        <f>'2. Strategy Calcs'!S75</f>
        <v>0.41729834808164035</v>
      </c>
      <c r="J75">
        <f>I75*'Time Discounting'!D72</f>
        <v>5.759073354581358E-2</v>
      </c>
      <c r="K75" s="6">
        <f t="shared" si="21"/>
        <v>27.272576699351831</v>
      </c>
      <c r="M75" s="14">
        <f t="shared" si="16"/>
        <v>1</v>
      </c>
      <c r="O75" s="5">
        <f t="shared" si="22"/>
        <v>0.41729834808164035</v>
      </c>
      <c r="P75">
        <f t="shared" si="17"/>
        <v>0.39412552043365801</v>
      </c>
      <c r="Q75">
        <f t="shared" si="18"/>
        <v>2.3172827647982338E-2</v>
      </c>
      <c r="R75" s="63">
        <f t="shared" si="19"/>
        <v>212.58752084258998</v>
      </c>
      <c r="S75" s="14">
        <f t="shared" si="23"/>
        <v>0.41729834808164035</v>
      </c>
      <c r="T75" s="14">
        <f>0 + '2. Strategy Calcs'!Q74 + T74</f>
        <v>0.58270165191835965</v>
      </c>
    </row>
    <row r="76" spans="2:20" x14ac:dyDescent="0.35">
      <c r="B76" s="14">
        <v>68</v>
      </c>
      <c r="D76" s="5">
        <f>'2. Strategy Calcs'!O76</f>
        <v>0.39412552043365801</v>
      </c>
      <c r="E76" s="6">
        <f>'2. Strategy Calcs'!T76</f>
        <v>0.60587447956634199</v>
      </c>
      <c r="F76" s="50">
        <f>'2. Strategy Calcs'!R76</f>
        <v>200.78240825768845</v>
      </c>
      <c r="G76" s="51">
        <f>F76*'Time Discounting'!C73</f>
        <v>26.902607722772295</v>
      </c>
      <c r="H76" s="52">
        <f t="shared" si="20"/>
        <v>1333.5555512219773</v>
      </c>
      <c r="I76" s="5">
        <f>'2. Strategy Calcs'!S76</f>
        <v>0.39412552043365801</v>
      </c>
      <c r="J76">
        <f>I76*'Time Discounting'!D73</f>
        <v>5.2808432580169352E-2</v>
      </c>
      <c r="K76" s="6">
        <f t="shared" si="21"/>
        <v>27.325385131931998</v>
      </c>
      <c r="M76" s="14">
        <f t="shared" si="16"/>
        <v>1</v>
      </c>
      <c r="O76" s="5">
        <f t="shared" si="22"/>
        <v>0.39412552043365801</v>
      </c>
      <c r="P76">
        <f t="shared" si="17"/>
        <v>0.37223949380866472</v>
      </c>
      <c r="Q76">
        <f t="shared" si="18"/>
        <v>2.1886026624993289E-2</v>
      </c>
      <c r="R76" s="63">
        <f t="shared" si="19"/>
        <v>200.78240825768845</v>
      </c>
      <c r="S76" s="14">
        <f t="shared" si="23"/>
        <v>0.39412552043365801</v>
      </c>
      <c r="T76" s="14">
        <f>0 + '2. Strategy Calcs'!Q75 + T75</f>
        <v>0.60587447956634199</v>
      </c>
    </row>
    <row r="77" spans="2:20" x14ac:dyDescent="0.35">
      <c r="B77" s="14">
        <v>69</v>
      </c>
      <c r="D77" s="5">
        <f>'2. Strategy Calcs'!O77</f>
        <v>0.37223949380866472</v>
      </c>
      <c r="E77" s="6">
        <f>'2. Strategy Calcs'!T77</f>
        <v>0.62776050619133528</v>
      </c>
      <c r="F77" s="50">
        <f>'2. Strategy Calcs'!R77</f>
        <v>189.63284065769406</v>
      </c>
      <c r="G77" s="51">
        <f>F77*'Time Discounting'!C74</f>
        <v>24.668630848895262</v>
      </c>
      <c r="H77" s="52">
        <f t="shared" si="20"/>
        <v>1358.2241820708725</v>
      </c>
      <c r="I77" s="5">
        <f>'2. Strategy Calcs'!S77</f>
        <v>0.37223949380866472</v>
      </c>
      <c r="J77">
        <f>I77*'Time Discounting'!D74</f>
        <v>4.8423251100905826E-2</v>
      </c>
      <c r="K77" s="6">
        <f t="shared" si="21"/>
        <v>27.373808383032905</v>
      </c>
      <c r="M77" s="14">
        <f t="shared" si="16"/>
        <v>1</v>
      </c>
      <c r="O77" s="5">
        <f t="shared" si="22"/>
        <v>0.37223949380866472</v>
      </c>
      <c r="P77">
        <f t="shared" si="17"/>
        <v>0.35156881137377327</v>
      </c>
      <c r="Q77">
        <f t="shared" si="18"/>
        <v>2.0670682434891438E-2</v>
      </c>
      <c r="R77" s="63">
        <f t="shared" si="19"/>
        <v>189.63284065769406</v>
      </c>
      <c r="S77" s="14">
        <f t="shared" si="23"/>
        <v>0.37223949380866472</v>
      </c>
      <c r="T77" s="14">
        <f>0 + '2. Strategy Calcs'!Q76 + T76</f>
        <v>0.62776050619133528</v>
      </c>
    </row>
    <row r="78" spans="2:20" x14ac:dyDescent="0.35">
      <c r="B78" s="14">
        <v>70</v>
      </c>
      <c r="D78" s="5">
        <f>'2. Strategy Calcs'!O78</f>
        <v>0.35156881137377327</v>
      </c>
      <c r="E78" s="6">
        <f>'2. Strategy Calcs'!T78</f>
        <v>0.64843118862622673</v>
      </c>
      <c r="F78" s="50">
        <f>'2. Strategy Calcs'!R78</f>
        <v>179.10241523626789</v>
      </c>
      <c r="G78" s="51">
        <f>F78*'Time Discounting'!C75</f>
        <v>22.620162113279221</v>
      </c>
      <c r="H78" s="52">
        <f t="shared" si="20"/>
        <v>1380.8443441841519</v>
      </c>
      <c r="I78" s="5">
        <f>'2. Strategy Calcs'!S78</f>
        <v>0.35156881137377327</v>
      </c>
      <c r="J78">
        <f>I78*'Time Discounting'!D75</f>
        <v>4.4402212537205693E-2</v>
      </c>
      <c r="K78" s="6">
        <f t="shared" si="21"/>
        <v>27.418210595570113</v>
      </c>
      <c r="M78" s="14">
        <f t="shared" si="16"/>
        <v>1</v>
      </c>
      <c r="O78" s="5">
        <f t="shared" si="22"/>
        <v>0.35156881137377327</v>
      </c>
      <c r="P78">
        <f t="shared" si="17"/>
        <v>0.3320459843369008</v>
      </c>
      <c r="Q78">
        <f t="shared" si="18"/>
        <v>1.9522827036872453E-2</v>
      </c>
      <c r="R78" s="63">
        <f t="shared" si="19"/>
        <v>179.10241523626789</v>
      </c>
      <c r="S78" s="14">
        <f t="shared" si="23"/>
        <v>0.35156881137377327</v>
      </c>
      <c r="T78" s="14">
        <f>0 + '2. Strategy Calcs'!Q77 + T77</f>
        <v>0.64843118862622673</v>
      </c>
    </row>
    <row r="79" spans="2:20" x14ac:dyDescent="0.35">
      <c r="B79" s="14">
        <v>71</v>
      </c>
      <c r="D79" s="5">
        <f>'2. Strategy Calcs'!O79</f>
        <v>0.3320459843369008</v>
      </c>
      <c r="E79" s="6">
        <f>'2. Strategy Calcs'!T79</f>
        <v>0.6679540156630992</v>
      </c>
      <c r="F79" s="50">
        <f>'2. Strategy Calcs'!R79</f>
        <v>169.15675065674881</v>
      </c>
      <c r="G79" s="51">
        <f>F79*'Time Discounting'!C76</f>
        <v>20.741797028185978</v>
      </c>
      <c r="H79" s="52">
        <f t="shared" si="20"/>
        <v>1401.5861412123379</v>
      </c>
      <c r="I79" s="5">
        <f>'2. Strategy Calcs'!S79</f>
        <v>0.3320459843369008</v>
      </c>
      <c r="J79">
        <f>I79*'Time Discounting'!D76</f>
        <v>4.0715078673482653E-2</v>
      </c>
      <c r="K79" s="6">
        <f t="shared" si="21"/>
        <v>27.458925674243595</v>
      </c>
      <c r="M79" s="14">
        <f t="shared" si="16"/>
        <v>1</v>
      </c>
      <c r="O79" s="5">
        <f t="shared" si="22"/>
        <v>0.3320459843369008</v>
      </c>
      <c r="P79">
        <f t="shared" si="17"/>
        <v>0.31360727159908208</v>
      </c>
      <c r="Q79">
        <f t="shared" si="18"/>
        <v>1.8438712737818705E-2</v>
      </c>
      <c r="R79" s="63">
        <f t="shared" si="19"/>
        <v>169.15675065674881</v>
      </c>
      <c r="S79" s="14">
        <f t="shared" si="23"/>
        <v>0.3320459843369008</v>
      </c>
      <c r="T79" s="14">
        <f>0 + '2. Strategy Calcs'!Q78 + T78</f>
        <v>0.6679540156630992</v>
      </c>
    </row>
    <row r="80" spans="2:20" x14ac:dyDescent="0.35">
      <c r="B80" s="14">
        <v>72</v>
      </c>
      <c r="D80" s="5">
        <f>'2. Strategy Calcs'!O80</f>
        <v>0.31360727159908208</v>
      </c>
      <c r="E80" s="6">
        <f>'2. Strategy Calcs'!T80</f>
        <v>0.68639272840091792</v>
      </c>
      <c r="F80" s="50">
        <f>'2. Strategy Calcs'!R80</f>
        <v>159.7633747987291</v>
      </c>
      <c r="G80" s="51">
        <f>F80*'Time Discounting'!C77</f>
        <v>19.01941028556562</v>
      </c>
      <c r="H80" s="52">
        <f t="shared" si="20"/>
        <v>1420.6055514979034</v>
      </c>
      <c r="I80" s="5">
        <f>'2. Strategy Calcs'!S80</f>
        <v>0.31360727159908208</v>
      </c>
      <c r="J80">
        <f>I80*'Time Discounting'!D77</f>
        <v>3.7334122257958215E-2</v>
      </c>
      <c r="K80" s="6">
        <f t="shared" si="21"/>
        <v>27.496259796501555</v>
      </c>
      <c r="M80" s="14">
        <f t="shared" si="16"/>
        <v>1</v>
      </c>
      <c r="O80" s="5">
        <f t="shared" si="22"/>
        <v>0.31360727159908208</v>
      </c>
      <c r="P80">
        <f t="shared" si="17"/>
        <v>0.29619247164282209</v>
      </c>
      <c r="Q80">
        <f t="shared" si="18"/>
        <v>1.7414799956259986E-2</v>
      </c>
      <c r="R80" s="63">
        <f t="shared" si="19"/>
        <v>159.7633747987291</v>
      </c>
      <c r="S80" s="14">
        <f t="shared" si="23"/>
        <v>0.31360727159908208</v>
      </c>
      <c r="T80" s="14">
        <f>0 + '2. Strategy Calcs'!Q79 + T79</f>
        <v>0.68639272840091792</v>
      </c>
    </row>
    <row r="81" spans="2:20" x14ac:dyDescent="0.35">
      <c r="B81" s="14">
        <v>73</v>
      </c>
      <c r="D81" s="5">
        <f>'2. Strategy Calcs'!O81</f>
        <v>0.29619247164282209</v>
      </c>
      <c r="E81" s="6">
        <f>'2. Strategy Calcs'!T81</f>
        <v>0.70380752835717786</v>
      </c>
      <c r="F81" s="50">
        <f>'2. Strategy Calcs'!R81</f>
        <v>150.89161873813083</v>
      </c>
      <c r="G81" s="51">
        <f>F81*'Time Discounting'!C78</f>
        <v>17.44004953472038</v>
      </c>
      <c r="H81" s="52">
        <f t="shared" si="20"/>
        <v>1438.0456010326238</v>
      </c>
      <c r="I81" s="5">
        <f>'2. Strategy Calcs'!S81</f>
        <v>0.29619247164282209</v>
      </c>
      <c r="J81">
        <f>I81*'Time Discounting'!D78</f>
        <v>3.4233918493689744E-2</v>
      </c>
      <c r="K81" s="6">
        <f t="shared" si="21"/>
        <v>27.530493714995245</v>
      </c>
      <c r="M81" s="14">
        <f t="shared" si="16"/>
        <v>1</v>
      </c>
      <c r="O81" s="5">
        <f t="shared" si="22"/>
        <v>0.29619247164282209</v>
      </c>
      <c r="P81">
        <f t="shared" si="17"/>
        <v>0.27974472597701322</v>
      </c>
      <c r="Q81">
        <f t="shared" si="18"/>
        <v>1.6447745665808897E-2</v>
      </c>
      <c r="R81" s="63">
        <f t="shared" si="19"/>
        <v>150.89161873813083</v>
      </c>
      <c r="S81" s="14">
        <f t="shared" si="23"/>
        <v>0.29619247164282209</v>
      </c>
      <c r="T81" s="14">
        <f>0 + '2. Strategy Calcs'!Q80 + T80</f>
        <v>0.70380752835717786</v>
      </c>
    </row>
    <row r="82" spans="2:20" x14ac:dyDescent="0.35">
      <c r="B82" s="14">
        <v>74</v>
      </c>
      <c r="D82" s="5">
        <f>'2. Strategy Calcs'!O82</f>
        <v>0.27974472597701322</v>
      </c>
      <c r="E82" s="6">
        <f>'2. Strategy Calcs'!T82</f>
        <v>0.72025527402298672</v>
      </c>
      <c r="F82" s="50">
        <f>'2. Strategy Calcs'!R82</f>
        <v>142.51251661463118</v>
      </c>
      <c r="G82" s="51">
        <f>F82*'Time Discounting'!C79</f>
        <v>15.991837980609358</v>
      </c>
      <c r="H82" s="52">
        <f t="shared" si="20"/>
        <v>1454.0374390132331</v>
      </c>
      <c r="I82" s="5">
        <f>'2. Strategy Calcs'!S82</f>
        <v>0.27974472597701322</v>
      </c>
      <c r="J82">
        <f>I82*'Time Discounting'!D79</f>
        <v>3.13911538440622E-2</v>
      </c>
      <c r="K82" s="6">
        <f t="shared" si="21"/>
        <v>27.561884868839307</v>
      </c>
      <c r="M82" s="14">
        <f t="shared" si="16"/>
        <v>1</v>
      </c>
      <c r="O82" s="5">
        <f t="shared" si="22"/>
        <v>0.27974472597701322</v>
      </c>
      <c r="P82">
        <f t="shared" si="17"/>
        <v>0.26421033349667411</v>
      </c>
      <c r="Q82">
        <f t="shared" si="18"/>
        <v>1.5534392480339131E-2</v>
      </c>
      <c r="R82" s="63">
        <f t="shared" si="19"/>
        <v>142.51251661463118</v>
      </c>
      <c r="S82" s="14">
        <f t="shared" si="23"/>
        <v>0.27974472597701322</v>
      </c>
      <c r="T82" s="14">
        <f>0 + '2. Strategy Calcs'!Q81 + T81</f>
        <v>0.72025527402298672</v>
      </c>
    </row>
    <row r="83" spans="2:20" x14ac:dyDescent="0.35">
      <c r="B83" s="14">
        <v>75</v>
      </c>
      <c r="D83" s="5">
        <f>'2. Strategy Calcs'!O83</f>
        <v>0.26421033349667411</v>
      </c>
      <c r="E83" s="6">
        <f>'2. Strategy Calcs'!T83</f>
        <v>0.73578966650332589</v>
      </c>
      <c r="F83" s="50">
        <f>'2. Strategy Calcs'!R83</f>
        <v>134.59871105951075</v>
      </c>
      <c r="G83" s="51">
        <f>F83*'Time Discounting'!C80</f>
        <v>14.663885070333331</v>
      </c>
      <c r="H83" s="52">
        <f t="shared" si="20"/>
        <v>1468.7013240835665</v>
      </c>
      <c r="I83" s="5">
        <f>'2. Strategy Calcs'!S83</f>
        <v>0.26421033349667411</v>
      </c>
      <c r="J83">
        <f>I83*'Time Discounting'!D80</f>
        <v>2.8784450714960306E-2</v>
      </c>
      <c r="K83" s="6">
        <f t="shared" si="21"/>
        <v>27.590669319554266</v>
      </c>
      <c r="M83" s="14">
        <f t="shared" si="16"/>
        <v>1</v>
      </c>
      <c r="O83" s="5">
        <f t="shared" si="22"/>
        <v>0.26421033349667411</v>
      </c>
      <c r="P83">
        <f t="shared" si="17"/>
        <v>0.24953857515140371</v>
      </c>
      <c r="Q83">
        <f t="shared" si="18"/>
        <v>1.4671758345270411E-2</v>
      </c>
      <c r="R83" s="63">
        <f t="shared" si="19"/>
        <v>134.59871105951075</v>
      </c>
      <c r="S83" s="14">
        <f t="shared" si="23"/>
        <v>0.26421033349667411</v>
      </c>
      <c r="T83" s="14">
        <f>0 + '2. Strategy Calcs'!Q82 + T82</f>
        <v>0.73578966650332589</v>
      </c>
    </row>
    <row r="84" spans="2:20" x14ac:dyDescent="0.35">
      <c r="B84" s="14">
        <v>76</v>
      </c>
      <c r="D84" s="5">
        <f>'2. Strategy Calcs'!O84</f>
        <v>0.24953857515140371</v>
      </c>
      <c r="E84" s="6">
        <f>'2. Strategy Calcs'!T84</f>
        <v>0.75046142484859635</v>
      </c>
      <c r="F84" s="50">
        <f>'2. Strategy Calcs'!R84</f>
        <v>127.12436387514948</v>
      </c>
      <c r="G84" s="51">
        <f>F84*'Time Discounting'!C81</f>
        <v>13.446204596161826</v>
      </c>
      <c r="H84" s="52">
        <f t="shared" si="20"/>
        <v>1482.1475286797283</v>
      </c>
      <c r="I84" s="5">
        <f>'2. Strategy Calcs'!S84</f>
        <v>0.24953857515140371</v>
      </c>
      <c r="J84">
        <f>I84*'Time Discounting'!D81</f>
        <v>2.6394206695231199E-2</v>
      </c>
      <c r="K84" s="6">
        <f t="shared" si="21"/>
        <v>27.617063526249495</v>
      </c>
      <c r="M84" s="14">
        <f t="shared" si="16"/>
        <v>1</v>
      </c>
      <c r="O84" s="5">
        <f t="shared" si="22"/>
        <v>0.24953857515140371</v>
      </c>
      <c r="P84">
        <f t="shared" si="17"/>
        <v>0.23568154835010116</v>
      </c>
      <c r="Q84">
        <f t="shared" si="18"/>
        <v>1.3857026801302538E-2</v>
      </c>
      <c r="R84" s="63">
        <f t="shared" si="19"/>
        <v>127.12436387514948</v>
      </c>
      <c r="S84" s="14">
        <f t="shared" si="23"/>
        <v>0.24953857515140371</v>
      </c>
      <c r="T84" s="14">
        <f>0 + '2. Strategy Calcs'!Q83 + T83</f>
        <v>0.75046142484859635</v>
      </c>
    </row>
    <row r="85" spans="2:20" x14ac:dyDescent="0.35">
      <c r="B85" s="14">
        <v>77</v>
      </c>
      <c r="D85" s="5">
        <f>'2. Strategy Calcs'!O85</f>
        <v>0.23568154835010116</v>
      </c>
      <c r="E85" s="6">
        <f>'2. Strategy Calcs'!T85</f>
        <v>0.76431845164989887</v>
      </c>
      <c r="F85" s="50">
        <f>'2. Strategy Calcs'!R85</f>
        <v>120.06507167454411</v>
      </c>
      <c r="G85" s="51">
        <f>F85*'Time Discounting'!C82</f>
        <v>12.329639599237092</v>
      </c>
      <c r="H85" s="52">
        <f t="shared" si="20"/>
        <v>1494.4771682789653</v>
      </c>
      <c r="I85" s="5">
        <f>'2. Strategy Calcs'!S85</f>
        <v>0.23568154835010116</v>
      </c>
      <c r="J85">
        <f>I85*'Time Discounting'!D82</f>
        <v>2.4202447146525238E-2</v>
      </c>
      <c r="K85" s="6">
        <f t="shared" si="21"/>
        <v>27.64126597339602</v>
      </c>
      <c r="M85" s="14">
        <f t="shared" si="16"/>
        <v>1</v>
      </c>
      <c r="O85" s="5">
        <f t="shared" si="22"/>
        <v>0.23568154835010116</v>
      </c>
      <c r="P85">
        <f t="shared" si="17"/>
        <v>0.22259401056129105</v>
      </c>
      <c r="Q85">
        <f t="shared" si="18"/>
        <v>1.3087537788810128E-2</v>
      </c>
      <c r="R85" s="63">
        <f t="shared" si="19"/>
        <v>120.06507167454411</v>
      </c>
      <c r="S85" s="14">
        <f t="shared" si="23"/>
        <v>0.23568154835010116</v>
      </c>
      <c r="T85" s="14">
        <f>0 + '2. Strategy Calcs'!Q84 + T84</f>
        <v>0.76431845164989887</v>
      </c>
    </row>
    <row r="86" spans="2:20" x14ac:dyDescent="0.35">
      <c r="B86" s="14">
        <v>78</v>
      </c>
      <c r="D86" s="5">
        <f>'2. Strategy Calcs'!O86</f>
        <v>0.22259401056129105</v>
      </c>
      <c r="E86" s="6">
        <f>'2. Strategy Calcs'!T86</f>
        <v>0.77740598943870898</v>
      </c>
      <c r="F86" s="50">
        <f>'2. Strategy Calcs'!R86</f>
        <v>113.39778620541367</v>
      </c>
      <c r="G86" s="51">
        <f>F86*'Time Discounting'!C83</f>
        <v>11.305793509230769</v>
      </c>
      <c r="H86" s="52">
        <f t="shared" si="20"/>
        <v>1505.7829617881962</v>
      </c>
      <c r="I86" s="5">
        <f>'2. Strategy Calcs'!S86</f>
        <v>0.22259401056129105</v>
      </c>
      <c r="J86">
        <f>I86*'Time Discounting'!D83</f>
        <v>2.2192690033990679E-2</v>
      </c>
      <c r="K86" s="6">
        <f t="shared" si="21"/>
        <v>27.66345866343001</v>
      </c>
      <c r="M86" s="14">
        <f t="shared" si="16"/>
        <v>1</v>
      </c>
      <c r="O86" s="5">
        <f t="shared" si="22"/>
        <v>0.22259401056129105</v>
      </c>
      <c r="P86">
        <f t="shared" si="17"/>
        <v>0.21023323159841623</v>
      </c>
      <c r="Q86">
        <f t="shared" si="18"/>
        <v>1.2360778962874828E-2</v>
      </c>
      <c r="R86" s="63">
        <f t="shared" si="19"/>
        <v>113.39778620541367</v>
      </c>
      <c r="S86" s="14">
        <f t="shared" si="23"/>
        <v>0.22259401056129105</v>
      </c>
      <c r="T86" s="14">
        <f>0 + '2. Strategy Calcs'!Q85 + T85</f>
        <v>0.77740598943870898</v>
      </c>
    </row>
    <row r="87" spans="2:20" x14ac:dyDescent="0.35">
      <c r="B87" s="14">
        <v>79</v>
      </c>
      <c r="D87" s="5">
        <f>'2. Strategy Calcs'!O87</f>
        <v>0.21023323159841623</v>
      </c>
      <c r="E87" s="6">
        <f>'2. Strategy Calcs'!T87</f>
        <v>0.78976676840158377</v>
      </c>
      <c r="F87" s="50">
        <f>'2. Strategy Calcs'!R87</f>
        <v>107.10073909875534</v>
      </c>
      <c r="G87" s="51">
        <f>F87*'Time Discounting'!C84</f>
        <v>10.366967002123381</v>
      </c>
      <c r="H87" s="52">
        <f t="shared" si="20"/>
        <v>1516.1499287903196</v>
      </c>
      <c r="I87" s="5">
        <f>'2. Strategy Calcs'!S87</f>
        <v>0.21023323159841623</v>
      </c>
      <c r="J87">
        <f>I87*'Time Discounting'!D84</f>
        <v>2.0349821981348697E-2</v>
      </c>
      <c r="K87" s="6">
        <f t="shared" si="21"/>
        <v>27.683808485411358</v>
      </c>
      <c r="M87" s="14">
        <f t="shared" si="16"/>
        <v>1</v>
      </c>
      <c r="O87" s="5">
        <f t="shared" si="22"/>
        <v>0.21023323159841623</v>
      </c>
      <c r="P87">
        <f t="shared" si="17"/>
        <v>0.19855885410781721</v>
      </c>
      <c r="Q87">
        <f t="shared" si="18"/>
        <v>1.1674377490599012E-2</v>
      </c>
      <c r="R87" s="63">
        <f t="shared" si="19"/>
        <v>107.10073909875534</v>
      </c>
      <c r="S87" s="14">
        <f t="shared" si="23"/>
        <v>0.21023323159841623</v>
      </c>
      <c r="T87" s="14">
        <f>0 + '2. Strategy Calcs'!Q86 + T86</f>
        <v>0.78976676840158377</v>
      </c>
    </row>
    <row r="88" spans="2:20" x14ac:dyDescent="0.35">
      <c r="B88" s="14">
        <v>80</v>
      </c>
      <c r="D88" s="5">
        <f>'2. Strategy Calcs'!O88</f>
        <v>0.19855885410781721</v>
      </c>
      <c r="E88" s="6">
        <f>'2. Strategy Calcs'!T88</f>
        <v>0.80144114589218274</v>
      </c>
      <c r="F88" s="50">
        <f>'2. Strategy Calcs'!R88</f>
        <v>101.15337079615799</v>
      </c>
      <c r="G88" s="51">
        <f>F88*'Time Discounting'!C85</f>
        <v>9.5061001012769601</v>
      </c>
      <c r="H88" s="52">
        <f t="shared" si="20"/>
        <v>1525.6560288915966</v>
      </c>
      <c r="I88" s="5">
        <f>'2. Strategy Calcs'!S88</f>
        <v>0.19855885410781721</v>
      </c>
      <c r="J88">
        <f>I88*'Time Discounting'!D85</f>
        <v>1.8659984618282735E-2</v>
      </c>
      <c r="K88" s="6">
        <f t="shared" si="21"/>
        <v>27.70246847002964</v>
      </c>
      <c r="M88" s="14">
        <f t="shared" si="16"/>
        <v>1</v>
      </c>
      <c r="O88" s="5">
        <f t="shared" si="22"/>
        <v>0.19855885410781721</v>
      </c>
      <c r="P88">
        <f t="shared" si="17"/>
        <v>0.18753276180389766</v>
      </c>
      <c r="Q88">
        <f t="shared" si="18"/>
        <v>1.1026092303919554E-2</v>
      </c>
      <c r="R88" s="63">
        <f t="shared" si="19"/>
        <v>101.15337079615799</v>
      </c>
      <c r="S88" s="14">
        <f t="shared" si="23"/>
        <v>0.19855885410781721</v>
      </c>
      <c r="T88" s="14">
        <f>0 + '2. Strategy Calcs'!Q87 + T87</f>
        <v>0.80144114589218274</v>
      </c>
    </row>
    <row r="89" spans="2:20" x14ac:dyDescent="0.35">
      <c r="B89" s="14">
        <v>81</v>
      </c>
      <c r="D89" s="5">
        <f>'2. Strategy Calcs'!O89</f>
        <v>0.18753276180389766</v>
      </c>
      <c r="E89" s="6">
        <f>'2. Strategy Calcs'!T89</f>
        <v>0.81246723819610234</v>
      </c>
      <c r="F89" s="50">
        <f>'2. Strategy Calcs'!R89</f>
        <v>95.536263423824863</v>
      </c>
      <c r="G89" s="51">
        <f>F89*'Time Discounting'!C86</f>
        <v>8.7167190864009605</v>
      </c>
      <c r="H89" s="52">
        <f t="shared" si="20"/>
        <v>1534.3727479779975</v>
      </c>
      <c r="I89" s="5">
        <f>'2. Strategy Calcs'!S89</f>
        <v>0.18753276180389766</v>
      </c>
      <c r="J89">
        <f>I89*'Time Discounting'!D86</f>
        <v>1.711047036547449E-2</v>
      </c>
      <c r="K89" s="6">
        <f t="shared" si="21"/>
        <v>27.719578940395113</v>
      </c>
      <c r="M89" s="14">
        <f t="shared" si="16"/>
        <v>1</v>
      </c>
      <c r="O89" s="5">
        <f t="shared" si="22"/>
        <v>0.18753276180389766</v>
      </c>
      <c r="P89">
        <f t="shared" si="17"/>
        <v>0.17711895502127015</v>
      </c>
      <c r="Q89">
        <f t="shared" si="18"/>
        <v>1.0413806782627519E-2</v>
      </c>
      <c r="R89" s="63">
        <f t="shared" si="19"/>
        <v>95.536263423824863</v>
      </c>
      <c r="S89" s="14">
        <f t="shared" si="23"/>
        <v>0.18753276180389766</v>
      </c>
      <c r="T89" s="14">
        <f>0 + '2. Strategy Calcs'!Q88 + T88</f>
        <v>0.81246723819610234</v>
      </c>
    </row>
    <row r="90" spans="2:20" x14ac:dyDescent="0.35">
      <c r="B90" s="16">
        <v>82</v>
      </c>
      <c r="D90" s="8">
        <f>'2. Strategy Calcs'!O90</f>
        <v>0.17711895502127015</v>
      </c>
      <c r="E90" s="9">
        <f>'2. Strategy Calcs'!T90</f>
        <v>0.82288104497872983</v>
      </c>
      <c r="F90" s="53">
        <f>'2. Strategy Calcs'!R90</f>
        <v>0</v>
      </c>
      <c r="G90" s="54">
        <f>F90*'Time Discounting'!C87</f>
        <v>0</v>
      </c>
      <c r="H90" s="55">
        <f t="shared" si="20"/>
        <v>1534.3727479779975</v>
      </c>
      <c r="I90" s="8">
        <f>'2. Strategy Calcs'!S90</f>
        <v>8.8559477510635073E-2</v>
      </c>
      <c r="J90" s="7">
        <f>I90*'Time Discounting'!D87</f>
        <v>7.8448134367948893E-3</v>
      </c>
      <c r="K90" s="9">
        <f t="shared" si="21"/>
        <v>27.727423753831907</v>
      </c>
      <c r="M90" s="16">
        <f t="shared" si="16"/>
        <v>1</v>
      </c>
      <c r="O90" s="8">
        <f t="shared" si="22"/>
        <v>0.17711895502127015</v>
      </c>
      <c r="P90" s="7"/>
      <c r="Q90" s="7"/>
      <c r="R90" s="64"/>
      <c r="S90" s="16">
        <f>O90*(0.5)</f>
        <v>8.8559477510635073E-2</v>
      </c>
      <c r="T90" s="16">
        <f>0 + '2. Strategy Calcs'!Q89 + T89</f>
        <v>0.82288104497872983</v>
      </c>
    </row>
    <row r="92" spans="2:20" x14ac:dyDescent="0.35">
      <c r="B92" s="2" t="s">
        <v>67</v>
      </c>
      <c r="F92" s="73">
        <f>SUM(F8:F90)</f>
        <v>7549.1107066348641</v>
      </c>
      <c r="G92" s="74">
        <f>SUM(G8:G90)</f>
        <v>1534.3727479779975</v>
      </c>
      <c r="H92" s="75">
        <f>H90</f>
        <v>1534.3727479779975</v>
      </c>
      <c r="I92" s="72">
        <f>SUM(I8:I90)</f>
        <v>62.48299187180551</v>
      </c>
      <c r="J92" s="45">
        <f>SUM(J8:J90)</f>
        <v>27.727423753831907</v>
      </c>
      <c r="K92" s="46">
        <f>K90</f>
        <v>27.727423753831907</v>
      </c>
    </row>
  </sheetData>
  <mergeCells count="10">
    <mergeCell ref="B5:B6"/>
    <mergeCell ref="D5:D6"/>
    <mergeCell ref="E5:E6"/>
    <mergeCell ref="F5:H5"/>
    <mergeCell ref="I5:K5"/>
    <mergeCell ref="O4:Q4"/>
    <mergeCell ref="O3:S3"/>
    <mergeCell ref="M5:M6"/>
    <mergeCell ref="D1:G1"/>
    <mergeCell ref="D4:F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31"/>
  <sheetViews>
    <sheetView workbookViewId="0"/>
  </sheetViews>
  <sheetFormatPr defaultRowHeight="14.5" x14ac:dyDescent="0.35"/>
  <cols>
    <col min="1" max="1" width="34" bestFit="1" customWidth="1"/>
    <col min="2" max="2" width="10.90625" bestFit="1" customWidth="1"/>
  </cols>
  <sheetData>
    <row r="1" spans="1:19" x14ac:dyDescent="0.35">
      <c r="A1" t="s">
        <v>70</v>
      </c>
      <c r="B1" t="s">
        <v>71</v>
      </c>
      <c r="S1" t="s">
        <v>73</v>
      </c>
    </row>
    <row r="31" spans="1:2" x14ac:dyDescent="0.35">
      <c r="A31" t="s">
        <v>70</v>
      </c>
      <c r="B31" t="s">
        <v>72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91"/>
  <sheetViews>
    <sheetView workbookViewId="0"/>
  </sheetViews>
  <sheetFormatPr defaultRowHeight="14.5" x14ac:dyDescent="0.35"/>
  <cols>
    <col min="1" max="1" width="16.26953125" bestFit="1" customWidth="1"/>
    <col min="2" max="2" width="17.81640625" bestFit="1" customWidth="1"/>
    <col min="4" max="4" width="16.26953125" bestFit="1" customWidth="1"/>
    <col min="5" max="5" width="17.81640625" bestFit="1" customWidth="1"/>
  </cols>
  <sheetData>
    <row r="1" spans="1:5" x14ac:dyDescent="0.35">
      <c r="A1" t="s">
        <v>74</v>
      </c>
      <c r="B1" t="s">
        <v>75</v>
      </c>
      <c r="D1" t="s">
        <v>74</v>
      </c>
      <c r="E1" t="s">
        <v>82</v>
      </c>
    </row>
    <row r="2" spans="1:5" x14ac:dyDescent="0.35">
      <c r="A2" t="s">
        <v>76</v>
      </c>
      <c r="B2" t="s">
        <v>77</v>
      </c>
      <c r="D2" t="s">
        <v>76</v>
      </c>
      <c r="E2" t="s">
        <v>77</v>
      </c>
    </row>
    <row r="3" spans="1:5" x14ac:dyDescent="0.35">
      <c r="A3" t="s">
        <v>78</v>
      </c>
      <c r="B3" t="s">
        <v>79</v>
      </c>
      <c r="D3" t="s">
        <v>78</v>
      </c>
      <c r="E3" t="s">
        <v>79</v>
      </c>
    </row>
    <row r="5" spans="1:5" x14ac:dyDescent="0.35">
      <c r="A5" s="3" t="s">
        <v>80</v>
      </c>
      <c r="B5" s="4" t="s">
        <v>81</v>
      </c>
      <c r="D5" s="3" t="s">
        <v>80</v>
      </c>
      <c r="E5" s="4" t="s">
        <v>81</v>
      </c>
    </row>
    <row r="6" spans="1:5" x14ac:dyDescent="0.35">
      <c r="A6" s="23">
        <v>0</v>
      </c>
      <c r="B6" s="25">
        <v>6.7610999999999999E-3</v>
      </c>
      <c r="D6" s="23">
        <v>0</v>
      </c>
      <c r="E6" s="25">
        <v>6.7610999999999999E-3</v>
      </c>
    </row>
    <row r="7" spans="1:5" x14ac:dyDescent="0.35">
      <c r="A7" s="23">
        <v>1</v>
      </c>
      <c r="B7" s="25">
        <v>4.6030000000000002E-4</v>
      </c>
      <c r="D7" s="23">
        <v>1</v>
      </c>
      <c r="E7" s="25">
        <v>4.6030000000000002E-4</v>
      </c>
    </row>
    <row r="8" spans="1:5" x14ac:dyDescent="0.35">
      <c r="A8" s="23">
        <v>2</v>
      </c>
      <c r="B8" s="25">
        <v>2.8620000000000002E-4</v>
      </c>
      <c r="D8" s="23">
        <v>2</v>
      </c>
      <c r="E8" s="25">
        <v>2.8620000000000002E-4</v>
      </c>
    </row>
    <row r="9" spans="1:5" x14ac:dyDescent="0.35">
      <c r="A9" s="23">
        <v>3</v>
      </c>
      <c r="B9" s="25">
        <v>2.1800000000000001E-4</v>
      </c>
      <c r="D9" s="23">
        <v>3</v>
      </c>
      <c r="E9" s="25">
        <v>2.1800000000000001E-4</v>
      </c>
    </row>
    <row r="10" spans="1:5" x14ac:dyDescent="0.35">
      <c r="A10" s="23">
        <v>4</v>
      </c>
      <c r="B10" s="25">
        <v>1.7569999999999999E-4</v>
      </c>
      <c r="D10" s="23">
        <v>4</v>
      </c>
      <c r="E10" s="25">
        <v>1.7569999999999999E-4</v>
      </c>
    </row>
    <row r="11" spans="1:5" x14ac:dyDescent="0.35">
      <c r="A11" s="23">
        <v>5</v>
      </c>
      <c r="B11" s="25">
        <v>1.639E-4</v>
      </c>
      <c r="D11" s="23">
        <v>5</v>
      </c>
      <c r="E11" s="25">
        <v>1.639E-4</v>
      </c>
    </row>
    <row r="12" spans="1:5" x14ac:dyDescent="0.35">
      <c r="A12" s="23">
        <v>6</v>
      </c>
      <c r="B12" s="25">
        <v>1.5129999999999999E-4</v>
      </c>
      <c r="D12" s="23">
        <v>6</v>
      </c>
      <c r="E12" s="25">
        <v>1.5129999999999999E-4</v>
      </c>
    </row>
    <row r="13" spans="1:5" x14ac:dyDescent="0.35">
      <c r="A13" s="23">
        <v>7</v>
      </c>
      <c r="B13" s="25">
        <v>1.395E-4</v>
      </c>
      <c r="D13" s="23">
        <v>7</v>
      </c>
      <c r="E13" s="25">
        <v>1.395E-4</v>
      </c>
    </row>
    <row r="14" spans="1:5" x14ac:dyDescent="0.35">
      <c r="A14" s="23">
        <v>8</v>
      </c>
      <c r="B14" s="25">
        <v>1.2349999999999999E-4</v>
      </c>
      <c r="D14" s="23">
        <v>8</v>
      </c>
      <c r="E14" s="25">
        <v>1.2349999999999999E-4</v>
      </c>
    </row>
    <row r="15" spans="1:5" x14ac:dyDescent="0.35">
      <c r="A15" s="23">
        <v>9</v>
      </c>
      <c r="B15" s="25">
        <v>1.0459999999999999E-4</v>
      </c>
      <c r="D15" s="23">
        <v>9</v>
      </c>
      <c r="E15" s="25">
        <v>1.0459999999999999E-4</v>
      </c>
    </row>
    <row r="16" spans="1:5" x14ac:dyDescent="0.35">
      <c r="A16" s="23">
        <v>10</v>
      </c>
      <c r="B16" s="25">
        <v>9.0500000000000004E-5</v>
      </c>
      <c r="D16" s="23">
        <v>10</v>
      </c>
      <c r="E16" s="25">
        <v>9.0500000000000004E-5</v>
      </c>
    </row>
    <row r="17" spans="1:5" x14ac:dyDescent="0.35">
      <c r="A17" s="23">
        <v>11</v>
      </c>
      <c r="B17" s="25">
        <v>9.4400000000000004E-5</v>
      </c>
      <c r="D17" s="23">
        <v>11</v>
      </c>
      <c r="E17" s="25">
        <v>9.4400000000000004E-5</v>
      </c>
    </row>
    <row r="18" spans="1:5" x14ac:dyDescent="0.35">
      <c r="A18" s="23">
        <v>12</v>
      </c>
      <c r="B18" s="25">
        <v>1.315E-4</v>
      </c>
      <c r="D18" s="23">
        <v>12</v>
      </c>
      <c r="E18" s="25">
        <v>1.315E-4</v>
      </c>
    </row>
    <row r="19" spans="1:5" x14ac:dyDescent="0.35">
      <c r="A19" s="23">
        <v>13</v>
      </c>
      <c r="B19" s="25">
        <v>2.0900000000000001E-4</v>
      </c>
      <c r="D19" s="23">
        <v>13</v>
      </c>
      <c r="E19" s="25">
        <v>2.0900000000000001E-4</v>
      </c>
    </row>
    <row r="20" spans="1:5" x14ac:dyDescent="0.35">
      <c r="A20" s="23">
        <v>14</v>
      </c>
      <c r="B20" s="25">
        <v>3.1399999999999999E-4</v>
      </c>
      <c r="D20" s="23">
        <v>14</v>
      </c>
      <c r="E20" s="25">
        <v>3.1399999999999999E-4</v>
      </c>
    </row>
    <row r="21" spans="1:5" x14ac:dyDescent="0.35">
      <c r="A21" s="23">
        <v>15</v>
      </c>
      <c r="B21" s="25">
        <v>4.2569999999999999E-4</v>
      </c>
      <c r="D21" s="23">
        <v>15</v>
      </c>
      <c r="E21" s="25">
        <v>4.2569999999999999E-4</v>
      </c>
    </row>
    <row r="22" spans="1:5" x14ac:dyDescent="0.35">
      <c r="A22" s="23">
        <v>16</v>
      </c>
      <c r="B22" s="25">
        <v>5.2930000000000002E-4</v>
      </c>
      <c r="D22" s="23">
        <v>16</v>
      </c>
      <c r="E22" s="25">
        <v>5.2930000000000002E-4</v>
      </c>
    </row>
    <row r="23" spans="1:5" x14ac:dyDescent="0.35">
      <c r="A23" s="23">
        <v>17</v>
      </c>
      <c r="B23" s="25">
        <v>6.2679999999999995E-4</v>
      </c>
      <c r="D23" s="23">
        <v>17</v>
      </c>
      <c r="E23" s="25">
        <v>6.2679999999999995E-4</v>
      </c>
    </row>
    <row r="24" spans="1:5" x14ac:dyDescent="0.35">
      <c r="A24" s="23">
        <v>18</v>
      </c>
      <c r="B24" s="25">
        <v>7.1509999999999998E-4</v>
      </c>
      <c r="D24" s="23">
        <v>18</v>
      </c>
      <c r="E24" s="25">
        <v>7.5801000000000002E-3</v>
      </c>
    </row>
    <row r="25" spans="1:5" x14ac:dyDescent="0.35">
      <c r="A25" s="23">
        <v>19</v>
      </c>
      <c r="B25" s="25">
        <v>7.9549999999999998E-4</v>
      </c>
      <c r="D25" s="23">
        <v>19</v>
      </c>
      <c r="E25" s="25">
        <v>8.4323000000000002E-3</v>
      </c>
    </row>
    <row r="26" spans="1:5" x14ac:dyDescent="0.35">
      <c r="A26" s="23">
        <v>20</v>
      </c>
      <c r="B26" s="25">
        <v>8.8069999999999999E-4</v>
      </c>
      <c r="D26" s="23">
        <v>20</v>
      </c>
      <c r="E26" s="25">
        <v>9.3354000000000006E-3</v>
      </c>
    </row>
    <row r="27" spans="1:5" x14ac:dyDescent="0.35">
      <c r="A27" s="23">
        <v>21</v>
      </c>
      <c r="B27" s="25">
        <v>9.6250000000000003E-4</v>
      </c>
      <c r="D27" s="23">
        <v>21</v>
      </c>
      <c r="E27" s="25">
        <v>1.02025E-2</v>
      </c>
    </row>
    <row r="28" spans="1:5" x14ac:dyDescent="0.35">
      <c r="A28" s="23">
        <v>22</v>
      </c>
      <c r="B28" s="25">
        <v>1.0169000000000001E-3</v>
      </c>
      <c r="D28" s="23">
        <v>22</v>
      </c>
      <c r="E28" s="25">
        <v>7.5801000000000002E-3</v>
      </c>
    </row>
    <row r="29" spans="1:5" x14ac:dyDescent="0.35">
      <c r="A29" s="23">
        <v>23</v>
      </c>
      <c r="B29" s="25">
        <v>1.0336E-3</v>
      </c>
      <c r="D29" s="23">
        <v>23</v>
      </c>
      <c r="E29" s="25">
        <v>7.5801000000000002E-3</v>
      </c>
    </row>
    <row r="30" spans="1:5" x14ac:dyDescent="0.35">
      <c r="A30" s="23">
        <v>24</v>
      </c>
      <c r="B30" s="25">
        <v>1.0226E-3</v>
      </c>
      <c r="D30" s="23">
        <v>24</v>
      </c>
      <c r="E30" s="25">
        <v>8.4323000000000002E-3</v>
      </c>
    </row>
    <row r="31" spans="1:5" x14ac:dyDescent="0.35">
      <c r="A31" s="23">
        <v>25</v>
      </c>
      <c r="B31" s="25">
        <v>1.0028999999999999E-3</v>
      </c>
      <c r="D31" s="23">
        <v>25</v>
      </c>
      <c r="E31" s="25">
        <v>9.3354000000000006E-3</v>
      </c>
    </row>
    <row r="32" spans="1:5" x14ac:dyDescent="0.35">
      <c r="A32" s="23">
        <v>26</v>
      </c>
      <c r="B32" s="25">
        <v>9.8949999999999993E-4</v>
      </c>
      <c r="D32" s="23">
        <v>26</v>
      </c>
      <c r="E32" s="25">
        <v>1.02025E-2</v>
      </c>
    </row>
    <row r="33" spans="1:5" x14ac:dyDescent="0.35">
      <c r="A33" s="23">
        <v>27</v>
      </c>
      <c r="B33" s="25">
        <v>9.8250000000000008E-4</v>
      </c>
      <c r="D33" s="23">
        <v>27</v>
      </c>
      <c r="E33" s="25">
        <v>7.5801000000000002E-3</v>
      </c>
    </row>
    <row r="34" spans="1:5" x14ac:dyDescent="0.35">
      <c r="A34" s="23">
        <v>28</v>
      </c>
      <c r="B34" s="25">
        <v>9.8799999999999995E-4</v>
      </c>
      <c r="D34" s="23">
        <v>28</v>
      </c>
      <c r="E34" s="25">
        <v>7.5801000000000002E-3</v>
      </c>
    </row>
    <row r="35" spans="1:5" x14ac:dyDescent="0.35">
      <c r="A35" s="23">
        <v>29</v>
      </c>
      <c r="B35" s="25">
        <v>1.0054E-3</v>
      </c>
      <c r="D35" s="23">
        <v>29</v>
      </c>
      <c r="E35" s="25">
        <v>8.4323000000000002E-3</v>
      </c>
    </row>
    <row r="36" spans="1:5" x14ac:dyDescent="0.35">
      <c r="A36" s="23">
        <v>30</v>
      </c>
      <c r="B36" s="25">
        <v>1.0300999999999999E-3</v>
      </c>
      <c r="D36" s="23">
        <v>30</v>
      </c>
      <c r="E36" s="25">
        <v>9.3354000000000006E-3</v>
      </c>
    </row>
    <row r="37" spans="1:5" x14ac:dyDescent="0.35">
      <c r="A37" s="23">
        <v>31</v>
      </c>
      <c r="B37" s="25">
        <v>1.06E-3</v>
      </c>
      <c r="D37" s="23">
        <v>31</v>
      </c>
      <c r="E37" s="25">
        <v>1.02025E-2</v>
      </c>
    </row>
    <row r="38" spans="1:5" x14ac:dyDescent="0.35">
      <c r="A38" s="23">
        <v>32</v>
      </c>
      <c r="B38" s="25">
        <v>1.0989000000000001E-3</v>
      </c>
      <c r="D38" s="23">
        <v>32</v>
      </c>
      <c r="E38" s="25">
        <v>7.5801000000000002E-3</v>
      </c>
    </row>
    <row r="39" spans="1:5" x14ac:dyDescent="0.35">
      <c r="A39" s="23">
        <v>33</v>
      </c>
      <c r="B39" s="25">
        <v>1.1460999999999999E-3</v>
      </c>
      <c r="D39" s="23">
        <v>33</v>
      </c>
      <c r="E39" s="25">
        <v>7.5801000000000002E-3</v>
      </c>
    </row>
    <row r="40" spans="1:5" x14ac:dyDescent="0.35">
      <c r="A40" s="23">
        <v>34</v>
      </c>
      <c r="B40" s="25">
        <v>1.2011000000000001E-3</v>
      </c>
      <c r="D40" s="23">
        <v>34</v>
      </c>
      <c r="E40" s="25">
        <v>7.5801000000000002E-3</v>
      </c>
    </row>
    <row r="41" spans="1:5" x14ac:dyDescent="0.35">
      <c r="A41" s="23">
        <v>35</v>
      </c>
      <c r="B41" s="25">
        <v>1.2643999999999999E-3</v>
      </c>
      <c r="D41" s="23">
        <v>35</v>
      </c>
      <c r="E41" s="25">
        <v>4.4149999999999997E-3</v>
      </c>
    </row>
    <row r="42" spans="1:5" x14ac:dyDescent="0.35">
      <c r="A42" s="23">
        <v>36</v>
      </c>
      <c r="B42" s="25">
        <v>1.3404000000000001E-3</v>
      </c>
      <c r="D42" s="23">
        <v>36</v>
      </c>
      <c r="E42" s="25">
        <v>4.8878999999999997E-3</v>
      </c>
    </row>
    <row r="43" spans="1:5" x14ac:dyDescent="0.35">
      <c r="A43" s="23">
        <v>37</v>
      </c>
      <c r="B43" s="25">
        <v>1.4335000000000001E-3</v>
      </c>
      <c r="D43" s="23">
        <v>37</v>
      </c>
      <c r="E43" s="25">
        <v>5.3419000000000001E-3</v>
      </c>
    </row>
    <row r="44" spans="1:5" x14ac:dyDescent="0.35">
      <c r="A44" s="23">
        <v>38</v>
      </c>
      <c r="B44" s="25">
        <v>1.5483999999999999E-3</v>
      </c>
      <c r="D44" s="23">
        <v>38</v>
      </c>
      <c r="E44" s="25">
        <v>3.9687999999999998E-3</v>
      </c>
    </row>
    <row r="45" spans="1:5" x14ac:dyDescent="0.35">
      <c r="A45" s="23">
        <v>39</v>
      </c>
      <c r="B45" s="25">
        <v>1.6854000000000001E-3</v>
      </c>
      <c r="D45" s="23">
        <v>39</v>
      </c>
      <c r="E45" s="25">
        <v>4.4149999999999997E-3</v>
      </c>
    </row>
    <row r="46" spans="1:5" x14ac:dyDescent="0.35">
      <c r="A46" s="23">
        <v>40</v>
      </c>
      <c r="B46" s="25">
        <v>1.8355999999999999E-3</v>
      </c>
      <c r="D46" s="23">
        <v>40</v>
      </c>
      <c r="E46" s="25">
        <v>4.8878999999999997E-3</v>
      </c>
    </row>
    <row r="47" spans="1:5" x14ac:dyDescent="0.35">
      <c r="A47" s="23">
        <v>41</v>
      </c>
      <c r="B47" s="25">
        <v>1.9995999999999998E-3</v>
      </c>
      <c r="D47" s="23">
        <v>41</v>
      </c>
      <c r="E47" s="25">
        <v>5.3419000000000001E-3</v>
      </c>
    </row>
    <row r="48" spans="1:5" x14ac:dyDescent="0.35">
      <c r="A48" s="23">
        <v>42</v>
      </c>
      <c r="B48" s="25">
        <v>2.1878000000000002E-3</v>
      </c>
      <c r="D48" s="23">
        <v>42</v>
      </c>
      <c r="E48" s="25">
        <v>3.9687999999999998E-3</v>
      </c>
    </row>
    <row r="49" spans="1:5" x14ac:dyDescent="0.35">
      <c r="A49" s="23">
        <v>43</v>
      </c>
      <c r="B49" s="25">
        <v>2.3996999999999998E-3</v>
      </c>
      <c r="D49" s="23">
        <v>43</v>
      </c>
      <c r="E49" s="25">
        <v>4.4149999999999997E-3</v>
      </c>
    </row>
    <row r="50" spans="1:5" x14ac:dyDescent="0.35">
      <c r="A50" s="23">
        <v>44</v>
      </c>
      <c r="B50" s="25">
        <v>2.6285000000000002E-3</v>
      </c>
      <c r="D50" s="23">
        <v>44</v>
      </c>
      <c r="E50" s="25">
        <v>4.8878999999999997E-3</v>
      </c>
    </row>
    <row r="51" spans="1:5" x14ac:dyDescent="0.35">
      <c r="A51" s="23">
        <v>45</v>
      </c>
      <c r="B51" s="25">
        <v>2.8639E-3</v>
      </c>
      <c r="D51" s="23">
        <v>45</v>
      </c>
      <c r="E51" s="25">
        <v>5.3419000000000001E-3</v>
      </c>
    </row>
    <row r="52" spans="1:5" x14ac:dyDescent="0.35">
      <c r="A52" s="23">
        <v>46</v>
      </c>
      <c r="B52" s="25">
        <v>3.1069000000000001E-3</v>
      </c>
      <c r="D52" s="23">
        <v>46</v>
      </c>
      <c r="E52" s="25">
        <v>3.9687999999999998E-3</v>
      </c>
    </row>
    <row r="53" spans="1:5" x14ac:dyDescent="0.35">
      <c r="A53" s="23">
        <v>47</v>
      </c>
      <c r="B53" s="25">
        <v>3.3693999999999998E-3</v>
      </c>
      <c r="D53" s="23">
        <v>47</v>
      </c>
      <c r="E53" s="25">
        <v>4.4149999999999997E-3</v>
      </c>
    </row>
    <row r="54" spans="1:5" x14ac:dyDescent="0.35">
      <c r="A54" s="23">
        <v>48</v>
      </c>
      <c r="B54" s="25">
        <v>3.6608999999999999E-3</v>
      </c>
      <c r="D54" s="23">
        <v>48</v>
      </c>
      <c r="E54" s="25">
        <v>4.8878999999999997E-3</v>
      </c>
    </row>
    <row r="55" spans="1:5" x14ac:dyDescent="0.35">
      <c r="A55" s="23">
        <v>49</v>
      </c>
      <c r="B55" s="25">
        <v>3.9836000000000003E-3</v>
      </c>
      <c r="D55" s="23">
        <v>49</v>
      </c>
      <c r="E55" s="25">
        <v>5.3419000000000001E-3</v>
      </c>
    </row>
    <row r="56" spans="1:5" x14ac:dyDescent="0.35">
      <c r="A56" s="23">
        <v>50</v>
      </c>
      <c r="B56" s="25">
        <v>4.3368E-3</v>
      </c>
      <c r="D56" s="23">
        <v>50</v>
      </c>
      <c r="E56" s="25">
        <v>3.9687999999999998E-3</v>
      </c>
    </row>
    <row r="57" spans="1:5" x14ac:dyDescent="0.35">
      <c r="A57" s="23">
        <v>51</v>
      </c>
      <c r="B57" s="25">
        <v>4.7089000000000002E-3</v>
      </c>
      <c r="D57" s="23">
        <v>51</v>
      </c>
      <c r="E57" s="25">
        <v>4.4149999999999997E-3</v>
      </c>
    </row>
    <row r="58" spans="1:5" x14ac:dyDescent="0.35">
      <c r="A58" s="23">
        <v>52</v>
      </c>
      <c r="B58" s="25">
        <v>5.0913E-3</v>
      </c>
      <c r="D58" s="23">
        <v>52</v>
      </c>
      <c r="E58" s="25">
        <v>4.8878999999999997E-3</v>
      </c>
    </row>
    <row r="59" spans="1:5" x14ac:dyDescent="0.35">
      <c r="A59" s="23">
        <v>53</v>
      </c>
      <c r="B59" s="25">
        <v>5.4741E-3</v>
      </c>
      <c r="D59" s="23">
        <v>53</v>
      </c>
      <c r="E59" s="25">
        <v>5.3419000000000001E-3</v>
      </c>
    </row>
    <row r="60" spans="1:5" x14ac:dyDescent="0.35">
      <c r="A60" s="23">
        <v>54</v>
      </c>
      <c r="B60" s="25">
        <v>5.8631000000000004E-3</v>
      </c>
      <c r="D60" s="23">
        <v>54</v>
      </c>
      <c r="E60" s="25">
        <v>3.9687999999999998E-3</v>
      </c>
    </row>
    <row r="61" spans="1:5" x14ac:dyDescent="0.35">
      <c r="A61" s="23">
        <v>55</v>
      </c>
      <c r="B61" s="25">
        <v>6.2747000000000002E-3</v>
      </c>
      <c r="D61" s="23">
        <v>55</v>
      </c>
      <c r="E61" s="25">
        <v>2.0284999999999999E-3</v>
      </c>
    </row>
    <row r="62" spans="1:5" x14ac:dyDescent="0.35">
      <c r="A62" s="23">
        <v>56</v>
      </c>
      <c r="B62" s="25">
        <v>6.7257000000000003E-3</v>
      </c>
      <c r="D62" s="23">
        <v>56</v>
      </c>
      <c r="E62" s="25">
        <v>2.2458000000000001E-3</v>
      </c>
    </row>
    <row r="63" spans="1:5" x14ac:dyDescent="0.35">
      <c r="A63" s="23">
        <v>57</v>
      </c>
      <c r="B63" s="25">
        <v>7.2202999999999998E-3</v>
      </c>
      <c r="D63" s="23">
        <v>57</v>
      </c>
      <c r="E63" s="25">
        <v>2.4543999999999998E-3</v>
      </c>
    </row>
    <row r="64" spans="1:5" x14ac:dyDescent="0.35">
      <c r="A64" s="23">
        <v>58</v>
      </c>
      <c r="B64" s="25">
        <v>7.7724999999999999E-3</v>
      </c>
      <c r="D64" s="23">
        <v>58</v>
      </c>
      <c r="E64" s="25">
        <v>2.0284999999999999E-3</v>
      </c>
    </row>
    <row r="65" spans="1:5" x14ac:dyDescent="0.35">
      <c r="A65" s="23">
        <v>59</v>
      </c>
      <c r="B65" s="25">
        <v>8.3891E-3</v>
      </c>
      <c r="D65" s="23">
        <v>59</v>
      </c>
      <c r="E65" s="25">
        <v>2.2458000000000001E-3</v>
      </c>
    </row>
    <row r="66" spans="1:5" x14ac:dyDescent="0.35">
      <c r="A66" s="23">
        <v>60</v>
      </c>
      <c r="B66" s="25">
        <v>9.0805999999999994E-3</v>
      </c>
      <c r="D66" s="23">
        <v>60</v>
      </c>
      <c r="E66" s="25">
        <v>2.4543999999999998E-3</v>
      </c>
    </row>
    <row r="67" spans="1:5" x14ac:dyDescent="0.35">
      <c r="A67" s="23">
        <v>61</v>
      </c>
      <c r="B67" s="25">
        <v>9.8393999999999999E-3</v>
      </c>
      <c r="D67" s="23">
        <v>61</v>
      </c>
      <c r="E67" s="25">
        <v>2.0284999999999999E-3</v>
      </c>
    </row>
    <row r="68" spans="1:5" x14ac:dyDescent="0.35">
      <c r="A68" s="23">
        <v>62</v>
      </c>
      <c r="B68" s="25">
        <v>1.06573E-2</v>
      </c>
      <c r="D68" s="23">
        <v>62</v>
      </c>
      <c r="E68" s="25">
        <v>2.2458000000000001E-3</v>
      </c>
    </row>
    <row r="69" spans="1:5" x14ac:dyDescent="0.35">
      <c r="A69" s="23">
        <v>63</v>
      </c>
      <c r="B69" s="25">
        <v>1.15336E-2</v>
      </c>
      <c r="D69" s="23">
        <v>63</v>
      </c>
      <c r="E69" s="25">
        <v>2.4543999999999998E-3</v>
      </c>
    </row>
    <row r="70" spans="1:5" x14ac:dyDescent="0.35">
      <c r="A70" s="23">
        <v>64</v>
      </c>
      <c r="B70" s="25">
        <v>1.24914E-2</v>
      </c>
      <c r="D70" s="23">
        <v>64</v>
      </c>
      <c r="E70" s="25">
        <v>2.0284999999999999E-3</v>
      </c>
    </row>
    <row r="71" spans="1:5" x14ac:dyDescent="0.35">
      <c r="A71" s="23">
        <v>65</v>
      </c>
      <c r="B71" s="25">
        <v>1.35995E-2</v>
      </c>
      <c r="D71" s="23">
        <v>65</v>
      </c>
      <c r="E71" s="25">
        <v>2.2458000000000001E-3</v>
      </c>
    </row>
    <row r="72" spans="1:5" x14ac:dyDescent="0.35">
      <c r="A72" s="23">
        <v>66</v>
      </c>
      <c r="B72" s="25">
        <v>1.4722300000000001E-2</v>
      </c>
      <c r="D72" s="23">
        <v>66</v>
      </c>
      <c r="E72" s="25">
        <v>2.4543999999999998E-3</v>
      </c>
    </row>
    <row r="73" spans="1:5" x14ac:dyDescent="0.35">
      <c r="A73" s="23">
        <v>67</v>
      </c>
      <c r="B73" s="25">
        <v>1.5958799999999999E-2</v>
      </c>
      <c r="D73" s="23">
        <v>67</v>
      </c>
      <c r="E73" s="25">
        <v>2.0284999999999999E-3</v>
      </c>
    </row>
    <row r="74" spans="1:5" x14ac:dyDescent="0.35">
      <c r="A74" s="23">
        <v>68</v>
      </c>
      <c r="B74" s="25">
        <v>1.7287899999999998E-2</v>
      </c>
      <c r="D74" s="23">
        <v>68</v>
      </c>
      <c r="E74" s="25">
        <v>2.2458000000000001E-3</v>
      </c>
    </row>
    <row r="75" spans="1:5" x14ac:dyDescent="0.35">
      <c r="A75" s="23">
        <v>69</v>
      </c>
      <c r="B75" s="25">
        <v>1.8755299999999999E-2</v>
      </c>
      <c r="D75" s="23">
        <v>69</v>
      </c>
      <c r="E75" s="25">
        <v>2.4543999999999998E-3</v>
      </c>
    </row>
    <row r="76" spans="1:5" x14ac:dyDescent="0.35">
      <c r="A76" s="23">
        <v>70</v>
      </c>
      <c r="B76" s="25">
        <v>2.0424000000000001E-2</v>
      </c>
      <c r="D76" s="23">
        <v>70</v>
      </c>
      <c r="E76" s="25">
        <v>2.0284999999999999E-3</v>
      </c>
    </row>
    <row r="77" spans="1:5" x14ac:dyDescent="0.35">
      <c r="A77" s="23">
        <v>71</v>
      </c>
      <c r="B77" s="25">
        <v>2.2384899999999999E-2</v>
      </c>
      <c r="D77" s="23">
        <v>71</v>
      </c>
      <c r="E77" s="25">
        <v>2.2458000000000001E-3</v>
      </c>
    </row>
    <row r="78" spans="1:5" x14ac:dyDescent="0.35">
      <c r="A78" s="23">
        <v>72</v>
      </c>
      <c r="B78" s="25">
        <v>2.4678499999999999E-2</v>
      </c>
      <c r="D78" s="23">
        <v>72</v>
      </c>
      <c r="E78" s="25">
        <v>2.4543999999999998E-3</v>
      </c>
    </row>
    <row r="79" spans="1:5" x14ac:dyDescent="0.35">
      <c r="A79" s="23">
        <v>73</v>
      </c>
      <c r="B79" s="25">
        <v>2.73201E-2</v>
      </c>
      <c r="D79" s="23">
        <v>73</v>
      </c>
      <c r="E79" s="25">
        <v>2.0284999999999999E-3</v>
      </c>
    </row>
    <row r="80" spans="1:5" x14ac:dyDescent="0.35">
      <c r="A80" s="23">
        <v>74</v>
      </c>
      <c r="B80" s="25">
        <v>3.0299099999999999E-2</v>
      </c>
      <c r="D80" s="23">
        <v>74</v>
      </c>
      <c r="E80" s="25">
        <v>2.2458000000000001E-3</v>
      </c>
    </row>
    <row r="81" spans="1:5" x14ac:dyDescent="0.35">
      <c r="A81" s="23">
        <v>75</v>
      </c>
      <c r="B81" s="25">
        <v>3.3635600000000002E-2</v>
      </c>
      <c r="D81" s="23">
        <v>75</v>
      </c>
      <c r="E81" s="25">
        <v>2.4543999999999998E-3</v>
      </c>
    </row>
    <row r="82" spans="1:5" x14ac:dyDescent="0.35">
      <c r="A82" s="23">
        <v>76</v>
      </c>
      <c r="B82" s="25">
        <v>3.7215499999999999E-2</v>
      </c>
      <c r="D82" s="23">
        <v>76</v>
      </c>
      <c r="E82" s="25">
        <v>2.0284999999999999E-3</v>
      </c>
    </row>
    <row r="83" spans="1:5" x14ac:dyDescent="0.35">
      <c r="A83" s="23">
        <v>77</v>
      </c>
      <c r="B83" s="25">
        <v>4.1160299999999997E-2</v>
      </c>
      <c r="D83" s="23">
        <v>77</v>
      </c>
      <c r="E83" s="25">
        <v>2.2458000000000001E-3</v>
      </c>
    </row>
    <row r="84" spans="1:5" x14ac:dyDescent="0.35">
      <c r="A84" s="23">
        <v>78</v>
      </c>
      <c r="B84" s="25">
        <v>4.5503399999999999E-2</v>
      </c>
      <c r="D84" s="23">
        <v>78</v>
      </c>
      <c r="E84" s="25">
        <v>2.4543999999999998E-3</v>
      </c>
    </row>
    <row r="85" spans="1:5" x14ac:dyDescent="0.35">
      <c r="A85" s="23">
        <v>79</v>
      </c>
      <c r="B85" s="25">
        <v>5.02808E-2</v>
      </c>
      <c r="D85" s="23">
        <v>79</v>
      </c>
      <c r="E85" s="25">
        <v>2.0284999999999999E-3</v>
      </c>
    </row>
    <row r="86" spans="1:5" x14ac:dyDescent="0.35">
      <c r="A86" s="24">
        <v>80</v>
      </c>
      <c r="B86" s="26">
        <v>5.5530599999999999E-2</v>
      </c>
      <c r="D86" s="24">
        <v>80</v>
      </c>
      <c r="E86" s="26">
        <v>2.2458000000000001E-3</v>
      </c>
    </row>
    <row r="90" spans="1:5" x14ac:dyDescent="0.35">
      <c r="A90" s="180" t="s">
        <v>0</v>
      </c>
      <c r="B90" s="181"/>
      <c r="C90" s="181"/>
    </row>
    <row r="91" spans="1:5" x14ac:dyDescent="0.35">
      <c r="A91" s="209" t="s">
        <v>83</v>
      </c>
      <c r="B91" s="181"/>
      <c r="C91" s="181"/>
    </row>
  </sheetData>
  <mergeCells count="2">
    <mergeCell ref="A90:C90"/>
    <mergeCell ref="A91:C9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J46"/>
  <sheetViews>
    <sheetView workbookViewId="0"/>
  </sheetViews>
  <sheetFormatPr defaultRowHeight="14.5" x14ac:dyDescent="0.35"/>
  <cols>
    <col min="2" max="2" width="42.26953125" bestFit="1" customWidth="1"/>
    <col min="3" max="3" width="10.81640625" bestFit="1" customWidth="1"/>
    <col min="4" max="4" width="59.54296875" bestFit="1" customWidth="1"/>
    <col min="7" max="7" width="9.90625" bestFit="1" customWidth="1"/>
    <col min="8" max="9" width="11.81640625" bestFit="1" customWidth="1"/>
  </cols>
  <sheetData>
    <row r="2" spans="2:10" ht="18.5" x14ac:dyDescent="0.45">
      <c r="B2" s="85" t="s">
        <v>158</v>
      </c>
    </row>
    <row r="4" spans="2:10" x14ac:dyDescent="0.35">
      <c r="B4" t="s">
        <v>2</v>
      </c>
      <c r="G4" s="181" t="s">
        <v>159</v>
      </c>
      <c r="H4" s="181"/>
      <c r="I4" s="181"/>
      <c r="J4" s="181"/>
    </row>
    <row r="5" spans="2:10" x14ac:dyDescent="0.35">
      <c r="B5" s="96" t="s">
        <v>3</v>
      </c>
      <c r="C5" s="95" t="s">
        <v>4</v>
      </c>
      <c r="D5" s="95" t="s">
        <v>5</v>
      </c>
      <c r="G5" s="102" t="str">
        <f>'Markov model Inputs &amp; Results'!F16</f>
        <v>Strategy</v>
      </c>
      <c r="H5" s="100" t="str">
        <f>'Markov model Inputs &amp; Results'!G16</f>
        <v>Cost</v>
      </c>
      <c r="I5" s="101" t="str">
        <f>'Markov model Inputs &amp; Results'!H16</f>
        <v>Eff</v>
      </c>
    </row>
    <row r="6" spans="2:10" x14ac:dyDescent="0.35">
      <c r="B6" s="97" t="s">
        <v>6</v>
      </c>
      <c r="C6" s="97"/>
      <c r="D6" s="43"/>
      <c r="G6" s="5" t="str">
        <f>'Markov model Inputs &amp; Results'!F17</f>
        <v>Uninfected</v>
      </c>
      <c r="H6">
        <f>'Markov model Inputs &amp; Results'!G17</f>
        <v>1534.3727479779975</v>
      </c>
      <c r="I6" s="6">
        <f>'Markov model Inputs &amp; Results'!H17</f>
        <v>27.727423753831907</v>
      </c>
    </row>
    <row r="7" spans="2:10" x14ac:dyDescent="0.35">
      <c r="B7" s="98" t="s">
        <v>7</v>
      </c>
      <c r="C7" s="98">
        <v>0.03</v>
      </c>
      <c r="D7" s="14" t="s">
        <v>8</v>
      </c>
      <c r="G7" s="8" t="str">
        <f>'Markov model Inputs &amp; Results'!F18</f>
        <v>Infected</v>
      </c>
      <c r="H7" s="7">
        <f>'Markov model Inputs &amp; Results'!G18</f>
        <v>136632.93323927111</v>
      </c>
      <c r="I7" s="9">
        <f>'Markov model Inputs &amp; Results'!H18</f>
        <v>23.813582244547764</v>
      </c>
    </row>
    <row r="8" spans="2:10" x14ac:dyDescent="0.35">
      <c r="B8" s="98" t="s">
        <v>7</v>
      </c>
      <c r="C8" s="98">
        <v>0.7</v>
      </c>
      <c r="D8" s="14" t="s">
        <v>9</v>
      </c>
    </row>
    <row r="9" spans="2:10" x14ac:dyDescent="0.35">
      <c r="B9" s="98" t="s">
        <v>7</v>
      </c>
      <c r="C9" s="98">
        <v>0.61</v>
      </c>
      <c r="D9" s="14" t="s">
        <v>10</v>
      </c>
      <c r="G9" s="181" t="s">
        <v>160</v>
      </c>
      <c r="H9" s="181"/>
      <c r="I9" s="181"/>
      <c r="J9" s="181"/>
    </row>
    <row r="10" spans="2:10" x14ac:dyDescent="0.35">
      <c r="B10" s="98" t="s">
        <v>7</v>
      </c>
      <c r="C10" s="98">
        <v>0.72</v>
      </c>
      <c r="D10" s="14" t="s">
        <v>11</v>
      </c>
      <c r="G10" s="102" t="s">
        <v>161</v>
      </c>
      <c r="H10" s="100" t="s">
        <v>162</v>
      </c>
      <c r="I10" s="101" t="s">
        <v>163</v>
      </c>
    </row>
    <row r="11" spans="2:10" x14ac:dyDescent="0.35">
      <c r="B11" s="98" t="s">
        <v>7</v>
      </c>
      <c r="C11" s="98">
        <v>0.06</v>
      </c>
      <c r="D11" s="14" t="s">
        <v>12</v>
      </c>
      <c r="G11" s="103" t="s">
        <v>68</v>
      </c>
      <c r="H11" s="104">
        <v>1534.3727479779975</v>
      </c>
      <c r="I11" s="105">
        <v>27.727423753831907</v>
      </c>
    </row>
    <row r="12" spans="2:10" x14ac:dyDescent="0.35">
      <c r="B12" s="98" t="s">
        <v>7</v>
      </c>
      <c r="C12" s="98">
        <v>1</v>
      </c>
      <c r="D12" s="14" t="s">
        <v>13</v>
      </c>
      <c r="G12" s="82" t="s">
        <v>49</v>
      </c>
      <c r="H12" s="83">
        <v>135981.1071192711</v>
      </c>
      <c r="I12" s="84">
        <v>23.81356795929776</v>
      </c>
    </row>
    <row r="13" spans="2:10" x14ac:dyDescent="0.35">
      <c r="B13" s="98" t="s">
        <v>7</v>
      </c>
      <c r="C13" s="98">
        <v>1</v>
      </c>
      <c r="D13" s="14" t="s">
        <v>14</v>
      </c>
    </row>
    <row r="14" spans="2:10" x14ac:dyDescent="0.35">
      <c r="B14" s="98" t="s">
        <v>7</v>
      </c>
      <c r="C14" s="98">
        <v>7378.08</v>
      </c>
      <c r="D14" s="14" t="s">
        <v>15</v>
      </c>
      <c r="G14" s="181" t="s">
        <v>164</v>
      </c>
      <c r="H14" s="181"/>
      <c r="I14" s="181"/>
      <c r="J14" s="181"/>
    </row>
    <row r="15" spans="2:10" x14ac:dyDescent="0.35">
      <c r="B15" s="98" t="s">
        <v>7</v>
      </c>
      <c r="C15" s="98">
        <v>964126.24</v>
      </c>
      <c r="D15" s="14" t="s">
        <v>16</v>
      </c>
      <c r="G15" s="102" t="s">
        <v>161</v>
      </c>
      <c r="H15" s="100" t="s">
        <v>162</v>
      </c>
      <c r="I15" s="101" t="s">
        <v>163</v>
      </c>
    </row>
    <row r="16" spans="2:10" x14ac:dyDescent="0.35">
      <c r="B16" s="98" t="s">
        <v>7</v>
      </c>
      <c r="C16" s="98">
        <v>837648.8</v>
      </c>
      <c r="D16" s="14" t="s">
        <v>17</v>
      </c>
      <c r="G16" s="79" t="s">
        <v>68</v>
      </c>
      <c r="H16" s="80">
        <v>151004.25535537122</v>
      </c>
      <c r="I16" s="81">
        <v>27.727423753831868</v>
      </c>
    </row>
    <row r="17" spans="2:9" x14ac:dyDescent="0.35">
      <c r="B17" s="98" t="s">
        <v>7</v>
      </c>
      <c r="C17" s="98">
        <v>3990666.36</v>
      </c>
      <c r="D17" s="14" t="s">
        <v>18</v>
      </c>
      <c r="G17" s="82" t="s">
        <v>49</v>
      </c>
      <c r="H17" s="83">
        <v>354505.32362096536</v>
      </c>
      <c r="I17" s="84">
        <v>23.813567959297746</v>
      </c>
    </row>
    <row r="18" spans="2:9" x14ac:dyDescent="0.35">
      <c r="B18" s="98" t="s">
        <v>7</v>
      </c>
      <c r="C18" s="98">
        <v>52216.17</v>
      </c>
      <c r="D18" s="14" t="s">
        <v>19</v>
      </c>
    </row>
    <row r="19" spans="2:9" x14ac:dyDescent="0.35">
      <c r="B19" s="98" t="s">
        <v>7</v>
      </c>
      <c r="C19" s="98">
        <v>7.5999999999999998E-2</v>
      </c>
      <c r="D19" s="14" t="s">
        <v>20</v>
      </c>
    </row>
    <row r="20" spans="2:9" x14ac:dyDescent="0.35">
      <c r="B20" s="98" t="s">
        <v>7</v>
      </c>
      <c r="C20" s="98">
        <v>1.9E-2</v>
      </c>
      <c r="D20" s="14" t="s">
        <v>21</v>
      </c>
    </row>
    <row r="21" spans="2:9" x14ac:dyDescent="0.35">
      <c r="B21" s="98" t="s">
        <v>7</v>
      </c>
      <c r="C21" s="98">
        <v>1.2E-2</v>
      </c>
      <c r="D21" s="14" t="s">
        <v>22</v>
      </c>
    </row>
    <row r="22" spans="2:9" x14ac:dyDescent="0.35">
      <c r="B22" s="98" t="s">
        <v>7</v>
      </c>
      <c r="C22" s="98">
        <v>6.4000000000000001E-2</v>
      </c>
      <c r="D22" s="14" t="s">
        <v>23</v>
      </c>
    </row>
    <row r="23" spans="2:9" x14ac:dyDescent="0.35">
      <c r="B23" s="98" t="s">
        <v>7</v>
      </c>
      <c r="C23" s="98">
        <v>2.1000000000000001E-2</v>
      </c>
      <c r="D23" s="14" t="s">
        <v>24</v>
      </c>
    </row>
    <row r="24" spans="2:9" x14ac:dyDescent="0.35">
      <c r="B24" s="98" t="s">
        <v>7</v>
      </c>
      <c r="C24" s="98">
        <v>9.2999999999999999E-2</v>
      </c>
      <c r="D24" s="14" t="s">
        <v>25</v>
      </c>
    </row>
    <row r="25" spans="2:9" x14ac:dyDescent="0.35">
      <c r="B25" s="98" t="s">
        <v>7</v>
      </c>
      <c r="C25" s="98">
        <v>3.3314999999999998E-3</v>
      </c>
      <c r="D25" s="14" t="s">
        <v>26</v>
      </c>
    </row>
    <row r="26" spans="2:9" x14ac:dyDescent="0.35">
      <c r="B26" s="98" t="s">
        <v>7</v>
      </c>
      <c r="C26" s="98">
        <v>902853</v>
      </c>
      <c r="D26" s="14" t="s">
        <v>27</v>
      </c>
    </row>
    <row r="27" spans="2:9" x14ac:dyDescent="0.35">
      <c r="B27" s="98" t="s">
        <v>7</v>
      </c>
      <c r="C27" s="98">
        <v>1007197</v>
      </c>
      <c r="D27" s="14" t="s">
        <v>28</v>
      </c>
    </row>
    <row r="28" spans="2:9" x14ac:dyDescent="0.35">
      <c r="B28" s="98" t="s">
        <v>7</v>
      </c>
      <c r="C28" s="98">
        <v>52216.17</v>
      </c>
      <c r="D28" s="14" t="s">
        <v>29</v>
      </c>
    </row>
    <row r="29" spans="2:9" x14ac:dyDescent="0.35">
      <c r="B29" s="98" t="s">
        <v>7</v>
      </c>
      <c r="C29" s="98">
        <v>3.3314999999999998E-3</v>
      </c>
      <c r="D29" s="14" t="s">
        <v>30</v>
      </c>
    </row>
    <row r="30" spans="2:9" x14ac:dyDescent="0.35">
      <c r="B30" s="98" t="s">
        <v>7</v>
      </c>
      <c r="C30" s="98">
        <v>52216.17</v>
      </c>
      <c r="D30" s="14" t="s">
        <v>31</v>
      </c>
    </row>
    <row r="31" spans="2:9" x14ac:dyDescent="0.35">
      <c r="B31" s="98" t="s">
        <v>7</v>
      </c>
      <c r="C31" s="98">
        <v>7378.08</v>
      </c>
      <c r="D31" s="14" t="s">
        <v>32</v>
      </c>
    </row>
    <row r="32" spans="2:9" x14ac:dyDescent="0.35">
      <c r="B32" s="98" t="s">
        <v>7</v>
      </c>
      <c r="C32" s="98">
        <v>1</v>
      </c>
      <c r="D32" s="14" t="s">
        <v>33</v>
      </c>
    </row>
    <row r="33" spans="2:4" x14ac:dyDescent="0.35">
      <c r="B33" s="98" t="s">
        <v>7</v>
      </c>
      <c r="C33" s="98">
        <v>52216.17</v>
      </c>
      <c r="D33" s="14" t="s">
        <v>34</v>
      </c>
    </row>
    <row r="34" spans="2:4" x14ac:dyDescent="0.35">
      <c r="B34" s="98" t="s">
        <v>7</v>
      </c>
      <c r="C34" s="98">
        <v>215356.24</v>
      </c>
      <c r="D34" s="14" t="s">
        <v>35</v>
      </c>
    </row>
    <row r="35" spans="2:4" x14ac:dyDescent="0.35">
      <c r="B35" s="98" t="s">
        <v>7</v>
      </c>
      <c r="C35" s="98">
        <v>0.7</v>
      </c>
      <c r="D35" s="14" t="s">
        <v>36</v>
      </c>
    </row>
    <row r="36" spans="2:4" x14ac:dyDescent="0.35">
      <c r="B36" s="98" t="s">
        <v>7</v>
      </c>
      <c r="C36" s="98">
        <v>52216.17</v>
      </c>
      <c r="D36" s="14" t="s">
        <v>37</v>
      </c>
    </row>
    <row r="37" spans="2:4" x14ac:dyDescent="0.35">
      <c r="B37" s="98" t="s">
        <v>7</v>
      </c>
      <c r="C37" s="98">
        <v>258426.98</v>
      </c>
      <c r="D37" s="14" t="s">
        <v>38</v>
      </c>
    </row>
    <row r="38" spans="2:4" x14ac:dyDescent="0.35">
      <c r="B38" s="98" t="s">
        <v>7</v>
      </c>
      <c r="C38" s="98">
        <v>0.61</v>
      </c>
      <c r="D38" s="14" t="s">
        <v>39</v>
      </c>
    </row>
    <row r="39" spans="2:4" x14ac:dyDescent="0.35">
      <c r="B39" s="98" t="s">
        <v>7</v>
      </c>
      <c r="C39" s="98">
        <v>52216.17</v>
      </c>
      <c r="D39" s="14" t="s">
        <v>40</v>
      </c>
    </row>
    <row r="40" spans="2:4" x14ac:dyDescent="0.35">
      <c r="B40" s="98" t="s">
        <v>7</v>
      </c>
      <c r="C40" s="98">
        <v>88878.78</v>
      </c>
      <c r="D40" s="14" t="s">
        <v>41</v>
      </c>
    </row>
    <row r="41" spans="2:4" x14ac:dyDescent="0.35">
      <c r="B41" s="98" t="s">
        <v>7</v>
      </c>
      <c r="C41" s="98">
        <v>0.72</v>
      </c>
      <c r="D41" s="14" t="s">
        <v>42</v>
      </c>
    </row>
    <row r="42" spans="2:4" x14ac:dyDescent="0.35">
      <c r="B42" s="98" t="s">
        <v>7</v>
      </c>
      <c r="C42" s="98">
        <v>52216.17</v>
      </c>
      <c r="D42" s="14" t="s">
        <v>43</v>
      </c>
    </row>
    <row r="43" spans="2:4" x14ac:dyDescent="0.35">
      <c r="B43" s="98" t="s">
        <v>7</v>
      </c>
      <c r="C43" s="98">
        <v>3241896.36</v>
      </c>
      <c r="D43" s="14" t="s">
        <v>44</v>
      </c>
    </row>
    <row r="44" spans="2:4" x14ac:dyDescent="0.35">
      <c r="B44" s="98" t="s">
        <v>7</v>
      </c>
      <c r="C44" s="98">
        <v>0.06</v>
      </c>
      <c r="D44" s="14" t="s">
        <v>45</v>
      </c>
    </row>
    <row r="45" spans="2:4" x14ac:dyDescent="0.35">
      <c r="B45" s="98" t="s">
        <v>7</v>
      </c>
      <c r="C45" s="98">
        <v>52216.17</v>
      </c>
      <c r="D45" s="14" t="s">
        <v>46</v>
      </c>
    </row>
    <row r="46" spans="2:4" x14ac:dyDescent="0.35">
      <c r="B46" s="99" t="s">
        <v>7</v>
      </c>
      <c r="C46" s="99">
        <v>1</v>
      </c>
      <c r="D46" s="16" t="s">
        <v>47</v>
      </c>
    </row>
  </sheetData>
  <sheetProtection formatCells="0" formatColumns="0"/>
  <mergeCells count="3">
    <mergeCell ref="G4:J4"/>
    <mergeCell ref="G9:J9"/>
    <mergeCell ref="G14:J1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tnRestore">
              <controlPr defaultSize="0" print="0" autoFill="0" autoPict="0" macro="[0]!restore">
                <anchor moveWithCells="1" sizeWithCells="1">
                  <from>
                    <xdr:col>1</xdr:col>
                    <xdr:colOff>2508250</xdr:colOff>
                    <xdr:row>48</xdr:row>
                    <xdr:rowOff>12700</xdr:rowOff>
                  </from>
                  <to>
                    <xdr:col>3</xdr:col>
                    <xdr:colOff>323850</xdr:colOff>
                    <xdr:row>50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87"/>
  <sheetViews>
    <sheetView workbookViewId="0">
      <pane xSplit="2" ySplit="3" topLeftCell="C4" activePane="bottomRight" state="frozen"/>
      <selection pane="topRight"/>
      <selection pane="bottomLeft"/>
      <selection pane="bottomRight"/>
    </sheetView>
  </sheetViews>
  <sheetFormatPr defaultRowHeight="14.5" x14ac:dyDescent="0.35"/>
  <sheetData>
    <row r="1" spans="1:4" x14ac:dyDescent="0.35">
      <c r="A1" s="10" t="s">
        <v>84</v>
      </c>
    </row>
    <row r="3" spans="1:4" ht="43.5" x14ac:dyDescent="0.35">
      <c r="A3" s="27" t="s">
        <v>53</v>
      </c>
      <c r="C3" s="27" t="s">
        <v>85</v>
      </c>
      <c r="D3" s="27" t="s">
        <v>86</v>
      </c>
    </row>
    <row r="4" spans="1:4" x14ac:dyDescent="0.35">
      <c r="A4" s="28"/>
      <c r="C4" s="30"/>
      <c r="D4" s="33"/>
    </row>
    <row r="5" spans="1:4" x14ac:dyDescent="0.35">
      <c r="A5" s="14">
        <v>0</v>
      </c>
      <c r="C5" s="29">
        <f t="shared" ref="C5:D24" si="0">1/((1+discount_rate)^(cycle*1))</f>
        <v>1</v>
      </c>
      <c r="D5" s="32">
        <f t="shared" si="0"/>
        <v>1</v>
      </c>
    </row>
    <row r="6" spans="1:4" x14ac:dyDescent="0.35">
      <c r="A6" s="14">
        <v>1</v>
      </c>
      <c r="C6" s="29">
        <f t="shared" si="0"/>
        <v>0.970873786407767</v>
      </c>
      <c r="D6" s="32">
        <f t="shared" si="0"/>
        <v>0.970873786407767</v>
      </c>
    </row>
    <row r="7" spans="1:4" x14ac:dyDescent="0.35">
      <c r="A7" s="14">
        <v>2</v>
      </c>
      <c r="C7" s="29">
        <f t="shared" si="0"/>
        <v>0.94259590913375435</v>
      </c>
      <c r="D7" s="32">
        <f t="shared" si="0"/>
        <v>0.94259590913375435</v>
      </c>
    </row>
    <row r="8" spans="1:4" x14ac:dyDescent="0.35">
      <c r="A8" s="14">
        <v>3</v>
      </c>
      <c r="C8" s="29">
        <f t="shared" si="0"/>
        <v>0.91514165935315961</v>
      </c>
      <c r="D8" s="32">
        <f t="shared" si="0"/>
        <v>0.91514165935315961</v>
      </c>
    </row>
    <row r="9" spans="1:4" x14ac:dyDescent="0.35">
      <c r="A9" s="14">
        <v>4</v>
      </c>
      <c r="C9" s="29">
        <f t="shared" si="0"/>
        <v>0.888487047915689</v>
      </c>
      <c r="D9" s="32">
        <f t="shared" si="0"/>
        <v>0.888487047915689</v>
      </c>
    </row>
    <row r="10" spans="1:4" x14ac:dyDescent="0.35">
      <c r="A10" s="14">
        <v>5</v>
      </c>
      <c r="C10" s="29">
        <f t="shared" si="0"/>
        <v>0.86260878438416411</v>
      </c>
      <c r="D10" s="32">
        <f t="shared" si="0"/>
        <v>0.86260878438416411</v>
      </c>
    </row>
    <row r="11" spans="1:4" x14ac:dyDescent="0.35">
      <c r="A11" s="14">
        <v>6</v>
      </c>
      <c r="C11" s="29">
        <f t="shared" si="0"/>
        <v>0.83748425668365445</v>
      </c>
      <c r="D11" s="32">
        <f t="shared" si="0"/>
        <v>0.83748425668365445</v>
      </c>
    </row>
    <row r="12" spans="1:4" x14ac:dyDescent="0.35">
      <c r="A12" s="14">
        <v>7</v>
      </c>
      <c r="C12" s="29">
        <f t="shared" si="0"/>
        <v>0.81309151134335378</v>
      </c>
      <c r="D12" s="32">
        <f t="shared" si="0"/>
        <v>0.81309151134335378</v>
      </c>
    </row>
    <row r="13" spans="1:4" x14ac:dyDescent="0.35">
      <c r="A13" s="14">
        <v>8</v>
      </c>
      <c r="C13" s="29">
        <f t="shared" si="0"/>
        <v>0.78940923431393573</v>
      </c>
      <c r="D13" s="32">
        <f t="shared" si="0"/>
        <v>0.78940923431393573</v>
      </c>
    </row>
    <row r="14" spans="1:4" x14ac:dyDescent="0.35">
      <c r="A14" s="14">
        <v>9</v>
      </c>
      <c r="C14" s="29">
        <f t="shared" si="0"/>
        <v>0.76641673234362695</v>
      </c>
      <c r="D14" s="32">
        <f t="shared" si="0"/>
        <v>0.76641673234362695</v>
      </c>
    </row>
    <row r="15" spans="1:4" x14ac:dyDescent="0.35">
      <c r="A15" s="14">
        <v>10</v>
      </c>
      <c r="C15" s="29">
        <f t="shared" si="0"/>
        <v>0.74409391489672516</v>
      </c>
      <c r="D15" s="32">
        <f t="shared" si="0"/>
        <v>0.74409391489672516</v>
      </c>
    </row>
    <row r="16" spans="1:4" x14ac:dyDescent="0.35">
      <c r="A16" s="14">
        <v>11</v>
      </c>
      <c r="C16" s="29">
        <f t="shared" si="0"/>
        <v>0.72242127659876232</v>
      </c>
      <c r="D16" s="32">
        <f t="shared" si="0"/>
        <v>0.72242127659876232</v>
      </c>
    </row>
    <row r="17" spans="1:4" x14ac:dyDescent="0.35">
      <c r="A17" s="14">
        <v>12</v>
      </c>
      <c r="C17" s="29">
        <f t="shared" si="0"/>
        <v>0.70137988019297326</v>
      </c>
      <c r="D17" s="32">
        <f t="shared" si="0"/>
        <v>0.70137988019297326</v>
      </c>
    </row>
    <row r="18" spans="1:4" x14ac:dyDescent="0.35">
      <c r="A18" s="14">
        <v>13</v>
      </c>
      <c r="C18" s="29">
        <f t="shared" si="0"/>
        <v>0.68095133999317792</v>
      </c>
      <c r="D18" s="32">
        <f t="shared" si="0"/>
        <v>0.68095133999317792</v>
      </c>
    </row>
    <row r="19" spans="1:4" x14ac:dyDescent="0.35">
      <c r="A19" s="14">
        <v>14</v>
      </c>
      <c r="C19" s="29">
        <f t="shared" si="0"/>
        <v>0.66111780581861923</v>
      </c>
      <c r="D19" s="32">
        <f t="shared" si="0"/>
        <v>0.66111780581861923</v>
      </c>
    </row>
    <row r="20" spans="1:4" x14ac:dyDescent="0.35">
      <c r="A20" s="14">
        <v>15</v>
      </c>
      <c r="C20" s="29">
        <f t="shared" si="0"/>
        <v>0.64186194739671765</v>
      </c>
      <c r="D20" s="32">
        <f t="shared" si="0"/>
        <v>0.64186194739671765</v>
      </c>
    </row>
    <row r="21" spans="1:4" x14ac:dyDescent="0.35">
      <c r="A21" s="14">
        <v>16</v>
      </c>
      <c r="C21" s="29">
        <f t="shared" si="0"/>
        <v>0.62316693922011435</v>
      </c>
      <c r="D21" s="32">
        <f t="shared" si="0"/>
        <v>0.62316693922011435</v>
      </c>
    </row>
    <row r="22" spans="1:4" x14ac:dyDescent="0.35">
      <c r="A22" s="14">
        <v>17</v>
      </c>
      <c r="C22" s="29">
        <f t="shared" si="0"/>
        <v>0.60501644584477121</v>
      </c>
      <c r="D22" s="32">
        <f t="shared" si="0"/>
        <v>0.60501644584477121</v>
      </c>
    </row>
    <row r="23" spans="1:4" x14ac:dyDescent="0.35">
      <c r="A23" s="14">
        <v>18</v>
      </c>
      <c r="C23" s="29">
        <f t="shared" si="0"/>
        <v>0.5873946076162827</v>
      </c>
      <c r="D23" s="32">
        <f t="shared" si="0"/>
        <v>0.5873946076162827</v>
      </c>
    </row>
    <row r="24" spans="1:4" x14ac:dyDescent="0.35">
      <c r="A24" s="14">
        <v>19</v>
      </c>
      <c r="C24" s="29">
        <f t="shared" si="0"/>
        <v>0.57028602681192497</v>
      </c>
      <c r="D24" s="32">
        <f t="shared" si="0"/>
        <v>0.57028602681192497</v>
      </c>
    </row>
    <row r="25" spans="1:4" x14ac:dyDescent="0.35">
      <c r="A25" s="14">
        <v>20</v>
      </c>
      <c r="C25" s="29">
        <f t="shared" ref="C25:D44" si="1">1/((1+discount_rate)^(cycle*1))</f>
        <v>0.55367575418633497</v>
      </c>
      <c r="D25" s="32">
        <f t="shared" si="1"/>
        <v>0.55367575418633497</v>
      </c>
    </row>
    <row r="26" spans="1:4" x14ac:dyDescent="0.35">
      <c r="A26" s="14">
        <v>21</v>
      </c>
      <c r="C26" s="29">
        <f t="shared" si="1"/>
        <v>0.5375492759090631</v>
      </c>
      <c r="D26" s="32">
        <f t="shared" si="1"/>
        <v>0.5375492759090631</v>
      </c>
    </row>
    <row r="27" spans="1:4" x14ac:dyDescent="0.35">
      <c r="A27" s="14">
        <v>22</v>
      </c>
      <c r="C27" s="29">
        <f t="shared" si="1"/>
        <v>0.52189250088258554</v>
      </c>
      <c r="D27" s="32">
        <f t="shared" si="1"/>
        <v>0.52189250088258554</v>
      </c>
    </row>
    <row r="28" spans="1:4" x14ac:dyDescent="0.35">
      <c r="A28" s="14">
        <v>23</v>
      </c>
      <c r="C28" s="29">
        <f t="shared" si="1"/>
        <v>0.50669174842969467</v>
      </c>
      <c r="D28" s="32">
        <f t="shared" si="1"/>
        <v>0.50669174842969467</v>
      </c>
    </row>
    <row r="29" spans="1:4" x14ac:dyDescent="0.35">
      <c r="A29" s="14">
        <v>24</v>
      </c>
      <c r="C29" s="29">
        <f t="shared" si="1"/>
        <v>0.49193373633950943</v>
      </c>
      <c r="D29" s="32">
        <f t="shared" si="1"/>
        <v>0.49193373633950943</v>
      </c>
    </row>
    <row r="30" spans="1:4" x14ac:dyDescent="0.35">
      <c r="A30" s="14">
        <v>25</v>
      </c>
      <c r="C30" s="29">
        <f t="shared" si="1"/>
        <v>0.47760556926165965</v>
      </c>
      <c r="D30" s="32">
        <f t="shared" si="1"/>
        <v>0.47760556926165965</v>
      </c>
    </row>
    <row r="31" spans="1:4" x14ac:dyDescent="0.35">
      <c r="A31" s="14">
        <v>26</v>
      </c>
      <c r="C31" s="29">
        <f t="shared" si="1"/>
        <v>0.46369472743850448</v>
      </c>
      <c r="D31" s="32">
        <f t="shared" si="1"/>
        <v>0.46369472743850448</v>
      </c>
    </row>
    <row r="32" spans="1:4" x14ac:dyDescent="0.35">
      <c r="A32" s="14">
        <v>27</v>
      </c>
      <c r="C32" s="29">
        <f t="shared" si="1"/>
        <v>0.45018905576553836</v>
      </c>
      <c r="D32" s="32">
        <f t="shared" si="1"/>
        <v>0.45018905576553836</v>
      </c>
    </row>
    <row r="33" spans="1:4" x14ac:dyDescent="0.35">
      <c r="A33" s="14">
        <v>28</v>
      </c>
      <c r="C33" s="29">
        <f t="shared" si="1"/>
        <v>0.4370767531704256</v>
      </c>
      <c r="D33" s="32">
        <f t="shared" si="1"/>
        <v>0.4370767531704256</v>
      </c>
    </row>
    <row r="34" spans="1:4" x14ac:dyDescent="0.35">
      <c r="A34" s="14">
        <v>29</v>
      </c>
      <c r="C34" s="29">
        <f t="shared" si="1"/>
        <v>0.42434636230138412</v>
      </c>
      <c r="D34" s="32">
        <f t="shared" si="1"/>
        <v>0.42434636230138412</v>
      </c>
    </row>
    <row r="35" spans="1:4" x14ac:dyDescent="0.35">
      <c r="A35" s="14">
        <v>30</v>
      </c>
      <c r="C35" s="29">
        <f t="shared" si="1"/>
        <v>0.41198675951590691</v>
      </c>
      <c r="D35" s="32">
        <f t="shared" si="1"/>
        <v>0.41198675951590691</v>
      </c>
    </row>
    <row r="36" spans="1:4" x14ac:dyDescent="0.35">
      <c r="A36" s="14">
        <v>31</v>
      </c>
      <c r="C36" s="29">
        <f t="shared" si="1"/>
        <v>0.39998714516107459</v>
      </c>
      <c r="D36" s="32">
        <f t="shared" si="1"/>
        <v>0.39998714516107459</v>
      </c>
    </row>
    <row r="37" spans="1:4" x14ac:dyDescent="0.35">
      <c r="A37" s="14">
        <v>32</v>
      </c>
      <c r="C37" s="29">
        <f t="shared" si="1"/>
        <v>0.38833703413696569</v>
      </c>
      <c r="D37" s="32">
        <f t="shared" si="1"/>
        <v>0.38833703413696569</v>
      </c>
    </row>
    <row r="38" spans="1:4" x14ac:dyDescent="0.35">
      <c r="A38" s="14">
        <v>33</v>
      </c>
      <c r="C38" s="29">
        <f t="shared" si="1"/>
        <v>0.37702624673491814</v>
      </c>
      <c r="D38" s="32">
        <f t="shared" si="1"/>
        <v>0.37702624673491814</v>
      </c>
    </row>
    <row r="39" spans="1:4" x14ac:dyDescent="0.35">
      <c r="A39" s="14">
        <v>34</v>
      </c>
      <c r="C39" s="29">
        <f t="shared" si="1"/>
        <v>0.36604489974263904</v>
      </c>
      <c r="D39" s="32">
        <f t="shared" si="1"/>
        <v>0.36604489974263904</v>
      </c>
    </row>
    <row r="40" spans="1:4" x14ac:dyDescent="0.35">
      <c r="A40" s="14">
        <v>35</v>
      </c>
      <c r="C40" s="29">
        <f t="shared" si="1"/>
        <v>0.35538339780838735</v>
      </c>
      <c r="D40" s="32">
        <f t="shared" si="1"/>
        <v>0.35538339780838735</v>
      </c>
    </row>
    <row r="41" spans="1:4" x14ac:dyDescent="0.35">
      <c r="A41" s="14">
        <v>36</v>
      </c>
      <c r="C41" s="29">
        <f t="shared" si="1"/>
        <v>0.34503242505668674</v>
      </c>
      <c r="D41" s="32">
        <f t="shared" si="1"/>
        <v>0.34503242505668674</v>
      </c>
    </row>
    <row r="42" spans="1:4" x14ac:dyDescent="0.35">
      <c r="A42" s="14">
        <v>37</v>
      </c>
      <c r="C42" s="29">
        <f t="shared" si="1"/>
        <v>0.33498293694823961</v>
      </c>
      <c r="D42" s="32">
        <f t="shared" si="1"/>
        <v>0.33498293694823961</v>
      </c>
    </row>
    <row r="43" spans="1:4" x14ac:dyDescent="0.35">
      <c r="A43" s="14">
        <v>38</v>
      </c>
      <c r="C43" s="29">
        <f t="shared" si="1"/>
        <v>0.3252261523769317</v>
      </c>
      <c r="D43" s="32">
        <f t="shared" si="1"/>
        <v>0.3252261523769317</v>
      </c>
    </row>
    <row r="44" spans="1:4" x14ac:dyDescent="0.35">
      <c r="A44" s="14">
        <v>39</v>
      </c>
      <c r="C44" s="29">
        <f t="shared" si="1"/>
        <v>0.31575354599702099</v>
      </c>
      <c r="D44" s="32">
        <f t="shared" si="1"/>
        <v>0.31575354599702099</v>
      </c>
    </row>
    <row r="45" spans="1:4" x14ac:dyDescent="0.35">
      <c r="A45" s="14">
        <v>40</v>
      </c>
      <c r="C45" s="29">
        <f t="shared" ref="C45:D64" si="2">1/((1+discount_rate)^(cycle*1))</f>
        <v>0.30655684077380685</v>
      </c>
      <c r="D45" s="32">
        <f t="shared" si="2"/>
        <v>0.30655684077380685</v>
      </c>
    </row>
    <row r="46" spans="1:4" x14ac:dyDescent="0.35">
      <c r="A46" s="14">
        <v>41</v>
      </c>
      <c r="C46" s="29">
        <f t="shared" si="2"/>
        <v>0.29762800075126877</v>
      </c>
      <c r="D46" s="32">
        <f t="shared" si="2"/>
        <v>0.29762800075126877</v>
      </c>
    </row>
    <row r="47" spans="1:4" x14ac:dyDescent="0.35">
      <c r="A47" s="14">
        <v>42</v>
      </c>
      <c r="C47" s="29">
        <f t="shared" si="2"/>
        <v>0.28895922403035801</v>
      </c>
      <c r="D47" s="32">
        <f t="shared" si="2"/>
        <v>0.28895922403035801</v>
      </c>
    </row>
    <row r="48" spans="1:4" x14ac:dyDescent="0.35">
      <c r="A48" s="14">
        <v>43</v>
      </c>
      <c r="C48" s="29">
        <f t="shared" si="2"/>
        <v>0.28054293595180391</v>
      </c>
      <c r="D48" s="32">
        <f t="shared" si="2"/>
        <v>0.28054293595180391</v>
      </c>
    </row>
    <row r="49" spans="1:4" x14ac:dyDescent="0.35">
      <c r="A49" s="14">
        <v>44</v>
      </c>
      <c r="C49" s="29">
        <f t="shared" si="2"/>
        <v>0.27237178247747956</v>
      </c>
      <c r="D49" s="32">
        <f t="shared" si="2"/>
        <v>0.27237178247747956</v>
      </c>
    </row>
    <row r="50" spans="1:4" x14ac:dyDescent="0.35">
      <c r="A50" s="14">
        <v>45</v>
      </c>
      <c r="C50" s="29">
        <f t="shared" si="2"/>
        <v>0.26443862376454325</v>
      </c>
      <c r="D50" s="32">
        <f t="shared" si="2"/>
        <v>0.26443862376454325</v>
      </c>
    </row>
    <row r="51" spans="1:4" x14ac:dyDescent="0.35">
      <c r="A51" s="14">
        <v>46</v>
      </c>
      <c r="C51" s="29">
        <f t="shared" si="2"/>
        <v>0.25673652792674101</v>
      </c>
      <c r="D51" s="32">
        <f t="shared" si="2"/>
        <v>0.25673652792674101</v>
      </c>
    </row>
    <row r="52" spans="1:4" x14ac:dyDescent="0.35">
      <c r="A52" s="14">
        <v>47</v>
      </c>
      <c r="C52" s="29">
        <f t="shared" si="2"/>
        <v>0.24925876497741845</v>
      </c>
      <c r="D52" s="32">
        <f t="shared" si="2"/>
        <v>0.24925876497741845</v>
      </c>
    </row>
    <row r="53" spans="1:4" x14ac:dyDescent="0.35">
      <c r="A53" s="14">
        <v>48</v>
      </c>
      <c r="C53" s="29">
        <f t="shared" si="2"/>
        <v>0.24199880094894996</v>
      </c>
      <c r="D53" s="32">
        <f t="shared" si="2"/>
        <v>0.24199880094894996</v>
      </c>
    </row>
    <row r="54" spans="1:4" x14ac:dyDescent="0.35">
      <c r="A54" s="14">
        <v>49</v>
      </c>
      <c r="C54" s="29">
        <f t="shared" si="2"/>
        <v>0.2349502921834466</v>
      </c>
      <c r="D54" s="32">
        <f t="shared" si="2"/>
        <v>0.2349502921834466</v>
      </c>
    </row>
    <row r="55" spans="1:4" x14ac:dyDescent="0.35">
      <c r="A55" s="14">
        <v>50</v>
      </c>
      <c r="C55" s="29">
        <f t="shared" si="2"/>
        <v>0.22810707978975397</v>
      </c>
      <c r="D55" s="32">
        <f t="shared" si="2"/>
        <v>0.22810707978975397</v>
      </c>
    </row>
    <row r="56" spans="1:4" x14ac:dyDescent="0.35">
      <c r="A56" s="14">
        <v>51</v>
      </c>
      <c r="C56" s="29">
        <f t="shared" si="2"/>
        <v>0.22146318426189707</v>
      </c>
      <c r="D56" s="32">
        <f t="shared" si="2"/>
        <v>0.22146318426189707</v>
      </c>
    </row>
    <row r="57" spans="1:4" x14ac:dyDescent="0.35">
      <c r="A57" s="14">
        <v>52</v>
      </c>
      <c r="C57" s="29">
        <f t="shared" si="2"/>
        <v>0.215012800254269</v>
      </c>
      <c r="D57" s="32">
        <f t="shared" si="2"/>
        <v>0.215012800254269</v>
      </c>
    </row>
    <row r="58" spans="1:4" x14ac:dyDescent="0.35">
      <c r="A58" s="14">
        <v>53</v>
      </c>
      <c r="C58" s="29">
        <f t="shared" si="2"/>
        <v>0.20875029150899907</v>
      </c>
      <c r="D58" s="32">
        <f t="shared" si="2"/>
        <v>0.20875029150899907</v>
      </c>
    </row>
    <row r="59" spans="1:4" x14ac:dyDescent="0.35">
      <c r="A59" s="14">
        <v>54</v>
      </c>
      <c r="C59" s="29">
        <f t="shared" si="2"/>
        <v>0.20267018593106703</v>
      </c>
      <c r="D59" s="32">
        <f t="shared" si="2"/>
        <v>0.20267018593106703</v>
      </c>
    </row>
    <row r="60" spans="1:4" x14ac:dyDescent="0.35">
      <c r="A60" s="14">
        <v>55</v>
      </c>
      <c r="C60" s="29">
        <f t="shared" si="2"/>
        <v>0.19676717080686118</v>
      </c>
      <c r="D60" s="32">
        <f t="shared" si="2"/>
        <v>0.19676717080686118</v>
      </c>
    </row>
    <row r="61" spans="1:4" x14ac:dyDescent="0.35">
      <c r="A61" s="14">
        <v>56</v>
      </c>
      <c r="C61" s="29">
        <f t="shared" si="2"/>
        <v>0.19103608816200118</v>
      </c>
      <c r="D61" s="32">
        <f t="shared" si="2"/>
        <v>0.19103608816200118</v>
      </c>
    </row>
    <row r="62" spans="1:4" x14ac:dyDescent="0.35">
      <c r="A62" s="14">
        <v>57</v>
      </c>
      <c r="C62" s="29">
        <f t="shared" si="2"/>
        <v>0.18547193025437006</v>
      </c>
      <c r="D62" s="32">
        <f t="shared" si="2"/>
        <v>0.18547193025437006</v>
      </c>
    </row>
    <row r="63" spans="1:4" x14ac:dyDescent="0.35">
      <c r="A63" s="14">
        <v>58</v>
      </c>
      <c r="C63" s="29">
        <f t="shared" si="2"/>
        <v>0.18006983519841754</v>
      </c>
      <c r="D63" s="32">
        <f t="shared" si="2"/>
        <v>0.18006983519841754</v>
      </c>
    </row>
    <row r="64" spans="1:4" x14ac:dyDescent="0.35">
      <c r="A64" s="14">
        <v>59</v>
      </c>
      <c r="C64" s="29">
        <f t="shared" si="2"/>
        <v>0.17482508271691022</v>
      </c>
      <c r="D64" s="32">
        <f t="shared" si="2"/>
        <v>0.17482508271691022</v>
      </c>
    </row>
    <row r="65" spans="1:4" x14ac:dyDescent="0.35">
      <c r="A65" s="14">
        <v>60</v>
      </c>
      <c r="C65" s="29">
        <f t="shared" ref="C65:D87" si="3">1/((1+discount_rate)^(cycle*1))</f>
        <v>0.1697330900164177</v>
      </c>
      <c r="D65" s="32">
        <f t="shared" si="3"/>
        <v>0.1697330900164177</v>
      </c>
    </row>
    <row r="66" spans="1:4" x14ac:dyDescent="0.35">
      <c r="A66" s="14">
        <v>61</v>
      </c>
      <c r="C66" s="29">
        <f t="shared" si="3"/>
        <v>0.16478940778292983</v>
      </c>
      <c r="D66" s="32">
        <f t="shared" si="3"/>
        <v>0.16478940778292983</v>
      </c>
    </row>
    <row r="67" spans="1:4" x14ac:dyDescent="0.35">
      <c r="A67" s="14">
        <v>62</v>
      </c>
      <c r="C67" s="29">
        <f t="shared" si="3"/>
        <v>0.15998971629410663</v>
      </c>
      <c r="D67" s="32">
        <f t="shared" si="3"/>
        <v>0.15998971629410663</v>
      </c>
    </row>
    <row r="68" spans="1:4" x14ac:dyDescent="0.35">
      <c r="A68" s="14">
        <v>63</v>
      </c>
      <c r="C68" s="29">
        <f t="shared" si="3"/>
        <v>0.15532982164476369</v>
      </c>
      <c r="D68" s="32">
        <f t="shared" si="3"/>
        <v>0.15532982164476369</v>
      </c>
    </row>
    <row r="69" spans="1:4" x14ac:dyDescent="0.35">
      <c r="A69" s="14">
        <v>64</v>
      </c>
      <c r="C69" s="29">
        <f t="shared" si="3"/>
        <v>0.15080565208229488</v>
      </c>
      <c r="D69" s="32">
        <f t="shared" si="3"/>
        <v>0.15080565208229488</v>
      </c>
    </row>
    <row r="70" spans="1:4" x14ac:dyDescent="0.35">
      <c r="A70" s="14">
        <v>65</v>
      </c>
      <c r="C70" s="29">
        <f t="shared" si="3"/>
        <v>0.14641325444882999</v>
      </c>
      <c r="D70" s="32">
        <f t="shared" si="3"/>
        <v>0.14641325444882999</v>
      </c>
    </row>
    <row r="71" spans="1:4" x14ac:dyDescent="0.35">
      <c r="A71" s="14">
        <v>66</v>
      </c>
      <c r="C71" s="29">
        <f t="shared" si="3"/>
        <v>0.14214879072701941</v>
      </c>
      <c r="D71" s="32">
        <f t="shared" si="3"/>
        <v>0.14214879072701941</v>
      </c>
    </row>
    <row r="72" spans="1:4" x14ac:dyDescent="0.35">
      <c r="A72" s="14">
        <v>67</v>
      </c>
      <c r="C72" s="29">
        <f t="shared" si="3"/>
        <v>0.1380085346864266</v>
      </c>
      <c r="D72" s="32">
        <f t="shared" si="3"/>
        <v>0.1380085346864266</v>
      </c>
    </row>
    <row r="73" spans="1:4" x14ac:dyDescent="0.35">
      <c r="A73" s="14">
        <v>68</v>
      </c>
      <c r="C73" s="29">
        <f t="shared" si="3"/>
        <v>0.13398886862759865</v>
      </c>
      <c r="D73" s="32">
        <f t="shared" si="3"/>
        <v>0.13398886862759865</v>
      </c>
    </row>
    <row r="74" spans="1:4" x14ac:dyDescent="0.35">
      <c r="A74" s="14">
        <v>69</v>
      </c>
      <c r="C74" s="29">
        <f t="shared" si="3"/>
        <v>0.13008628022096957</v>
      </c>
      <c r="D74" s="32">
        <f t="shared" si="3"/>
        <v>0.13008628022096957</v>
      </c>
    </row>
    <row r="75" spans="1:4" x14ac:dyDescent="0.35">
      <c r="A75" s="14">
        <v>70</v>
      </c>
      <c r="C75" s="29">
        <f t="shared" si="3"/>
        <v>0.12629735943783454</v>
      </c>
      <c r="D75" s="32">
        <f t="shared" si="3"/>
        <v>0.12629735943783454</v>
      </c>
    </row>
    <row r="76" spans="1:4" x14ac:dyDescent="0.35">
      <c r="A76" s="14">
        <v>71</v>
      </c>
      <c r="C76" s="29">
        <f t="shared" si="3"/>
        <v>0.12261879557071313</v>
      </c>
      <c r="D76" s="32">
        <f t="shared" si="3"/>
        <v>0.12261879557071313</v>
      </c>
    </row>
    <row r="77" spans="1:4" x14ac:dyDescent="0.35">
      <c r="A77" s="14">
        <v>72</v>
      </c>
      <c r="C77" s="29">
        <f t="shared" si="3"/>
        <v>0.1190473743404982</v>
      </c>
      <c r="D77" s="32">
        <f t="shared" si="3"/>
        <v>0.1190473743404982</v>
      </c>
    </row>
    <row r="78" spans="1:4" x14ac:dyDescent="0.35">
      <c r="A78" s="14">
        <v>73</v>
      </c>
      <c r="C78" s="29">
        <f t="shared" si="3"/>
        <v>0.11557997508786232</v>
      </c>
      <c r="D78" s="32">
        <f t="shared" si="3"/>
        <v>0.11557997508786232</v>
      </c>
    </row>
    <row r="79" spans="1:4" x14ac:dyDescent="0.35">
      <c r="A79" s="14">
        <v>74</v>
      </c>
      <c r="C79" s="29">
        <f t="shared" si="3"/>
        <v>0.11221356804646829</v>
      </c>
      <c r="D79" s="32">
        <f t="shared" si="3"/>
        <v>0.11221356804646829</v>
      </c>
    </row>
    <row r="80" spans="1:4" x14ac:dyDescent="0.35">
      <c r="A80" s="14">
        <v>75</v>
      </c>
      <c r="C80" s="29">
        <f t="shared" si="3"/>
        <v>0.10894521169560026</v>
      </c>
      <c r="D80" s="32">
        <f t="shared" si="3"/>
        <v>0.10894521169560026</v>
      </c>
    </row>
    <row r="81" spans="1:4" x14ac:dyDescent="0.35">
      <c r="A81" s="14">
        <v>76</v>
      </c>
      <c r="C81" s="29">
        <f t="shared" si="3"/>
        <v>0.10577205018990318</v>
      </c>
      <c r="D81" s="32">
        <f t="shared" si="3"/>
        <v>0.10577205018990318</v>
      </c>
    </row>
    <row r="82" spans="1:4" x14ac:dyDescent="0.35">
      <c r="A82" s="14">
        <v>77</v>
      </c>
      <c r="C82" s="29">
        <f t="shared" si="3"/>
        <v>0.10269131086398368</v>
      </c>
      <c r="D82" s="32">
        <f t="shared" si="3"/>
        <v>0.10269131086398368</v>
      </c>
    </row>
    <row r="83" spans="1:4" x14ac:dyDescent="0.35">
      <c r="A83" s="14">
        <v>78</v>
      </c>
      <c r="C83" s="29">
        <f t="shared" si="3"/>
        <v>9.9700301809692873E-2</v>
      </c>
      <c r="D83" s="32">
        <f t="shared" si="3"/>
        <v>9.9700301809692873E-2</v>
      </c>
    </row>
    <row r="84" spans="1:4" x14ac:dyDescent="0.35">
      <c r="A84" s="14">
        <v>79</v>
      </c>
      <c r="C84" s="29">
        <f t="shared" si="3"/>
        <v>9.679640952397367E-2</v>
      </c>
      <c r="D84" s="32">
        <f t="shared" si="3"/>
        <v>9.679640952397367E-2</v>
      </c>
    </row>
    <row r="85" spans="1:4" x14ac:dyDescent="0.35">
      <c r="A85" s="14">
        <v>80</v>
      </c>
      <c r="C85" s="29">
        <f t="shared" si="3"/>
        <v>9.3977096625217166E-2</v>
      </c>
      <c r="D85" s="32">
        <f t="shared" si="3"/>
        <v>9.3977096625217166E-2</v>
      </c>
    </row>
    <row r="86" spans="1:4" x14ac:dyDescent="0.35">
      <c r="A86" s="14">
        <v>81</v>
      </c>
      <c r="C86" s="29">
        <f t="shared" si="3"/>
        <v>9.1239899636133173E-2</v>
      </c>
      <c r="D86" s="32">
        <f t="shared" si="3"/>
        <v>9.1239899636133173E-2</v>
      </c>
    </row>
    <row r="87" spans="1:4" x14ac:dyDescent="0.35">
      <c r="A87" s="16">
        <v>82</v>
      </c>
      <c r="C87" s="31">
        <f t="shared" si="3"/>
        <v>8.8582426831197242E-2</v>
      </c>
      <c r="D87" s="34">
        <f t="shared" si="3"/>
        <v>8.8582426831197242E-2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55"/>
  <sheetViews>
    <sheetView workbookViewId="0"/>
  </sheetViews>
  <sheetFormatPr defaultRowHeight="14.5" x14ac:dyDescent="0.35"/>
  <cols>
    <col min="1" max="1" width="63.36328125" bestFit="1" customWidth="1"/>
    <col min="2" max="2" width="11.6328125" bestFit="1" customWidth="1"/>
    <col min="3" max="3" width="10.54296875" bestFit="1" customWidth="1"/>
  </cols>
  <sheetData>
    <row r="1" spans="1:11" x14ac:dyDescent="0.35">
      <c r="A1" t="s">
        <v>143</v>
      </c>
    </row>
    <row r="3" spans="1:11" x14ac:dyDescent="0.35">
      <c r="A3" s="181" t="s">
        <v>144</v>
      </c>
      <c r="B3" s="181"/>
      <c r="C3" s="181"/>
      <c r="D3" s="181"/>
      <c r="E3" s="181"/>
      <c r="F3" s="181"/>
      <c r="G3" s="181"/>
      <c r="H3" s="181"/>
      <c r="I3" s="181"/>
      <c r="J3" s="181"/>
      <c r="K3" s="181"/>
    </row>
    <row r="4" spans="1:11" x14ac:dyDescent="0.35">
      <c r="A4" s="181" t="s">
        <v>145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</row>
    <row r="6" spans="1:11" x14ac:dyDescent="0.35">
      <c r="A6" t="s">
        <v>146</v>
      </c>
    </row>
    <row r="8" spans="1:11" x14ac:dyDescent="0.35">
      <c r="A8" s="76" t="s">
        <v>147</v>
      </c>
      <c r="B8" s="77" t="s">
        <v>148</v>
      </c>
      <c r="C8" s="78" t="s">
        <v>149</v>
      </c>
    </row>
    <row r="9" spans="1:11" x14ac:dyDescent="0.35">
      <c r="A9" s="79" t="s">
        <v>8</v>
      </c>
      <c r="B9" s="80">
        <v>0.01</v>
      </c>
      <c r="C9" s="81">
        <v>0.05</v>
      </c>
    </row>
    <row r="10" spans="1:11" x14ac:dyDescent="0.35">
      <c r="A10" s="79" t="s">
        <v>9</v>
      </c>
      <c r="B10" s="80">
        <v>0.31</v>
      </c>
      <c r="C10" s="81">
        <v>0.8</v>
      </c>
    </row>
    <row r="11" spans="1:11" x14ac:dyDescent="0.35">
      <c r="A11" s="79" t="s">
        <v>10</v>
      </c>
      <c r="B11" s="80">
        <v>0.31</v>
      </c>
      <c r="C11" s="81">
        <v>0.71</v>
      </c>
    </row>
    <row r="12" spans="1:11" x14ac:dyDescent="0.35">
      <c r="A12" s="79" t="s">
        <v>11</v>
      </c>
      <c r="B12" s="80">
        <v>0.64</v>
      </c>
      <c r="C12" s="81">
        <v>0.82</v>
      </c>
    </row>
    <row r="13" spans="1:11" x14ac:dyDescent="0.35">
      <c r="A13" s="79" t="s">
        <v>12</v>
      </c>
      <c r="B13" s="80">
        <v>0</v>
      </c>
      <c r="C13" s="81">
        <v>0.39</v>
      </c>
    </row>
    <row r="14" spans="1:11" x14ac:dyDescent="0.35">
      <c r="A14" s="79" t="s">
        <v>13</v>
      </c>
      <c r="B14" s="80">
        <v>0</v>
      </c>
      <c r="C14" s="81">
        <v>1</v>
      </c>
    </row>
    <row r="15" spans="1:11" x14ac:dyDescent="0.35">
      <c r="A15" s="79" t="s">
        <v>14</v>
      </c>
      <c r="B15" s="80">
        <v>0.8</v>
      </c>
      <c r="C15" s="81">
        <v>1</v>
      </c>
    </row>
    <row r="16" spans="1:11" x14ac:dyDescent="0.35">
      <c r="A16" s="79" t="s">
        <v>15</v>
      </c>
      <c r="B16" s="80">
        <v>3689.04</v>
      </c>
      <c r="C16" s="81">
        <v>11067.12</v>
      </c>
    </row>
    <row r="17" spans="1:3" x14ac:dyDescent="0.35">
      <c r="A17" s="79" t="s">
        <v>16</v>
      </c>
      <c r="B17" s="80">
        <v>107677.47</v>
      </c>
      <c r="C17" s="81">
        <v>323033.71999999997</v>
      </c>
    </row>
    <row r="18" spans="1:3" x14ac:dyDescent="0.35">
      <c r="A18" s="79" t="s">
        <v>17</v>
      </c>
      <c r="B18" s="80">
        <v>33912.230000000003</v>
      </c>
      <c r="C18" s="81">
        <v>88878.78</v>
      </c>
    </row>
    <row r="19" spans="1:3" x14ac:dyDescent="0.35">
      <c r="A19" s="79" t="s">
        <v>18</v>
      </c>
      <c r="B19" s="80">
        <v>1195167.1399999999</v>
      </c>
      <c r="C19" s="81">
        <v>4257677</v>
      </c>
    </row>
    <row r="20" spans="1:3" x14ac:dyDescent="0.35">
      <c r="A20" s="79" t="s">
        <v>19</v>
      </c>
      <c r="B20" s="80">
        <v>18443.900000000001</v>
      </c>
      <c r="C20" s="81">
        <v>55333</v>
      </c>
    </row>
    <row r="21" spans="1:3" x14ac:dyDescent="0.35">
      <c r="A21" s="79" t="s">
        <v>20</v>
      </c>
      <c r="B21" s="80">
        <v>0</v>
      </c>
      <c r="C21" s="81">
        <v>0.19</v>
      </c>
    </row>
    <row r="22" spans="1:3" x14ac:dyDescent="0.35">
      <c r="A22" s="79" t="s">
        <v>21</v>
      </c>
      <c r="B22" s="80">
        <v>0</v>
      </c>
      <c r="C22" s="81">
        <v>1.9E-2</v>
      </c>
    </row>
    <row r="23" spans="1:3" x14ac:dyDescent="0.35">
      <c r="A23" s="79" t="s">
        <v>22</v>
      </c>
      <c r="B23" s="80">
        <v>0</v>
      </c>
      <c r="C23" s="81">
        <v>1.2E-2</v>
      </c>
    </row>
    <row r="24" spans="1:3" x14ac:dyDescent="0.35">
      <c r="A24" s="79" t="s">
        <v>23</v>
      </c>
      <c r="B24" s="80">
        <v>0</v>
      </c>
      <c r="C24" s="81">
        <v>6.4000000000000001E-2</v>
      </c>
    </row>
    <row r="25" spans="1:3" x14ac:dyDescent="0.35">
      <c r="A25" s="79" t="s">
        <v>24</v>
      </c>
      <c r="B25" s="80">
        <v>0</v>
      </c>
      <c r="C25" s="81">
        <v>2.1000000000000001E-2</v>
      </c>
    </row>
    <row r="26" spans="1:3" x14ac:dyDescent="0.35">
      <c r="A26" s="79" t="s">
        <v>25</v>
      </c>
      <c r="B26" s="80"/>
      <c r="C26" s="81"/>
    </row>
    <row r="27" spans="1:3" x14ac:dyDescent="0.35">
      <c r="A27" s="79" t="s">
        <v>26</v>
      </c>
      <c r="B27" s="80"/>
      <c r="C27" s="81"/>
    </row>
    <row r="28" spans="1:3" x14ac:dyDescent="0.35">
      <c r="A28" s="79" t="s">
        <v>27</v>
      </c>
      <c r="B28" s="80">
        <v>0</v>
      </c>
      <c r="C28" s="81">
        <v>40465.19</v>
      </c>
    </row>
    <row r="29" spans="1:3" x14ac:dyDescent="0.35">
      <c r="A29" s="79" t="s">
        <v>28</v>
      </c>
      <c r="B29" s="80">
        <v>129213.49</v>
      </c>
      <c r="C29" s="81">
        <v>387639.17</v>
      </c>
    </row>
    <row r="30" spans="1:3" x14ac:dyDescent="0.35">
      <c r="A30" s="79" t="s">
        <v>29</v>
      </c>
      <c r="B30" s="80">
        <v>18443.900000000001</v>
      </c>
      <c r="C30" s="81">
        <v>55333</v>
      </c>
    </row>
    <row r="31" spans="1:3" x14ac:dyDescent="0.35">
      <c r="A31" s="79" t="s">
        <v>30</v>
      </c>
      <c r="B31" s="80"/>
      <c r="C31" s="81"/>
    </row>
    <row r="32" spans="1:3" x14ac:dyDescent="0.35">
      <c r="A32" s="79" t="s">
        <v>31</v>
      </c>
      <c r="B32" s="80">
        <v>18443.900000000001</v>
      </c>
      <c r="C32" s="81">
        <v>55333</v>
      </c>
    </row>
    <row r="33" spans="1:3" x14ac:dyDescent="0.35">
      <c r="A33" s="79" t="s">
        <v>32</v>
      </c>
      <c r="B33" s="80">
        <v>3689.04</v>
      </c>
      <c r="C33" s="81">
        <v>11067.12</v>
      </c>
    </row>
    <row r="34" spans="1:3" x14ac:dyDescent="0.35">
      <c r="A34" s="79" t="s">
        <v>33</v>
      </c>
      <c r="B34" s="80">
        <v>0.8</v>
      </c>
      <c r="C34" s="81">
        <v>1</v>
      </c>
    </row>
    <row r="35" spans="1:3" x14ac:dyDescent="0.35">
      <c r="A35" s="79" t="s">
        <v>34</v>
      </c>
      <c r="B35" s="80">
        <v>18443.900000000001</v>
      </c>
      <c r="C35" s="81">
        <v>55333</v>
      </c>
    </row>
    <row r="36" spans="1:3" x14ac:dyDescent="0.35">
      <c r="A36" s="79" t="s">
        <v>35</v>
      </c>
      <c r="B36" s="80">
        <v>107677.47</v>
      </c>
      <c r="C36" s="81">
        <v>323033.71999999997</v>
      </c>
    </row>
    <row r="37" spans="1:3" x14ac:dyDescent="0.35">
      <c r="A37" s="79" t="s">
        <v>36</v>
      </c>
      <c r="B37" s="80">
        <v>0.31</v>
      </c>
      <c r="C37" s="81">
        <v>0.8</v>
      </c>
    </row>
    <row r="38" spans="1:3" x14ac:dyDescent="0.35">
      <c r="A38" s="79" t="s">
        <v>37</v>
      </c>
      <c r="B38" s="80">
        <v>18443.900000000001</v>
      </c>
      <c r="C38" s="81">
        <v>55333</v>
      </c>
    </row>
    <row r="39" spans="1:3" x14ac:dyDescent="0.35">
      <c r="A39" s="79" t="s">
        <v>38</v>
      </c>
      <c r="B39" s="80">
        <v>129213.49</v>
      </c>
      <c r="C39" s="81">
        <v>387639.17</v>
      </c>
    </row>
    <row r="40" spans="1:3" x14ac:dyDescent="0.35">
      <c r="A40" s="79" t="s">
        <v>39</v>
      </c>
      <c r="B40" s="80">
        <v>0.31</v>
      </c>
      <c r="C40" s="81">
        <v>0.71</v>
      </c>
    </row>
    <row r="41" spans="1:3" x14ac:dyDescent="0.35">
      <c r="A41" s="79" t="s">
        <v>40</v>
      </c>
      <c r="B41" s="80">
        <v>18443.900000000001</v>
      </c>
      <c r="C41" s="81">
        <v>55333</v>
      </c>
    </row>
    <row r="42" spans="1:3" x14ac:dyDescent="0.35">
      <c r="A42" s="79" t="s">
        <v>41</v>
      </c>
      <c r="B42" s="80">
        <v>33912.230000000003</v>
      </c>
      <c r="C42" s="81">
        <v>88878.78</v>
      </c>
    </row>
    <row r="43" spans="1:3" x14ac:dyDescent="0.35">
      <c r="A43" s="79" t="s">
        <v>42</v>
      </c>
      <c r="B43" s="80">
        <v>0.64</v>
      </c>
      <c r="C43" s="81">
        <v>0.82</v>
      </c>
    </row>
    <row r="44" spans="1:3" x14ac:dyDescent="0.35">
      <c r="A44" s="79" t="s">
        <v>43</v>
      </c>
      <c r="B44" s="80">
        <v>18443.900000000001</v>
      </c>
      <c r="C44" s="81">
        <v>55333</v>
      </c>
    </row>
    <row r="45" spans="1:3" x14ac:dyDescent="0.35">
      <c r="A45" s="79" t="s">
        <v>44</v>
      </c>
      <c r="B45" s="80">
        <v>1195167.1399999999</v>
      </c>
      <c r="C45" s="81">
        <v>4257677</v>
      </c>
    </row>
    <row r="46" spans="1:3" x14ac:dyDescent="0.35">
      <c r="A46" s="79" t="s">
        <v>45</v>
      </c>
      <c r="B46" s="80">
        <v>0</v>
      </c>
      <c r="C46" s="81">
        <v>0.39</v>
      </c>
    </row>
    <row r="47" spans="1:3" x14ac:dyDescent="0.35">
      <c r="A47" s="79" t="s">
        <v>46</v>
      </c>
      <c r="B47" s="80">
        <v>18443.900000000001</v>
      </c>
      <c r="C47" s="81">
        <v>55333</v>
      </c>
    </row>
    <row r="48" spans="1:3" x14ac:dyDescent="0.35">
      <c r="A48" s="82" t="s">
        <v>47</v>
      </c>
      <c r="B48" s="83">
        <v>0</v>
      </c>
      <c r="C48" s="84">
        <v>1</v>
      </c>
    </row>
    <row r="50" spans="1:11" x14ac:dyDescent="0.35">
      <c r="A50" s="181" t="s">
        <v>150</v>
      </c>
      <c r="B50" s="181"/>
      <c r="C50" s="181"/>
      <c r="D50" s="181"/>
      <c r="E50" s="181"/>
      <c r="F50" s="181"/>
      <c r="G50" s="181"/>
      <c r="H50" s="181"/>
      <c r="I50" s="181"/>
      <c r="J50" s="181"/>
      <c r="K50" s="181"/>
    </row>
    <row r="54" spans="1:11" x14ac:dyDescent="0.35">
      <c r="A54" s="180" t="s">
        <v>0</v>
      </c>
      <c r="B54" s="181"/>
      <c r="C54" s="181"/>
    </row>
    <row r="55" spans="1:11" x14ac:dyDescent="0.35">
      <c r="A55" s="182" t="s">
        <v>1</v>
      </c>
      <c r="B55" s="181"/>
      <c r="C55" s="181"/>
    </row>
  </sheetData>
  <mergeCells count="5">
    <mergeCell ref="A3:K3"/>
    <mergeCell ref="A4:K4"/>
    <mergeCell ref="A50:K50"/>
    <mergeCell ref="A54:C54"/>
    <mergeCell ref="A55:C5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92</vt:i4>
      </vt:variant>
    </vt:vector>
  </HeadingPairs>
  <TitlesOfParts>
    <vt:vector size="104" baseType="lpstr">
      <vt:lpstr>List of all parameters</vt:lpstr>
      <vt:lpstr>Markov model Inputs &amp; Results</vt:lpstr>
      <vt:lpstr>Base Case</vt:lpstr>
      <vt:lpstr>Intervention 90% Vax</vt:lpstr>
      <vt:lpstr>ICER</vt:lpstr>
      <vt:lpstr>1. Strategy Calcs</vt:lpstr>
      <vt:lpstr>2. Strategy Calcs</vt:lpstr>
      <vt:lpstr>State Trans Diag</vt:lpstr>
      <vt:lpstr>Input Tables</vt:lpstr>
      <vt:lpstr>Original Data &amp; Results</vt:lpstr>
      <vt:lpstr>Time Discounting</vt:lpstr>
      <vt:lpstr>TP Internal Formulas</vt:lpstr>
      <vt:lpstr>cAcute</vt:lpstr>
      <vt:lpstr>cAcute_Node10</vt:lpstr>
      <vt:lpstr>cAcute_Node10_original</vt:lpstr>
      <vt:lpstr>cAcute_Node11</vt:lpstr>
      <vt:lpstr>cAcute_Node11_original</vt:lpstr>
      <vt:lpstr>cAcute_Node12</vt:lpstr>
      <vt:lpstr>cAcute_Node12_original</vt:lpstr>
      <vt:lpstr>cAcute_Node4</vt:lpstr>
      <vt:lpstr>cAcute_Node4_original</vt:lpstr>
      <vt:lpstr>cAcute_Node5</vt:lpstr>
      <vt:lpstr>cAcute_Node5_original</vt:lpstr>
      <vt:lpstr>cAcute_Node6</vt:lpstr>
      <vt:lpstr>cAcute_Node6_original</vt:lpstr>
      <vt:lpstr>cAcute_Node7</vt:lpstr>
      <vt:lpstr>cAcute_Node7_original</vt:lpstr>
      <vt:lpstr>cAcute_original</vt:lpstr>
      <vt:lpstr>cDead</vt:lpstr>
      <vt:lpstr>cDead_original</vt:lpstr>
      <vt:lpstr>cHearingLoss</vt:lpstr>
      <vt:lpstr>cHearingLoss_Node10</vt:lpstr>
      <vt:lpstr>cHearingLoss_Node10_original</vt:lpstr>
      <vt:lpstr>cHearingLoss_original</vt:lpstr>
      <vt:lpstr>cMultipleAmp</vt:lpstr>
      <vt:lpstr>cMultipleAmp_Node7</vt:lpstr>
      <vt:lpstr>cMultipleAmp_Node7_original</vt:lpstr>
      <vt:lpstr>cMultipleAmp_original</vt:lpstr>
      <vt:lpstr>cNeuroDis</vt:lpstr>
      <vt:lpstr>cNeuroDis_Node11</vt:lpstr>
      <vt:lpstr>cNeuroDis_Node11_original</vt:lpstr>
      <vt:lpstr>cNeuroDis_original</vt:lpstr>
      <vt:lpstr>'1. Strategy Calcs'!CohortStateProportions</vt:lpstr>
      <vt:lpstr>'2. Strategy Calcs'!CohortStateProportions</vt:lpstr>
      <vt:lpstr>cSingleAmp</vt:lpstr>
      <vt:lpstr>cSingleAmp_Node6</vt:lpstr>
      <vt:lpstr>cSingleAmp_Node6_original</vt:lpstr>
      <vt:lpstr>cSingleAmp_original</vt:lpstr>
      <vt:lpstr>cSkinScarring</vt:lpstr>
      <vt:lpstr>cSkinScarring_Node4</vt:lpstr>
      <vt:lpstr>cSkinScarring_Node4_original</vt:lpstr>
      <vt:lpstr>cSkinScarring_original</vt:lpstr>
      <vt:lpstr>'1. Strategy Calcs'!cycle</vt:lpstr>
      <vt:lpstr>'2. Strategy Calcs'!cycle</vt:lpstr>
      <vt:lpstr>'Time Discounting'!cycle</vt:lpstr>
      <vt:lpstr>discount_rate</vt:lpstr>
      <vt:lpstr>discount_rate_original</vt:lpstr>
      <vt:lpstr>InputVariablesValues</vt:lpstr>
      <vt:lpstr>OriginalInputVariablesValues</vt:lpstr>
      <vt:lpstr>OriginalModelResults</vt:lpstr>
      <vt:lpstr>pDead</vt:lpstr>
      <vt:lpstr>pDead_original</vt:lpstr>
      <vt:lpstr>pHearingLoss</vt:lpstr>
      <vt:lpstr>pHearingLoss_original</vt:lpstr>
      <vt:lpstr>pMultipleAmp</vt:lpstr>
      <vt:lpstr>pMultipleAmp_original</vt:lpstr>
      <vt:lpstr>pNeuroDis</vt:lpstr>
      <vt:lpstr>pNeuroDis_original</vt:lpstr>
      <vt:lpstr>pSingleAmp</vt:lpstr>
      <vt:lpstr>pSingleAmp_original</vt:lpstr>
      <vt:lpstr>pSkinScarring</vt:lpstr>
      <vt:lpstr>pSkinScarring_original</vt:lpstr>
      <vt:lpstr>tdead</vt:lpstr>
      <vt:lpstr>tdead_inc</vt:lpstr>
      <vt:lpstr>'Markov model Inputs &amp; Results'!TotalSummaryTable_CE</vt:lpstr>
      <vt:lpstr>uAcute</vt:lpstr>
      <vt:lpstr>uAcute_Node5</vt:lpstr>
      <vt:lpstr>uAcute_Node5_original</vt:lpstr>
      <vt:lpstr>uAcute_original</vt:lpstr>
      <vt:lpstr>uAlive</vt:lpstr>
      <vt:lpstr>uAlive_Node9</vt:lpstr>
      <vt:lpstr>uAlive_Node9_original</vt:lpstr>
      <vt:lpstr>uAlive_original</vt:lpstr>
      <vt:lpstr>uHearingLoss</vt:lpstr>
      <vt:lpstr>uHearingLoss_Node10</vt:lpstr>
      <vt:lpstr>uHearingLoss_Node10_original</vt:lpstr>
      <vt:lpstr>uHearingLoss_original</vt:lpstr>
      <vt:lpstr>uMultipleAmp</vt:lpstr>
      <vt:lpstr>uMultipleAmp_Node7</vt:lpstr>
      <vt:lpstr>uMultipleAmp_Node7_original</vt:lpstr>
      <vt:lpstr>uMultipleAmp_original</vt:lpstr>
      <vt:lpstr>uNeuroDis</vt:lpstr>
      <vt:lpstr>uNeuroDis_Node11</vt:lpstr>
      <vt:lpstr>uNeuroDis_Node11_original</vt:lpstr>
      <vt:lpstr>uNeuroDis_original</vt:lpstr>
      <vt:lpstr>uSingleAmp</vt:lpstr>
      <vt:lpstr>uSingleAmp_Node6</vt:lpstr>
      <vt:lpstr>uSingleAmp_Node6_original</vt:lpstr>
      <vt:lpstr>uSingleAmp_original</vt:lpstr>
      <vt:lpstr>uSkinScarring</vt:lpstr>
      <vt:lpstr>uSkinScarring_Node4</vt:lpstr>
      <vt:lpstr>uSkinScarring_Node4_original</vt:lpstr>
      <vt:lpstr>uSkinScarring_original</vt:lpstr>
      <vt:lpstr>'Markov model Inputs &amp; Results'!WTP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Seon-Young Chung</dc:creator>
  <cp:lastModifiedBy>Seon-Young Chung</cp:lastModifiedBy>
  <dcterms:created xsi:type="dcterms:W3CDTF">2016-06-02T11:50:02Z</dcterms:created>
  <dcterms:modified xsi:type="dcterms:W3CDTF">2020-08-28T22:00:56Z</dcterms:modified>
</cp:coreProperties>
</file>